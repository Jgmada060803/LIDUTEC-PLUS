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ykon.alvino\Desktop\Maykon\"/>
    </mc:Choice>
  </mc:AlternateContent>
  <xr:revisionPtr revIDLastSave="0" documentId="13_ncr:1_{02C7A362-EEEA-4922-A5A5-4A26BDBD72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" l="1"/>
  <c r="J16" i="2"/>
  <c r="H16" i="2"/>
  <c r="K12" i="2" s="1"/>
  <c r="F16" i="2"/>
  <c r="G6" i="2" s="1"/>
  <c r="D16" i="2"/>
  <c r="E15" i="2" s="1"/>
  <c r="B16" i="2"/>
  <c r="C8" i="2" s="1"/>
  <c r="M4" i="2" l="1"/>
  <c r="M5" i="2"/>
  <c r="M12" i="2"/>
  <c r="M14" i="2"/>
  <c r="M6" i="2"/>
  <c r="G15" i="2"/>
  <c r="C9" i="2"/>
  <c r="G11" i="2"/>
  <c r="G8" i="2"/>
  <c r="I5" i="2"/>
  <c r="I14" i="2"/>
  <c r="K14" i="2"/>
  <c r="I13" i="2"/>
  <c r="K4" i="2"/>
  <c r="G4" i="2"/>
  <c r="I4" i="2"/>
  <c r="K5" i="2"/>
  <c r="E8" i="2"/>
  <c r="C6" i="2"/>
  <c r="E6" i="2"/>
  <c r="C4" i="2"/>
  <c r="E10" i="2"/>
  <c r="C15" i="2"/>
  <c r="E4" i="2"/>
  <c r="I16" i="2" l="1"/>
  <c r="M16" i="2"/>
  <c r="G16" i="2"/>
  <c r="K16" i="2"/>
  <c r="C16" i="2"/>
  <c r="E16" i="2"/>
</calcChain>
</file>

<file path=xl/sharedStrings.xml><?xml version="1.0" encoding="utf-8"?>
<sst xmlns="http://schemas.openxmlformats.org/spreadsheetml/2006/main" count="115" uniqueCount="56">
  <si>
    <t>CINZENTO MOLIBIDENIO</t>
  </si>
  <si>
    <t>CINZENTO ALTO COBRE</t>
  </si>
  <si>
    <t>CINZENTO PADRÃO</t>
  </si>
  <si>
    <t>NODULAR FERRITICO</t>
  </si>
  <si>
    <t>Kg</t>
  </si>
  <si>
    <t>%</t>
  </si>
  <si>
    <t>GUSA BAIXO FOSFORO SÓLIDO</t>
  </si>
  <si>
    <t>SUCATA UTG</t>
  </si>
  <si>
    <t>RETORNO CINZENTO  Mo</t>
  </si>
  <si>
    <t>RETORNO CINZENTO COBRE ALTO</t>
  </si>
  <si>
    <t>RETORNO CINZENTO PADRÃO</t>
  </si>
  <si>
    <t>RETORNO NODULAR  PERLITICO</t>
  </si>
  <si>
    <t>RETORNO NODULAR FERRÍTICO</t>
  </si>
  <si>
    <t>SUCATA ESTAMPARIA</t>
  </si>
  <si>
    <t>SUCATA OXICORTE</t>
  </si>
  <si>
    <t>TOTAL</t>
  </si>
  <si>
    <t xml:space="preserve">MATÉRIA PRIMA
</t>
  </si>
  <si>
    <t>NODULAR PERLÍTICO</t>
  </si>
  <si>
    <t>SUCATA UBE / ACIARIA</t>
  </si>
  <si>
    <t>GUSA  LÍQUIDO SIDERURGIA</t>
  </si>
  <si>
    <t>GUSA  LÍQUIDO UTG</t>
  </si>
  <si>
    <t>CARGA PADRÃO ORIENTATIVO</t>
  </si>
  <si>
    <t>NODULAR GUSA SIDERURGIA</t>
  </si>
  <si>
    <t>MS</t>
  </si>
  <si>
    <t xml:space="preserve">SILICIO </t>
  </si>
  <si>
    <t>MANGANES</t>
  </si>
  <si>
    <t>FÓSFORO</t>
  </si>
  <si>
    <t>PRODUTO</t>
  </si>
  <si>
    <t>COMPOSIÇÃO DO GUSA DESEJADO</t>
  </si>
  <si>
    <t>0,100 máx</t>
  </si>
  <si>
    <t>0,40 à 0,60 máx</t>
  </si>
  <si>
    <t>1,00 à1,20</t>
  </si>
  <si>
    <t>2,00 à 2,50</t>
  </si>
  <si>
    <t>0,08 máx</t>
  </si>
  <si>
    <t>1,50 à 2,00</t>
  </si>
  <si>
    <t>0,40 à 0,50 máx</t>
  </si>
  <si>
    <t>1,00 à 1,20</t>
  </si>
  <si>
    <t>21 ( molibdênio)</t>
  </si>
  <si>
    <t>32 ( molibdênio)</t>
  </si>
  <si>
    <t>31 ( molibdênio)</t>
  </si>
  <si>
    <t>23 ( molibdênio)</t>
  </si>
  <si>
    <t>22 ( molibdênio)</t>
  </si>
  <si>
    <t>13 ( padrão)</t>
  </si>
  <si>
    <t>30 ( padrão)</t>
  </si>
  <si>
    <t>29 ( padrão)</t>
  </si>
  <si>
    <t>38 ( padrão)</t>
  </si>
  <si>
    <t>31 (molibdênio)</t>
  </si>
  <si>
    <t>56 ( padrão)</t>
  </si>
  <si>
    <t>71 ( padrão)</t>
  </si>
  <si>
    <t>77 ( padrão)</t>
  </si>
  <si>
    <t>78 ( padrão) SI- BAIXO</t>
  </si>
  <si>
    <t>76 ( padrão) SI - BAIXO</t>
  </si>
  <si>
    <t>75 ( padrão) SI - BAIXO</t>
  </si>
  <si>
    <t>67 ( padrão) SI- BAIXO</t>
  </si>
  <si>
    <t>66 ( padrão) SI BAIXO-CU ALTO</t>
  </si>
  <si>
    <t>33 ( padrão) SI BAIXO CU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</si>
</sst>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b/>
      <sz val="16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5" fillId="0" borderId="8" xfId="0" applyFont="1" applyBorder="1" applyAlignment="1">
      <alignment horizontal="center"/>
    </xf>
    <xf numFmtId="9" fontId="5" fillId="0" borderId="8" xfId="1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9" fontId="5" fillId="4" borderId="9" xfId="1" quotePrefix="1" applyFont="1" applyFill="1" applyBorder="1" applyAlignment="1">
      <alignment horizontal="center"/>
    </xf>
    <xf numFmtId="9" fontId="5" fillId="0" borderId="9" xfId="1" applyFont="1" applyBorder="1"/>
    <xf numFmtId="9" fontId="5" fillId="0" borderId="9" xfId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5" fillId="5" borderId="8" xfId="0" applyFont="1" applyFill="1" applyBorder="1" applyAlignment="1">
      <alignment horizontal="center"/>
    </xf>
    <xf numFmtId="9" fontId="5" fillId="5" borderId="8" xfId="1" applyFont="1" applyFill="1" applyBorder="1" applyAlignment="1">
      <alignment horizontal="center"/>
    </xf>
    <xf numFmtId="9" fontId="5" fillId="5" borderId="9" xfId="1" quotePrefix="1" applyFont="1" applyFill="1" applyBorder="1" applyAlignment="1">
      <alignment horizontal="center"/>
    </xf>
    <xf numFmtId="9" fontId="5" fillId="5" borderId="9" xfId="1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9" fontId="5" fillId="5" borderId="13" xfId="1" applyFont="1" applyFill="1" applyBorder="1" applyAlignment="1">
      <alignment horizontal="center"/>
    </xf>
    <xf numFmtId="9" fontId="5" fillId="5" borderId="14" xfId="1" applyFont="1" applyFill="1" applyBorder="1" applyAlignment="1">
      <alignment horizontal="center"/>
    </xf>
    <xf numFmtId="0" fontId="0" fillId="5" borderId="8" xfId="0" applyFill="1" applyBorder="1"/>
    <xf numFmtId="9" fontId="5" fillId="4" borderId="8" xfId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Continuous" vertical="center"/>
    </xf>
    <xf numFmtId="0" fontId="7" fillId="6" borderId="10" xfId="0" applyFont="1" applyFill="1" applyBorder="1" applyAlignment="1">
      <alignment horizontal="centerContinuous" vertical="center"/>
    </xf>
    <xf numFmtId="9" fontId="5" fillId="4" borderId="8" xfId="1" quotePrefix="1" applyFont="1" applyFill="1" applyBorder="1" applyAlignment="1">
      <alignment horizontal="center"/>
    </xf>
    <xf numFmtId="9" fontId="5" fillId="5" borderId="8" xfId="1" quotePrefix="1" applyFont="1" applyFill="1" applyBorder="1" applyAlignment="1">
      <alignment horizontal="center"/>
    </xf>
    <xf numFmtId="9" fontId="5" fillId="0" borderId="8" xfId="1" applyFont="1" applyBorder="1"/>
    <xf numFmtId="0" fontId="5" fillId="5" borderId="15" xfId="0" applyFont="1" applyFill="1" applyBorder="1" applyAlignment="1">
      <alignment horizontal="center"/>
    </xf>
    <xf numFmtId="9" fontId="5" fillId="5" borderId="15" xfId="1" applyFont="1" applyFill="1" applyBorder="1" applyAlignment="1">
      <alignment horizontal="center"/>
    </xf>
    <xf numFmtId="9" fontId="5" fillId="5" borderId="16" xfId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11" borderId="6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 vertical="top"/>
    </xf>
    <xf numFmtId="164" fontId="10" fillId="13" borderId="8" xfId="0" applyNumberFormat="1" applyFont="1" applyFill="1" applyBorder="1" applyAlignment="1">
      <alignment horizontal="center"/>
    </xf>
    <xf numFmtId="0" fontId="9" fillId="14" borderId="7" xfId="0" applyFont="1" applyFill="1" applyBorder="1" applyAlignment="1">
      <alignment horizontal="center"/>
    </xf>
    <xf numFmtId="164" fontId="10" fillId="14" borderId="8" xfId="0" applyNumberFormat="1" applyFont="1" applyFill="1" applyBorder="1" applyAlignment="1">
      <alignment horizontal="center"/>
    </xf>
    <xf numFmtId="0" fontId="10" fillId="14" borderId="8" xfId="0" applyFont="1" applyFill="1" applyBorder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0" fontId="10" fillId="15" borderId="8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top"/>
    </xf>
    <xf numFmtId="164" fontId="10" fillId="3" borderId="8" xfId="0" applyNumberFormat="1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3" fillId="1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/>
    </xf>
    <xf numFmtId="0" fontId="3" fillId="9" borderId="7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9" fillId="12" borderId="19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9" fontId="5" fillId="3" borderId="18" xfId="1" applyFont="1" applyFill="1" applyBorder="1" applyAlignment="1">
      <alignment horizontal="center" vertical="center"/>
    </xf>
    <xf numFmtId="9" fontId="5" fillId="3" borderId="16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2FD1-BACA-41E6-8F4D-F4950F98F18D}">
  <sheetPr>
    <pageSetUpPr fitToPage="1"/>
  </sheetPr>
  <dimension ref="A1:M38"/>
  <sheetViews>
    <sheetView tabSelected="1" zoomScale="70" zoomScaleNormal="70" workbookViewId="0">
      <selection activeCell="E20" sqref="E20"/>
    </sheetView>
  </sheetViews>
  <sheetFormatPr defaultRowHeight="15" x14ac:dyDescent="0.25"/>
  <cols>
    <col min="1" max="1" width="49.5703125" style="49" bestFit="1" customWidth="1"/>
    <col min="2" max="3" width="15.7109375" customWidth="1"/>
    <col min="4" max="4" width="24.140625" customWidth="1"/>
    <col min="5" max="10" width="15.7109375" customWidth="1"/>
    <col min="11" max="11" width="16.28515625" customWidth="1"/>
    <col min="12" max="13" width="15.7109375" customWidth="1"/>
  </cols>
  <sheetData>
    <row r="1" spans="1:13" ht="21" thickBot="1" x14ac:dyDescent="0.3">
      <c r="A1" s="50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8"/>
      <c r="M1" s="19"/>
    </row>
    <row r="2" spans="1:13" ht="21.75" thickBot="1" x14ac:dyDescent="0.4">
      <c r="A2" s="60" t="s">
        <v>16</v>
      </c>
      <c r="B2" s="63" t="s">
        <v>0</v>
      </c>
      <c r="C2" s="63"/>
      <c r="D2" s="62" t="s">
        <v>1</v>
      </c>
      <c r="E2" s="63"/>
      <c r="F2" s="62" t="s">
        <v>2</v>
      </c>
      <c r="G2" s="63"/>
      <c r="H2" s="64" t="s">
        <v>3</v>
      </c>
      <c r="I2" s="65"/>
      <c r="J2" s="64" t="s">
        <v>17</v>
      </c>
      <c r="K2" s="74"/>
      <c r="L2" s="68" t="s">
        <v>22</v>
      </c>
      <c r="M2" s="69"/>
    </row>
    <row r="3" spans="1:13" ht="31.15" customHeight="1" thickBot="1" x14ac:dyDescent="0.3">
      <c r="A3" s="61"/>
      <c r="B3" s="26" t="s">
        <v>4</v>
      </c>
      <c r="C3" s="27" t="s">
        <v>5</v>
      </c>
      <c r="D3" s="28" t="s">
        <v>4</v>
      </c>
      <c r="E3" s="27" t="s">
        <v>5</v>
      </c>
      <c r="F3" s="28" t="s">
        <v>4</v>
      </c>
      <c r="G3" s="27" t="s">
        <v>5</v>
      </c>
      <c r="H3" s="28" t="s">
        <v>4</v>
      </c>
      <c r="I3" s="27" t="s">
        <v>5</v>
      </c>
      <c r="J3" s="28" t="s">
        <v>4</v>
      </c>
      <c r="K3" s="29" t="s">
        <v>5</v>
      </c>
      <c r="L3" s="28" t="s">
        <v>4</v>
      </c>
      <c r="M3" s="29" t="s">
        <v>5</v>
      </c>
    </row>
    <row r="4" spans="1:13" ht="25.15" customHeight="1" x14ac:dyDescent="0.3">
      <c r="A4" s="51" t="s">
        <v>6</v>
      </c>
      <c r="B4" s="23"/>
      <c r="C4" s="24">
        <f>B4/$B$16</f>
        <v>0</v>
      </c>
      <c r="D4" s="23"/>
      <c r="E4" s="24">
        <f>D4/$D$16</f>
        <v>0</v>
      </c>
      <c r="F4" s="23"/>
      <c r="G4" s="24">
        <f>F4/$F$16</f>
        <v>0</v>
      </c>
      <c r="H4" s="23"/>
      <c r="I4" s="24">
        <f>H4/$H$16</f>
        <v>0</v>
      </c>
      <c r="J4" s="23"/>
      <c r="K4" s="24">
        <f>J4/$H$16</f>
        <v>0</v>
      </c>
      <c r="L4" s="23"/>
      <c r="M4" s="25">
        <f>L4/$H$16</f>
        <v>0</v>
      </c>
    </row>
    <row r="5" spans="1:13" ht="25.15" customHeight="1" x14ac:dyDescent="0.3">
      <c r="A5" s="52" t="s">
        <v>20</v>
      </c>
      <c r="B5" s="3"/>
      <c r="C5" s="17"/>
      <c r="D5" s="3"/>
      <c r="E5" s="17"/>
      <c r="F5" s="3"/>
      <c r="G5" s="17"/>
      <c r="H5" s="3">
        <v>9000</v>
      </c>
      <c r="I5" s="17">
        <f>H5/$H$16</f>
        <v>0.36</v>
      </c>
      <c r="J5" s="3">
        <v>9000</v>
      </c>
      <c r="K5" s="20">
        <f>J5/$H$16</f>
        <v>0.36</v>
      </c>
      <c r="L5" s="3"/>
      <c r="M5" s="4">
        <f>L5/$H$16</f>
        <v>0</v>
      </c>
    </row>
    <row r="6" spans="1:13" ht="25.15" customHeight="1" x14ac:dyDescent="0.3">
      <c r="A6" s="52" t="s">
        <v>19</v>
      </c>
      <c r="B6" s="9">
        <v>8000</v>
      </c>
      <c r="C6" s="10">
        <f>B6/$B$16</f>
        <v>0.32653061224489793</v>
      </c>
      <c r="D6" s="9">
        <v>8000</v>
      </c>
      <c r="E6" s="10">
        <f>D6/$D$16</f>
        <v>0.31620553359683795</v>
      </c>
      <c r="F6" s="9">
        <v>8000</v>
      </c>
      <c r="G6" s="10">
        <f>F6/$F$16</f>
        <v>0.32</v>
      </c>
      <c r="H6" s="16"/>
      <c r="I6" s="16"/>
      <c r="J6" s="16"/>
      <c r="K6" s="16"/>
      <c r="L6" s="9">
        <v>6000</v>
      </c>
      <c r="M6" s="4">
        <f>L6/$H$16</f>
        <v>0.24</v>
      </c>
    </row>
    <row r="7" spans="1:13" ht="25.15" customHeight="1" x14ac:dyDescent="0.3">
      <c r="A7" s="53" t="s">
        <v>7</v>
      </c>
      <c r="B7" s="1"/>
      <c r="C7" s="2"/>
      <c r="D7" s="1"/>
      <c r="E7" s="2"/>
      <c r="F7" s="1"/>
      <c r="G7" s="2"/>
      <c r="H7" s="3"/>
      <c r="I7" s="2"/>
      <c r="J7" s="3"/>
      <c r="K7" s="20"/>
      <c r="L7" s="3"/>
      <c r="M7" s="4"/>
    </row>
    <row r="8" spans="1:13" ht="25.15" customHeight="1" x14ac:dyDescent="0.3">
      <c r="A8" s="54" t="s">
        <v>18</v>
      </c>
      <c r="B8" s="9">
        <v>5000</v>
      </c>
      <c r="C8" s="10">
        <f>B8/$B$16</f>
        <v>0.20408163265306123</v>
      </c>
      <c r="D8" s="9">
        <v>5000</v>
      </c>
      <c r="E8" s="10">
        <f>D8/$D$16</f>
        <v>0.19762845849802371</v>
      </c>
      <c r="F8" s="9">
        <v>5000</v>
      </c>
      <c r="G8" s="10">
        <f>F8/$F$16</f>
        <v>0.2</v>
      </c>
      <c r="H8" s="9"/>
      <c r="I8" s="10"/>
      <c r="J8" s="9"/>
      <c r="K8" s="21"/>
      <c r="L8" s="9"/>
      <c r="M8" s="11"/>
    </row>
    <row r="9" spans="1:13" ht="25.15" customHeight="1" x14ac:dyDescent="0.3">
      <c r="A9" s="55" t="s">
        <v>8</v>
      </c>
      <c r="B9" s="1">
        <v>10000</v>
      </c>
      <c r="C9" s="2">
        <f>B9/$B$16</f>
        <v>0.40816326530612246</v>
      </c>
      <c r="D9" s="1"/>
      <c r="E9" s="2"/>
      <c r="F9" s="1"/>
      <c r="G9" s="2"/>
      <c r="H9" s="1"/>
      <c r="I9" s="2"/>
      <c r="J9" s="1"/>
      <c r="K9" s="22"/>
      <c r="L9" s="1"/>
      <c r="M9" s="5"/>
    </row>
    <row r="10" spans="1:13" ht="25.15" customHeight="1" x14ac:dyDescent="0.3">
      <c r="A10" s="55" t="s">
        <v>9</v>
      </c>
      <c r="B10" s="9"/>
      <c r="C10" s="10"/>
      <c r="D10" s="9">
        <v>11000</v>
      </c>
      <c r="E10" s="10">
        <f>D10/$D$16</f>
        <v>0.43478260869565216</v>
      </c>
      <c r="F10" s="9"/>
      <c r="G10" s="10"/>
      <c r="H10" s="9"/>
      <c r="I10" s="10"/>
      <c r="J10" s="9"/>
      <c r="K10" s="10"/>
      <c r="L10" s="9"/>
      <c r="M10" s="12"/>
    </row>
    <row r="11" spans="1:13" ht="25.15" customHeight="1" x14ac:dyDescent="0.3">
      <c r="A11" s="55" t="s">
        <v>10</v>
      </c>
      <c r="B11" s="1"/>
      <c r="C11" s="2"/>
      <c r="D11" s="1"/>
      <c r="E11" s="2"/>
      <c r="F11" s="1">
        <v>9000</v>
      </c>
      <c r="G11" s="2">
        <f>F11/$F$16</f>
        <v>0.36</v>
      </c>
      <c r="H11" s="7"/>
      <c r="I11" s="7"/>
      <c r="J11" s="1"/>
      <c r="K11" s="2"/>
      <c r="L11" s="1"/>
      <c r="M11" s="6"/>
    </row>
    <row r="12" spans="1:13" ht="25.15" customHeight="1" x14ac:dyDescent="0.3">
      <c r="A12" s="56" t="s">
        <v>11</v>
      </c>
      <c r="B12" s="9"/>
      <c r="C12" s="10"/>
      <c r="D12" s="9"/>
      <c r="E12" s="10"/>
      <c r="F12" s="9"/>
      <c r="G12" s="10"/>
      <c r="H12" s="9"/>
      <c r="I12" s="10"/>
      <c r="J12" s="9">
        <v>14000</v>
      </c>
      <c r="K12" s="10">
        <f>J12/$H$16</f>
        <v>0.56000000000000005</v>
      </c>
      <c r="L12" s="70">
        <v>14000</v>
      </c>
      <c r="M12" s="72">
        <f>L12/$H$16</f>
        <v>0.56000000000000005</v>
      </c>
    </row>
    <row r="13" spans="1:13" ht="25.15" customHeight="1" x14ac:dyDescent="0.3">
      <c r="A13" s="56" t="s">
        <v>12</v>
      </c>
      <c r="B13" s="1"/>
      <c r="C13" s="2"/>
      <c r="D13" s="1"/>
      <c r="E13" s="2"/>
      <c r="F13" s="1"/>
      <c r="G13" s="2"/>
      <c r="H13" s="1">
        <v>14000</v>
      </c>
      <c r="I13" s="2">
        <f>H13/$H$16</f>
        <v>0.56000000000000005</v>
      </c>
      <c r="J13" s="1"/>
      <c r="K13" s="2"/>
      <c r="L13" s="71"/>
      <c r="M13" s="73"/>
    </row>
    <row r="14" spans="1:13" ht="25.15" customHeight="1" x14ac:dyDescent="0.3">
      <c r="A14" s="57" t="s">
        <v>13</v>
      </c>
      <c r="B14" s="9"/>
      <c r="C14" s="10"/>
      <c r="D14" s="16"/>
      <c r="E14" s="16"/>
      <c r="F14" s="16"/>
      <c r="G14" s="16"/>
      <c r="H14" s="9">
        <v>2000</v>
      </c>
      <c r="I14" s="10">
        <f>H14/$H$16</f>
        <v>0.08</v>
      </c>
      <c r="J14" s="9">
        <v>2000</v>
      </c>
      <c r="K14" s="10">
        <f>J14/$H$16</f>
        <v>0.08</v>
      </c>
      <c r="L14" s="9">
        <v>5000</v>
      </c>
      <c r="M14" s="12">
        <f>L14/$H$16</f>
        <v>0.2</v>
      </c>
    </row>
    <row r="15" spans="1:13" ht="25.15" customHeight="1" x14ac:dyDescent="0.3">
      <c r="A15" s="58" t="s">
        <v>14</v>
      </c>
      <c r="B15" s="3">
        <v>1500</v>
      </c>
      <c r="C15" s="17">
        <f>B15/$B$16</f>
        <v>6.1224489795918366E-2</v>
      </c>
      <c r="D15" s="3">
        <v>1300</v>
      </c>
      <c r="E15" s="17">
        <f>D15/$D$16</f>
        <v>5.1383399209486168E-2</v>
      </c>
      <c r="F15" s="3">
        <v>3000</v>
      </c>
      <c r="G15" s="17">
        <f>F15/$F$16</f>
        <v>0.12</v>
      </c>
      <c r="H15" s="7"/>
      <c r="I15" s="7"/>
      <c r="J15" s="7"/>
      <c r="K15" s="7"/>
      <c r="L15" s="7"/>
      <c r="M15" s="8"/>
    </row>
    <row r="16" spans="1:13" ht="25.15" customHeight="1" thickBot="1" x14ac:dyDescent="0.35">
      <c r="A16" s="59" t="s">
        <v>15</v>
      </c>
      <c r="B16" s="13">
        <f t="shared" ref="B16:G16" si="0">SUM(B4:B15)</f>
        <v>24500</v>
      </c>
      <c r="C16" s="14">
        <f t="shared" si="0"/>
        <v>0.99999999999999989</v>
      </c>
      <c r="D16" s="13">
        <f t="shared" si="0"/>
        <v>25300</v>
      </c>
      <c r="E16" s="14">
        <f t="shared" si="0"/>
        <v>1</v>
      </c>
      <c r="F16" s="13">
        <f t="shared" si="0"/>
        <v>25000</v>
      </c>
      <c r="G16" s="14">
        <f t="shared" si="0"/>
        <v>1</v>
      </c>
      <c r="H16" s="13">
        <f t="shared" ref="H16:K16" si="1">SUM(H4:H14)</f>
        <v>25000</v>
      </c>
      <c r="I16" s="14">
        <f t="shared" si="1"/>
        <v>1</v>
      </c>
      <c r="J16" s="13">
        <f t="shared" si="1"/>
        <v>25000</v>
      </c>
      <c r="K16" s="15">
        <f t="shared" si="1"/>
        <v>1</v>
      </c>
      <c r="L16" s="13">
        <f t="shared" ref="L16:M16" si="2">SUM(L4:L14)</f>
        <v>25000</v>
      </c>
      <c r="M16" s="15">
        <f t="shared" si="2"/>
        <v>1</v>
      </c>
    </row>
    <row r="17" spans="1:4" s="76" customFormat="1" ht="15.75" thickBot="1" x14ac:dyDescent="0.3">
      <c r="A17" s="75"/>
      <c r="B17" s="75"/>
      <c r="C17" s="75"/>
      <c r="D17" s="75"/>
    </row>
    <row r="18" spans="1:4" ht="22.15" customHeight="1" x14ac:dyDescent="0.25">
      <c r="A18" s="30" t="s">
        <v>27</v>
      </c>
      <c r="B18" s="66" t="s">
        <v>28</v>
      </c>
      <c r="C18" s="66"/>
      <c r="D18" s="67"/>
    </row>
    <row r="19" spans="1:4" ht="15.75" x14ac:dyDescent="0.25">
      <c r="A19" s="31" t="s">
        <v>23</v>
      </c>
      <c r="B19" s="32" t="s">
        <v>24</v>
      </c>
      <c r="C19" s="32" t="s">
        <v>26</v>
      </c>
      <c r="D19" s="33" t="s">
        <v>25</v>
      </c>
    </row>
    <row r="20" spans="1:4" ht="15.75" x14ac:dyDescent="0.25">
      <c r="A20" s="34" t="s">
        <v>37</v>
      </c>
      <c r="B20" s="35" t="s">
        <v>31</v>
      </c>
      <c r="C20" s="36" t="s">
        <v>29</v>
      </c>
      <c r="D20" s="33" t="s">
        <v>30</v>
      </c>
    </row>
    <row r="21" spans="1:4" ht="15.75" x14ac:dyDescent="0.25">
      <c r="A21" s="34" t="s">
        <v>41</v>
      </c>
      <c r="B21" s="35" t="s">
        <v>31</v>
      </c>
      <c r="C21" s="36" t="s">
        <v>29</v>
      </c>
      <c r="D21" s="33" t="s">
        <v>30</v>
      </c>
    </row>
    <row r="22" spans="1:4" ht="15.75" x14ac:dyDescent="0.25">
      <c r="A22" s="34" t="s">
        <v>40</v>
      </c>
      <c r="B22" s="35" t="s">
        <v>31</v>
      </c>
      <c r="C22" s="36" t="s">
        <v>29</v>
      </c>
      <c r="D22" s="33" t="s">
        <v>30</v>
      </c>
    </row>
    <row r="23" spans="1:4" ht="15.75" x14ac:dyDescent="0.25">
      <c r="A23" s="34" t="s">
        <v>39</v>
      </c>
      <c r="B23" s="35" t="s">
        <v>31</v>
      </c>
      <c r="C23" s="36" t="s">
        <v>29</v>
      </c>
      <c r="D23" s="33" t="s">
        <v>30</v>
      </c>
    </row>
    <row r="24" spans="1:4" ht="15.75" x14ac:dyDescent="0.25">
      <c r="A24" s="34" t="s">
        <v>38</v>
      </c>
      <c r="B24" s="35" t="s">
        <v>31</v>
      </c>
      <c r="C24" s="36" t="s">
        <v>29</v>
      </c>
      <c r="D24" s="33" t="s">
        <v>30</v>
      </c>
    </row>
    <row r="25" spans="1:4" ht="15.75" x14ac:dyDescent="0.25">
      <c r="A25" s="37" t="s">
        <v>42</v>
      </c>
      <c r="B25" s="39" t="s">
        <v>32</v>
      </c>
      <c r="C25" s="38" t="s">
        <v>29</v>
      </c>
      <c r="D25" s="40" t="s">
        <v>30</v>
      </c>
    </row>
    <row r="26" spans="1:4" ht="15.75" x14ac:dyDescent="0.25">
      <c r="A26" s="37" t="s">
        <v>44</v>
      </c>
      <c r="B26" s="39" t="s">
        <v>32</v>
      </c>
      <c r="C26" s="38" t="s">
        <v>29</v>
      </c>
      <c r="D26" s="40" t="s">
        <v>30</v>
      </c>
    </row>
    <row r="27" spans="1:4" ht="15.75" x14ac:dyDescent="0.25">
      <c r="A27" s="37" t="s">
        <v>43</v>
      </c>
      <c r="B27" s="39" t="s">
        <v>32</v>
      </c>
      <c r="C27" s="38" t="s">
        <v>29</v>
      </c>
      <c r="D27" s="40" t="s">
        <v>30</v>
      </c>
    </row>
    <row r="28" spans="1:4" ht="15.75" x14ac:dyDescent="0.25">
      <c r="A28" s="37" t="s">
        <v>46</v>
      </c>
      <c r="B28" s="39" t="s">
        <v>32</v>
      </c>
      <c r="C28" s="38" t="s">
        <v>29</v>
      </c>
      <c r="D28" s="40" t="s">
        <v>30</v>
      </c>
    </row>
    <row r="29" spans="1:4" ht="15.75" x14ac:dyDescent="0.25">
      <c r="A29" s="37" t="s">
        <v>55</v>
      </c>
      <c r="B29" s="39" t="s">
        <v>34</v>
      </c>
      <c r="C29" s="39" t="s">
        <v>29</v>
      </c>
      <c r="D29" s="40" t="s">
        <v>30</v>
      </c>
    </row>
    <row r="30" spans="1:4" ht="15.75" x14ac:dyDescent="0.25">
      <c r="A30" s="37" t="s">
        <v>45</v>
      </c>
      <c r="B30" s="39" t="s">
        <v>32</v>
      </c>
      <c r="C30" s="38" t="s">
        <v>29</v>
      </c>
      <c r="D30" s="40" t="s">
        <v>30</v>
      </c>
    </row>
    <row r="31" spans="1:4" ht="15.75" x14ac:dyDescent="0.25">
      <c r="A31" s="37" t="s">
        <v>47</v>
      </c>
      <c r="B31" s="39" t="s">
        <v>32</v>
      </c>
      <c r="C31" s="38" t="s">
        <v>33</v>
      </c>
      <c r="D31" s="40" t="s">
        <v>30</v>
      </c>
    </row>
    <row r="32" spans="1:4" ht="15.75" x14ac:dyDescent="0.25">
      <c r="A32" s="41" t="s">
        <v>54</v>
      </c>
      <c r="B32" s="42" t="s">
        <v>34</v>
      </c>
      <c r="C32" s="42" t="s">
        <v>29</v>
      </c>
      <c r="D32" s="43" t="s">
        <v>30</v>
      </c>
    </row>
    <row r="33" spans="1:4" ht="15.75" x14ac:dyDescent="0.25">
      <c r="A33" s="41" t="s">
        <v>53</v>
      </c>
      <c r="B33" s="42" t="s">
        <v>34</v>
      </c>
      <c r="C33" s="42" t="s">
        <v>29</v>
      </c>
      <c r="D33" s="43" t="s">
        <v>30</v>
      </c>
    </row>
    <row r="34" spans="1:4" ht="15.75" x14ac:dyDescent="0.25">
      <c r="A34" s="37" t="s">
        <v>48</v>
      </c>
      <c r="B34" s="39" t="s">
        <v>32</v>
      </c>
      <c r="C34" s="38" t="s">
        <v>29</v>
      </c>
      <c r="D34" s="40" t="s">
        <v>30</v>
      </c>
    </row>
    <row r="35" spans="1:4" ht="15.75" x14ac:dyDescent="0.25">
      <c r="A35" s="44" t="s">
        <v>52</v>
      </c>
      <c r="B35" s="45" t="s">
        <v>31</v>
      </c>
      <c r="C35" s="46" t="s">
        <v>29</v>
      </c>
      <c r="D35" s="47" t="s">
        <v>35</v>
      </c>
    </row>
    <row r="36" spans="1:4" ht="15.75" x14ac:dyDescent="0.25">
      <c r="A36" s="44" t="s">
        <v>51</v>
      </c>
      <c r="B36" s="45" t="s">
        <v>31</v>
      </c>
      <c r="C36" s="46" t="s">
        <v>29</v>
      </c>
      <c r="D36" s="47" t="s">
        <v>35</v>
      </c>
    </row>
    <row r="37" spans="1:4" ht="15.75" x14ac:dyDescent="0.25">
      <c r="A37" s="37" t="s">
        <v>49</v>
      </c>
      <c r="B37" s="39" t="s">
        <v>32</v>
      </c>
      <c r="C37" s="38" t="s">
        <v>29</v>
      </c>
      <c r="D37" s="40" t="s">
        <v>30</v>
      </c>
    </row>
    <row r="38" spans="1:4" ht="16.5" thickBot="1" x14ac:dyDescent="0.3">
      <c r="A38" s="48" t="s">
        <v>50</v>
      </c>
      <c r="B38" s="35" t="s">
        <v>36</v>
      </c>
      <c r="C38" s="36" t="s">
        <v>29</v>
      </c>
      <c r="D38" s="33" t="s">
        <v>30</v>
      </c>
    </row>
  </sheetData>
  <protectedRanges>
    <protectedRange algorithmName="SHA-512" hashValue="sK+62FJkA1/2bCp6ohDOSKNCIZ3wZd0MXy3j7EvzvMUwB/OLBa4uJrXdudNMCzuiiXpfyjmCxXCuWl2m9sAJXA==" saltValue="9qiEnrX8qEkf7RDM7sUlTg==" spinCount="100000" sqref="C4:C16 K10:K14 K16 I16 E15:E16 G15:G16 I12:I14 I4:I5 I7:I10 K4:K5 K7:K8 E4:E13 G4:G13 M10:M14 M16 M4:M8" name="Intervalo1" securityDescriptor="O:WDG:WDD:(A;;CC;;;S-1-5-21-1043712085-1757982665-2783218801-1172)(A;;CC;;;S-1-5-21-1043712085-1757982665-2783218801-1176)(A;;CC;;;S-1-5-21-1043712085-1757982665-2783218801-1323)"/>
  </protectedRanges>
  <mergeCells count="11">
    <mergeCell ref="A2:A3"/>
    <mergeCell ref="D2:E2"/>
    <mergeCell ref="H2:I2"/>
    <mergeCell ref="B18:D18"/>
    <mergeCell ref="L2:M2"/>
    <mergeCell ref="L12:L13"/>
    <mergeCell ref="M12:M13"/>
    <mergeCell ref="B2:C2"/>
    <mergeCell ref="J2:K2"/>
    <mergeCell ref="F2:G2"/>
    <mergeCell ref="A17:XFD17"/>
  </mergeCells>
  <phoneticPr fontId="11" type="noConversion"/>
  <pageMargins left="0.511811024" right="0.511811024" top="0.78740157499999996" bottom="0.78740157499999996" header="0.31496062000000002" footer="0.31496062000000002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Cleber Costa</dc:creator>
  <cp:lastModifiedBy>Maykon Alvino Silveira Brito  </cp:lastModifiedBy>
  <cp:lastPrinted>2026-06-10T09:58:42Z</cp:lastPrinted>
  <dcterms:created xsi:type="dcterms:W3CDTF">2015-06-05T18:19:34Z</dcterms:created>
  <dcterms:modified xsi:type="dcterms:W3CDTF">2026-06-10T10:00:50Z</dcterms:modified>
</cp:coreProperties>
</file>
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filterPrivacy="1" defaultThemeVersion="124226"/>
  <xr:revisionPtr revIDLastSave="0" documentId="13_ncr:1_{94C76F13-2BED-4E05-A4E6-7B9E13E6D159}" xr6:coauthVersionLast="43" xr6:coauthVersionMax="43" xr10:uidLastSave="{00000000-0000-0000-0000-000000000000}"/>
  <bookViews>
    <workbookView xWindow="-120" yWindow="-120" windowWidth="24240" windowHeight="13140" firstSheet="2" activeTab="2" xr2:uid="{00000000-000D-0000-FFFF-FFFF00000000}"/>
  </bookViews>
  <sheets>
    <sheet name="Plan1" sheetId="1" state="hidden" r:id="rId1"/>
    <sheet name="VERSO" sheetId="2" state="hidden" r:id="rId2"/>
    <sheet name="ANEXO" sheetId="3" r:id="rId3"/>
  </sheets>
  <definedNames>
    <definedName name="_xlnm.Print_Area" localSheetId="2">ANEXO!$A$1:$M$55</definedName>
    <definedName name="_xlnm.Print_Area" localSheetId="1">VERSO!$A$1:$AW$49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22" i="1" l="1"/>
  <c r="H23" i="1" s="1"/>
  <c r="E17" i="1"/>
  <c r="H17" i="1" s="1"/>
  <c r="H12" i="1"/>
  <c r="H11" i="1"/>
  <c r="H10" i="1"/>
  <c r="H9" i="1"/>
  <c r="H8" i="1"/>
  <c r="H7" i="1"/>
  <c r="H6" i="1"/>
  <c r="H5" i="1"/>
  <c r="H13" i="1" s="1"/>
  <c r="G25" i="1" s="1"/>
  <c r="G27" i="1" s="1"/>
</calcChain>
</file>

<file path=xl/sharedStrings.xml><?xml version="1.0" encoding="utf-8"?>
<sst xmlns="http://schemas.openxmlformats.org/spreadsheetml/2006/main" count="167" uniqueCount="127">
  <si>
    <t>Massa seca XM-LGS HTC</t>
  </si>
  <si>
    <t>Decrição Material</t>
  </si>
  <si>
    <t>Código</t>
  </si>
  <si>
    <t>Fornecedor</t>
  </si>
  <si>
    <t>Metal Kast 85</t>
  </si>
  <si>
    <t>ALLIED MINERAL PRODUCTS</t>
  </si>
  <si>
    <t>Qtd</t>
  </si>
  <si>
    <t>Preço Unitário</t>
  </si>
  <si>
    <t xml:space="preserve">Forma Perdida </t>
  </si>
  <si>
    <t>Folha de mica</t>
  </si>
  <si>
    <t>Unid</t>
  </si>
  <si>
    <t>Kg</t>
  </si>
  <si>
    <t>pç</t>
  </si>
  <si>
    <t>M</t>
  </si>
  <si>
    <t>Materiais</t>
  </si>
  <si>
    <t>Cola Branca</t>
  </si>
  <si>
    <t>Fio Níquel Cromo</t>
  </si>
  <si>
    <t>L</t>
  </si>
  <si>
    <t>Grout</t>
  </si>
  <si>
    <t>Cola Sapateiro</t>
  </si>
  <si>
    <t>Mão de Obra</t>
  </si>
  <si>
    <t>Homens</t>
  </si>
  <si>
    <t>Hora / Homem</t>
  </si>
  <si>
    <t>Tipo</t>
  </si>
  <si>
    <t>Custo Total de Materiais</t>
  </si>
  <si>
    <t>Ferramentas</t>
  </si>
  <si>
    <t>Ferramenta</t>
  </si>
  <si>
    <t>Tipo de Recurso</t>
  </si>
  <si>
    <t>Custo Unit.</t>
  </si>
  <si>
    <t>Unid. Medida</t>
  </si>
  <si>
    <t>Aluguel</t>
  </si>
  <si>
    <t>Dia</t>
  </si>
  <si>
    <t>Compactador Bosch C/ Painel</t>
  </si>
  <si>
    <t>Utilização</t>
  </si>
  <si>
    <t>Tipo De Mão Obra</t>
  </si>
  <si>
    <t>Operação Setor de fusão</t>
  </si>
  <si>
    <t>Hoaras Totais</t>
  </si>
  <si>
    <t>R$ / Ton. Produzida</t>
  </si>
  <si>
    <t xml:space="preserve">Tonelada Produzida p/ Campanha </t>
  </si>
  <si>
    <t xml:space="preserve">Custo Total - Revestimento Refratário </t>
  </si>
  <si>
    <t>M²</t>
  </si>
  <si>
    <t>TOMIG</t>
  </si>
  <si>
    <t>Outros</t>
  </si>
  <si>
    <t>Custo HH - Fusão</t>
  </si>
  <si>
    <t>Custo M.O</t>
  </si>
  <si>
    <t>Custo M.P</t>
  </si>
  <si>
    <t>Custo Equip.</t>
  </si>
  <si>
    <t>Fusor 01</t>
  </si>
  <si>
    <t>Fusor 02</t>
  </si>
  <si>
    <t>Holding 01</t>
  </si>
  <si>
    <t>Holding 02</t>
  </si>
  <si>
    <t>Partida a Frio</t>
  </si>
  <si>
    <t>RELATÓRIO DE SINTERIZAÇÃO / PARTIDA A FRIO</t>
  </si>
  <si>
    <t>Sinterização Sólida</t>
  </si>
  <si>
    <t>Sinterização Líquida</t>
  </si>
  <si>
    <t>TIPO DE ATIVIDADE</t>
  </si>
  <si>
    <t>IDENTIFICAÇÃO</t>
  </si>
  <si>
    <t>MONITORAMENTO DA CURVA DE AQUECIMENTO / SINTERIZAÇÃO DO FORNO</t>
  </si>
  <si>
    <t>Hora</t>
  </si>
  <si>
    <t>Tempo de Calor</t>
  </si>
  <si>
    <t>Temperatura 
Média C°</t>
  </si>
  <si>
    <t>Temperatura 
Topo C°</t>
  </si>
  <si>
    <t>Temperatura 
Fundo C°</t>
  </si>
  <si>
    <t>Temperatura 
Meio C°</t>
  </si>
  <si>
    <t>Temperatura  °C</t>
  </si>
  <si>
    <t>RESPONSÁVEL :  ____________________________   _________</t>
  </si>
  <si>
    <t>VISTO OPERADOR</t>
  </si>
  <si>
    <t>_______________________</t>
  </si>
  <si>
    <t xml:space="preserve">DATA DE COLAGEM DA MICA:  </t>
  </si>
  <si>
    <t>Operador</t>
  </si>
  <si>
    <t>DATA DA VIBRAÇÃO</t>
  </si>
  <si>
    <t>PRESSÃO DO AR COMPRIMIDO</t>
  </si>
  <si>
    <t>CONDIÇÃO DO VIBRADOR</t>
  </si>
  <si>
    <t>PARTIDA</t>
  </si>
  <si>
    <t>HORA</t>
  </si>
  <si>
    <t>1ª HORA</t>
  </si>
  <si>
    <t>2ª HORA</t>
  </si>
  <si>
    <t>3ª HORA</t>
  </si>
  <si>
    <t>4ª HORA</t>
  </si>
  <si>
    <t>5ª HORA</t>
  </si>
  <si>
    <t>6ª HORA</t>
  </si>
  <si>
    <r>
      <t>ISOLAÇÃO 
(K</t>
    </r>
    <r>
      <rPr>
        <sz val="11"/>
        <color theme="1"/>
        <rFont val="Calibri"/>
        <family val="2"/>
      </rPr>
      <t>Ω)</t>
    </r>
  </si>
  <si>
    <t>7ª HORA</t>
  </si>
  <si>
    <t>8ª HORA</t>
  </si>
  <si>
    <t>9ª HORA</t>
  </si>
  <si>
    <t>10ª HORA</t>
  </si>
  <si>
    <t>11ª HORA</t>
  </si>
  <si>
    <t>12ª HORA</t>
  </si>
  <si>
    <t>13ª HORA</t>
  </si>
  <si>
    <t>14ª HORA</t>
  </si>
  <si>
    <t>15ª HORA</t>
  </si>
  <si>
    <t>16ª HORA</t>
  </si>
  <si>
    <t>REGISTRO</t>
  </si>
  <si>
    <t>OBSERVAÇÃO</t>
  </si>
  <si>
    <t>EQUIPE DE INSTALAÇÃO DO REFRATÁRIO</t>
  </si>
  <si>
    <t>⃝  NOK</t>
  </si>
  <si>
    <t>⃝  OK</t>
  </si>
  <si>
    <t>REALIZAR REPARO NO GROUT DA BOBINA</t>
  </si>
  <si>
    <t>REALIZAR SECAGEM DO GROUT (min 8 horas)</t>
  </si>
  <si>
    <t>REALIZAR REPARO NA BICA DO FORNO</t>
  </si>
  <si>
    <t>INSTALAÇÃO DO REFRATÁRIO  ( ETAPA 2 )</t>
  </si>
  <si>
    <t>⃝  N / A</t>
  </si>
  <si>
    <t>VERIFICAR CONDIÇÕES DO GROUT DA BOBINA</t>
  </si>
  <si>
    <t>VERIFICAR CONDIÇÕES DA BICA DO FORNO</t>
  </si>
  <si>
    <t>CHECK LIST DO EQUIPAMENTO  ( ETAPA 1 )</t>
  </si>
  <si>
    <t>REALIZAR SECAGEM DA BICA (min 12 horas)</t>
  </si>
  <si>
    <t>VERIFICAR CONDIÇÃO DA BASE INFERIOR</t>
  </si>
  <si>
    <t>VERIFICAR CONDIÇÃO DO ANEL SUPERIOR</t>
  </si>
  <si>
    <t>VERIFICAR CONDIÇÃO REFRATÁRIO DA TAMPA</t>
  </si>
  <si>
    <t>VIBRAÇÃO / COMPACTAÇÃO (ETAPA 3)</t>
  </si>
  <si>
    <t>Responsável: __________________________            _________</t>
  </si>
  <si>
    <t>TEMP. (°C)</t>
  </si>
  <si>
    <t xml:space="preserve">CARGA
 (LÍQUIDO/ SÓLIDO) </t>
  </si>
  <si>
    <t>FORNO:  __________</t>
  </si>
  <si>
    <t>CAMPANHA:  ____</t>
  </si>
  <si>
    <t>PARTIDA FRIO  / SINTERIZAÇÃO (ETAPA 4)</t>
  </si>
  <si>
    <t>PARECER PRODUÇÃO</t>
  </si>
  <si>
    <t>⃝  LIBERADO</t>
  </si>
  <si>
    <t>LIBERAÇÃO PARA PRODUÇÃO (ETAPA 5)</t>
  </si>
  <si>
    <t>⃝ Não liberado - justificativa _____________________________________________________________</t>
  </si>
  <si>
    <t xml:space="preserve">VERIFICAR LIMPEZA EXTERNA  DA BOBINA </t>
  </si>
  <si>
    <t>COMENTÁRIOS / OBSERVAÇÃO</t>
  </si>
  <si>
    <t xml:space="preserve">  </t>
  </si>
  <si>
    <t>Relatório de Sinterização e Partida a Frio</t>
  </si>
  <si>
    <t>VISTO SUPERVISOR</t>
  </si>
  <si>
    <t>INÍCIO DA OBRA.: ____/______/____</t>
  </si>
  <si>
    <t>FIM OBRA: ______/_____/_____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</si>
</sst>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0_-;\-&quot;R$&quot;\ * #,##0.000_-;_-&quot;R$&quot;\ * &quot;-&quot;??_-;_-@_-"/>
    <numFmt numFmtId="165" formatCode="_-* #,##0_-;\-* #,##0_-;_-* &quot;-&quot;??_-;_-@_-"/>
    <numFmt numFmtId="166" formatCode="_-&quot;R$&quot;\ * #,##0.000_-;\-&quot;R$&quot;\ * #,##0.000_-;_-&quot;R$&quot;\ * &quot;-&quot;?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44" fontId="3" fillId="5" borderId="4" xfId="2" applyFont="1" applyFill="1" applyBorder="1" applyAlignment="1">
      <alignment horizontal="center"/>
    </xf>
    <xf numFmtId="44" fontId="3" fillId="2" borderId="7" xfId="2" applyFont="1" applyFill="1" applyBorder="1" applyAlignment="1">
      <alignment horizontal="center"/>
    </xf>
    <xf numFmtId="44" fontId="3" fillId="6" borderId="2" xfId="2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0" xfId="0" applyFont="1"/>
    <xf numFmtId="166" fontId="0" fillId="0" borderId="0" xfId="0" applyNumberFormat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0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7" fillId="0" borderId="24" xfId="0" applyFont="1" applyBorder="1"/>
    <xf numFmtId="0" fontId="10" fillId="0" borderId="0" xfId="0" applyFont="1"/>
    <xf numFmtId="0" fontId="10" fillId="0" borderId="2" xfId="0" applyFont="1" applyBorder="1"/>
    <xf numFmtId="0" fontId="10" fillId="0" borderId="25" xfId="0" applyFont="1" applyBorder="1"/>
    <xf numFmtId="0" fontId="0" fillId="0" borderId="1" xfId="0" applyBorder="1" applyAlignment="1"/>
    <xf numFmtId="0" fontId="0" fillId="0" borderId="0" xfId="0" applyBorder="1"/>
    <xf numFmtId="0" fontId="11" fillId="0" borderId="26" xfId="0" applyFont="1" applyBorder="1" applyAlignment="1">
      <alignment horizontal="center" vertical="center" textRotation="90"/>
    </xf>
    <xf numFmtId="0" fontId="11" fillId="0" borderId="26" xfId="0" applyFont="1" applyBorder="1" applyAlignment="1">
      <alignment horizontal="center" vertical="center" textRotation="90" wrapText="1"/>
    </xf>
    <xf numFmtId="0" fontId="0" fillId="0" borderId="23" xfId="0" applyBorder="1"/>
    <xf numFmtId="0" fontId="0" fillId="0" borderId="18" xfId="0" applyBorder="1"/>
    <xf numFmtId="0" fontId="9" fillId="0" borderId="0" xfId="0" applyFont="1" applyBorder="1" applyAlignment="1">
      <alignment vertical="center"/>
    </xf>
    <xf numFmtId="0" fontId="10" fillId="0" borderId="27" xfId="0" applyFont="1" applyBorder="1"/>
    <xf numFmtId="0" fontId="10" fillId="0" borderId="28" xfId="0" applyFont="1" applyBorder="1"/>
    <xf numFmtId="0" fontId="12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9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7" fillId="0" borderId="32" xfId="0" applyFont="1" applyBorder="1"/>
    <xf numFmtId="0" fontId="7" fillId="0" borderId="33" xfId="0" applyFont="1" applyBorder="1"/>
    <xf numFmtId="0" fontId="0" fillId="0" borderId="33" xfId="0" applyBorder="1"/>
    <xf numFmtId="0" fontId="10" fillId="0" borderId="32" xfId="0" applyFont="1" applyBorder="1"/>
    <xf numFmtId="0" fontId="10" fillId="0" borderId="33" xfId="0" applyFont="1" applyBorder="1"/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2" fillId="0" borderId="37" xfId="0" applyFont="1" applyBorder="1" applyAlignment="1">
      <alignment horizontal="center" vertical="center" wrapText="1"/>
    </xf>
    <xf numFmtId="20" fontId="12" fillId="0" borderId="38" xfId="0" applyNumberFormat="1" applyFont="1" applyBorder="1" applyAlignment="1">
      <alignment horizontal="center" vertical="center" textRotation="90"/>
    </xf>
    <xf numFmtId="20" fontId="12" fillId="0" borderId="39" xfId="0" applyNumberFormat="1" applyFont="1" applyBorder="1" applyAlignment="1">
      <alignment horizontal="center" vertical="center" textRotation="90"/>
    </xf>
    <xf numFmtId="0" fontId="0" fillId="0" borderId="40" xfId="0" applyBorder="1" applyAlignment="1"/>
    <xf numFmtId="0" fontId="0" fillId="0" borderId="42" xfId="0" applyBorder="1" applyAlignment="1"/>
    <xf numFmtId="0" fontId="0" fillId="0" borderId="43" xfId="0" applyBorder="1" applyAlignment="1"/>
    <xf numFmtId="0" fontId="0" fillId="0" borderId="0" xfId="0" applyFont="1" applyBorder="1"/>
    <xf numFmtId="0" fontId="0" fillId="0" borderId="0" xfId="0" applyFont="1" applyBorder="1" applyAlignment="1">
      <alignment horizontal="left" vertical="center" wrapText="1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/>
    <xf numFmtId="0" fontId="0" fillId="0" borderId="24" xfId="0" applyBorder="1" applyAlignment="1"/>
    <xf numFmtId="0" fontId="0" fillId="0" borderId="21" xfId="0" applyBorder="1" applyAlignment="1">
      <alignment horizont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0" fillId="0" borderId="46" xfId="0" applyBorder="1" applyAlignment="1"/>
    <xf numFmtId="0" fontId="0" fillId="0" borderId="47" xfId="0" applyBorder="1" applyAlignment="1"/>
    <xf numFmtId="0" fontId="14" fillId="0" borderId="41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center" wrapText="1"/>
    </xf>
    <xf numFmtId="0" fontId="13" fillId="0" borderId="18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0" fillId="0" borderId="0" xfId="0" applyFill="1" applyBorder="1"/>
    <xf numFmtId="0" fontId="7" fillId="0" borderId="18" xfId="0" applyFont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45" xfId="0" applyFont="1" applyBorder="1" applyAlignment="1">
      <alignment horizontal="center"/>
    </xf>
    <xf numFmtId="0" fontId="0" fillId="0" borderId="52" xfId="0" applyFont="1" applyBorder="1" applyAlignment="1">
      <alignment horizontal="center"/>
    </xf>
    <xf numFmtId="0" fontId="0" fillId="0" borderId="53" xfId="0" applyFont="1" applyBorder="1" applyAlignment="1">
      <alignment horizontal="center"/>
    </xf>
    <xf numFmtId="0" fontId="0" fillId="0" borderId="14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9" xfId="0" applyFont="1" applyBorder="1" applyAlignment="1">
      <alignment horizontal="center" vertical="center" wrapText="1"/>
    </xf>
    <xf numFmtId="0" fontId="0" fillId="0" borderId="50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45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41" xfId="0" applyFont="1" applyBorder="1" applyAlignment="1">
      <alignment horizontal="left"/>
    </xf>
    <xf numFmtId="0" fontId="0" fillId="0" borderId="42" xfId="0" applyFont="1" applyBorder="1" applyAlignment="1">
      <alignment horizontal="left"/>
    </xf>
    <xf numFmtId="0" fontId="0" fillId="0" borderId="43" xfId="0" applyFont="1" applyBorder="1" applyAlignment="1">
      <alignment horizontal="left"/>
    </xf>
    <xf numFmtId="0" fontId="0" fillId="0" borderId="44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0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0" xfId="0" applyFont="1" applyBorder="1" applyAlignment="1"/>
    <xf numFmtId="0" fontId="0" fillId="0" borderId="26" xfId="0" applyBorder="1" applyAlignment="1"/>
    <xf numFmtId="0" fontId="0" fillId="0" borderId="41" xfId="0" applyBorder="1" applyAlignment="1"/>
    <xf numFmtId="0" fontId="0" fillId="0" borderId="61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13" fillId="0" borderId="54" xfId="0" applyFont="1" applyFill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42" xfId="0" applyFont="1" applyBorder="1" applyAlignment="1"/>
    <xf numFmtId="0" fontId="0" fillId="0" borderId="14" xfId="0" applyBorder="1" applyAlignment="1">
      <alignment horizontal="center" wrapText="1"/>
    </xf>
    <xf numFmtId="0" fontId="13" fillId="0" borderId="21" xfId="0" applyFont="1" applyFill="1" applyBorder="1" applyAlignment="1">
      <alignment vertical="center" wrapText="1"/>
    </xf>
    <xf numFmtId="0" fontId="0" fillId="0" borderId="21" xfId="0" applyFont="1" applyBorder="1" applyAlignment="1">
      <alignment vertical="center" wrapText="1"/>
    </xf>
    <xf numFmtId="0" fontId="0" fillId="0" borderId="50" xfId="0" applyBorder="1" applyAlignment="1">
      <alignment horizontal="left" vertical="center" wrapText="1"/>
    </xf>
    <xf numFmtId="0" fontId="0" fillId="0" borderId="37" xfId="0" applyFont="1" applyBorder="1" applyAlignment="1">
      <alignment wrapText="1"/>
    </xf>
    <xf numFmtId="0" fontId="0" fillId="0" borderId="59" xfId="0" applyBorder="1" applyAlignment="1">
      <alignment horizontal="center" vertical="center" wrapText="1"/>
    </xf>
    <xf numFmtId="0" fontId="7" fillId="0" borderId="52" xfId="0" applyFont="1" applyBorder="1" applyAlignment="1"/>
    <xf numFmtId="0" fontId="7" fillId="0" borderId="52" xfId="0" applyFont="1" applyBorder="1" applyAlignment="1">
      <alignment horizontal="center"/>
    </xf>
    <xf numFmtId="0" fontId="7" fillId="0" borderId="53" xfId="0" applyFont="1" applyBorder="1" applyAlignment="1"/>
    <xf numFmtId="0" fontId="0" fillId="0" borderId="20" xfId="0" applyBorder="1" applyAlignment="1"/>
    <xf numFmtId="0" fontId="0" fillId="0" borderId="21" xfId="0" applyFont="1" applyBorder="1" applyAlignment="1">
      <alignment horizontal="center"/>
    </xf>
    <xf numFmtId="0" fontId="0" fillId="0" borderId="17" xfId="0" applyBorder="1" applyAlignment="1"/>
    <xf numFmtId="0" fontId="0" fillId="0" borderId="18" xfId="0" applyFont="1" applyBorder="1" applyAlignment="1"/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2" xfId="0" applyBorder="1" applyAlignment="1"/>
    <xf numFmtId="0" fontId="0" fillId="0" borderId="23" xfId="0" applyFont="1" applyBorder="1" applyAlignment="1"/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8" xfId="0" applyBorder="1" applyAlignment="1"/>
    <xf numFmtId="0" fontId="0" fillId="0" borderId="0" xfId="0" applyBorder="1" applyAlignment="1"/>
    <xf numFmtId="0" fontId="0" fillId="0" borderId="18" xfId="0" applyFont="1" applyFill="1" applyBorder="1" applyAlignment="1"/>
    <xf numFmtId="0" fontId="0" fillId="0" borderId="64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0" fillId="0" borderId="24" xfId="0" applyFont="1" applyBorder="1" applyAlignment="1"/>
    <xf numFmtId="0" fontId="0" fillId="0" borderId="45" xfId="0" applyBorder="1" applyAlignment="1">
      <alignment horizontal="center" wrapText="1"/>
    </xf>
    <xf numFmtId="0" fontId="0" fillId="0" borderId="63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0" xfId="0" applyFont="1" applyFill="1" applyBorder="1" applyAlignment="1"/>
    <xf numFmtId="0" fontId="7" fillId="0" borderId="51" xfId="0" applyFont="1" applyBorder="1" applyAlignment="1">
      <alignment horizontal="left"/>
    </xf>
    <xf numFmtId="0" fontId="7" fillId="0" borderId="52" xfId="0" applyFont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44" fontId="3" fillId="6" borderId="2" xfId="2" applyFont="1" applyFill="1" applyBorder="1" applyAlignment="1">
      <alignment horizontal="center" vertical="center" wrapText="1"/>
    </xf>
    <xf numFmtId="44" fontId="3" fillId="6" borderId="6" xfId="2" applyFont="1" applyFill="1" applyBorder="1" applyAlignment="1">
      <alignment horizontal="center" vertical="center" wrapText="1"/>
    </xf>
    <xf numFmtId="44" fontId="3" fillId="2" borderId="4" xfId="2" applyFont="1" applyFill="1" applyBorder="1" applyAlignment="1">
      <alignment horizontal="center" vertical="center" wrapText="1"/>
    </xf>
    <xf numFmtId="44" fontId="3" fillId="2" borderId="7" xfId="2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165" fontId="6" fillId="0" borderId="1" xfId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4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 textRotation="90"/>
    </xf>
    <xf numFmtId="0" fontId="0" fillId="0" borderId="0" xfId="0" applyBorder="1" applyAlignment="1">
      <alignment horizontal="center"/>
    </xf>
    <xf numFmtId="0" fontId="0" fillId="0" borderId="33" xfId="0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61" xfId="0" applyFont="1" applyBorder="1" applyAlignment="1">
      <alignment horizontal="center"/>
    </xf>
    <xf numFmtId="0" fontId="0" fillId="0" borderId="52" xfId="0" applyFont="1" applyBorder="1" applyAlignment="1">
      <alignment horizontal="center"/>
    </xf>
    <xf numFmtId="0" fontId="0" fillId="0" borderId="6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9" fillId="0" borderId="65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3" fillId="4" borderId="55" xfId="0" applyFont="1" applyFill="1" applyBorder="1" applyAlignment="1">
      <alignment horizontal="center" vertical="center"/>
    </xf>
    <xf numFmtId="0" fontId="13" fillId="4" borderId="56" xfId="0" applyFont="1" applyFill="1" applyBorder="1" applyAlignment="1">
      <alignment horizontal="center" vertical="center"/>
    </xf>
    <xf numFmtId="0" fontId="13" fillId="4" borderId="55" xfId="0" applyFont="1" applyFill="1" applyBorder="1" applyAlignment="1">
      <alignment horizontal="center" vertical="center" wrapText="1"/>
    </xf>
    <xf numFmtId="0" fontId="13" fillId="4" borderId="56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1" xfId="0" applyBorder="1" applyAlignment="1">
      <alignment horizontal="center" wrapText="1"/>
    </xf>
    <xf numFmtId="0" fontId="0" fillId="0" borderId="52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0" fillId="0" borderId="4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51" xfId="0" applyFont="1" applyBorder="1" applyAlignment="1">
      <alignment horizontal="left" wrapText="1"/>
    </xf>
    <xf numFmtId="0" fontId="0" fillId="0" borderId="52" xfId="0" applyFont="1" applyBorder="1" applyAlignment="1">
      <alignment horizontal="left" wrapText="1"/>
    </xf>
    <xf numFmtId="0" fontId="0" fillId="0" borderId="53" xfId="0" applyFont="1" applyBorder="1" applyAlignment="1">
      <alignment horizontal="left" wrapText="1"/>
    </xf>
    <xf numFmtId="0" fontId="0" fillId="0" borderId="48" xfId="0" applyFont="1" applyBorder="1" applyAlignment="1">
      <alignment horizontal="left" wrapText="1"/>
    </xf>
    <xf numFmtId="0" fontId="0" fillId="0" borderId="49" xfId="0" applyFont="1" applyBorder="1" applyAlignment="1">
      <alignment horizontal="left" wrapText="1"/>
    </xf>
    <xf numFmtId="0" fontId="0" fillId="0" borderId="50" xfId="0" applyFont="1" applyBorder="1" applyAlignment="1">
      <alignment horizontal="left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13" fillId="4" borderId="57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1044626</xdr:colOff>
      <xdr:row>41</xdr:row>
      <xdr:rowOff>5315</xdr:rowOff>
    </xdr:from>
    <xdr:to>
      <xdr:col>48</xdr:col>
      <xdr:colOff>135975</xdr:colOff>
      <xdr:row>41</xdr:row>
      <xdr:rowOff>5315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57538" y="8297668"/>
          <a:ext cx="13569349" cy="0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11206</xdr:colOff>
      <xdr:row>7</xdr:row>
      <xdr:rowOff>145677</xdr:rowOff>
    </xdr:from>
    <xdr:to>
      <xdr:col>2</xdr:col>
      <xdr:colOff>11206</xdr:colOff>
      <xdr:row>41</xdr:row>
      <xdr:rowOff>11206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874059" y="1400736"/>
          <a:ext cx="0" cy="6701117"/>
        </a:xfrm>
        <a:prstGeom prst="straightConnector1">
          <a:avLst/>
        </a:prstGeom>
        <a:ln w="1905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100853</xdr:colOff>
      <xdr:row>1</xdr:row>
      <xdr:rowOff>100852</xdr:rowOff>
    </xdr:from>
    <xdr:to>
      <xdr:col>6</xdr:col>
      <xdr:colOff>48709</xdr:colOff>
      <xdr:row>3</xdr:row>
      <xdr:rowOff>102122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65" y="313764"/>
          <a:ext cx="1976120" cy="382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103189</xdr:colOff>
      <xdr:row>0</xdr:row>
      <xdr:rowOff>81644</xdr:rowOff>
    </xdr:from>
    <xdr:to>
      <xdr:col>1</xdr:col>
      <xdr:colOff>353266</xdr:colOff>
      <xdr:row>1</xdr:row>
      <xdr:rowOff>231323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89" y="81644"/>
          <a:ext cx="1060904" cy="394608"/>
        </a:xfrm>
        <a:prstGeom prst="rect">
          <a:avLst/>
        </a:prstGeom>
      </xdr:spPr>
    </xdr:pic>
    <xdr:clientData/>
  </xdr:twoCellAnchor>
  <xdr:twoCellAnchor editAs="oneCell">
    <xdr:from>
      <xdr:col>0</xdr:col>
      <xdr:colOff>103189</xdr:colOff>
      <xdr:row>0</xdr:row>
      <xdr:rowOff>81644</xdr:rowOff>
    </xdr:from>
    <xdr:to>
      <xdr:col>1</xdr:col>
      <xdr:colOff>353266</xdr:colOff>
      <xdr:row>1</xdr:row>
      <xdr:rowOff>231323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189" y="81644"/>
          <a:ext cx="1059702" cy="39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9"/>
  <sheetViews>
    <sheetView showGridLines="0" workbookViewId="0">
      <selection activeCell="G11" sqref="G11"/>
    </sheetView>
  </sheetViews>
  <sheetFormatPr defaultRowHeight="15" x14ac:dyDescent="0.25"/>
  <cols>
    <col min="2" max="2" width="31" customWidth="1"/>
    <col min="3" max="3" width="15" customWidth="1"/>
    <col min="4" max="4" width="28.28515625" customWidth="1"/>
    <col min="5" max="5" width="10.5703125" bestFit="1" customWidth="1"/>
    <col min="6" max="6" width="12.28515625" style="1" customWidth="1"/>
    <col min="7" max="7" width="16" style="1" customWidth="1"/>
    <col min="8" max="8" width="14.42578125" style="1" bestFit="1" customWidth="1"/>
  </cols>
  <sheetData>
    <row r="3" spans="2:8" s="26" customFormat="1" ht="18.75" x14ac:dyDescent="0.3">
      <c r="B3" s="169" t="s">
        <v>14</v>
      </c>
      <c r="C3" s="170"/>
      <c r="D3" s="170"/>
      <c r="E3" s="170"/>
      <c r="F3" s="170"/>
      <c r="G3" s="170"/>
      <c r="H3" s="171"/>
    </row>
    <row r="4" spans="2:8" x14ac:dyDescent="0.25">
      <c r="B4" s="10" t="s">
        <v>1</v>
      </c>
      <c r="C4" s="11" t="s">
        <v>2</v>
      </c>
      <c r="D4" s="11" t="s">
        <v>3</v>
      </c>
      <c r="E4" s="12" t="s">
        <v>10</v>
      </c>
      <c r="F4" s="12" t="s">
        <v>6</v>
      </c>
      <c r="G4" s="12" t="s">
        <v>7</v>
      </c>
      <c r="H4" s="13" t="s">
        <v>45</v>
      </c>
    </row>
    <row r="5" spans="2:8" x14ac:dyDescent="0.25">
      <c r="B5" s="4" t="s">
        <v>0</v>
      </c>
      <c r="C5" s="7"/>
      <c r="D5" s="7" t="s">
        <v>5</v>
      </c>
      <c r="E5" s="5" t="s">
        <v>11</v>
      </c>
      <c r="F5" s="9">
        <v>6900</v>
      </c>
      <c r="G5" s="23">
        <v>1.4458</v>
      </c>
      <c r="H5" s="21">
        <f>F5*G5</f>
        <v>9976.02</v>
      </c>
    </row>
    <row r="6" spans="2:8" x14ac:dyDescent="0.25">
      <c r="B6" s="4" t="s">
        <v>4</v>
      </c>
      <c r="C6" s="7"/>
      <c r="D6" s="7" t="s">
        <v>5</v>
      </c>
      <c r="E6" s="5" t="s">
        <v>11</v>
      </c>
      <c r="F6" s="9">
        <v>50</v>
      </c>
      <c r="G6" s="23">
        <v>4.0149999999999997</v>
      </c>
      <c r="H6" s="21">
        <f t="shared" ref="H6:H12" si="0">F6*G6</f>
        <v>200.74999999999997</v>
      </c>
    </row>
    <row r="7" spans="2:8" x14ac:dyDescent="0.25">
      <c r="B7" s="4" t="s">
        <v>18</v>
      </c>
      <c r="C7" s="7"/>
      <c r="D7" s="7" t="s">
        <v>5</v>
      </c>
      <c r="E7" s="5" t="s">
        <v>11</v>
      </c>
      <c r="F7" s="9">
        <v>25</v>
      </c>
      <c r="G7" s="23">
        <v>4.7</v>
      </c>
      <c r="H7" s="21">
        <f t="shared" si="0"/>
        <v>117.5</v>
      </c>
    </row>
    <row r="8" spans="2:8" x14ac:dyDescent="0.25">
      <c r="B8" s="4" t="s">
        <v>8</v>
      </c>
      <c r="C8" s="7"/>
      <c r="D8" s="7" t="s">
        <v>41</v>
      </c>
      <c r="E8" s="5" t="s">
        <v>12</v>
      </c>
      <c r="F8" s="9">
        <v>1</v>
      </c>
      <c r="G8" s="23">
        <v>8555.4</v>
      </c>
      <c r="H8" s="21">
        <f t="shared" si="0"/>
        <v>8555.4</v>
      </c>
    </row>
    <row r="9" spans="2:8" x14ac:dyDescent="0.25">
      <c r="B9" s="4" t="s">
        <v>16</v>
      </c>
      <c r="C9" s="7"/>
      <c r="D9" s="7" t="s">
        <v>42</v>
      </c>
      <c r="E9" s="5" t="s">
        <v>13</v>
      </c>
      <c r="F9" s="5">
        <v>3.3</v>
      </c>
      <c r="G9" s="23">
        <v>14.175000000000001</v>
      </c>
      <c r="H9" s="21">
        <f t="shared" si="0"/>
        <v>46.777499999999996</v>
      </c>
    </row>
    <row r="10" spans="2:8" x14ac:dyDescent="0.25">
      <c r="B10" s="4" t="s">
        <v>9</v>
      </c>
      <c r="C10" s="7"/>
      <c r="D10" s="7" t="s">
        <v>42</v>
      </c>
      <c r="E10" s="5" t="s">
        <v>40</v>
      </c>
      <c r="F10" s="5">
        <v>19.8</v>
      </c>
      <c r="G10" s="23">
        <v>42.6</v>
      </c>
      <c r="H10" s="21">
        <f t="shared" si="0"/>
        <v>843.48</v>
      </c>
    </row>
    <row r="11" spans="2:8" x14ac:dyDescent="0.25">
      <c r="B11" s="4" t="s">
        <v>15</v>
      </c>
      <c r="C11" s="7"/>
      <c r="D11" s="7" t="s">
        <v>42</v>
      </c>
      <c r="E11" s="5" t="s">
        <v>17</v>
      </c>
      <c r="F11" s="5">
        <v>3</v>
      </c>
      <c r="G11" s="23">
        <v>6.5</v>
      </c>
      <c r="H11" s="21">
        <f t="shared" si="0"/>
        <v>19.5</v>
      </c>
    </row>
    <row r="12" spans="2:8" x14ac:dyDescent="0.25">
      <c r="B12" s="4" t="s">
        <v>19</v>
      </c>
      <c r="C12" s="7"/>
      <c r="D12" s="7" t="s">
        <v>42</v>
      </c>
      <c r="E12" s="5" t="s">
        <v>17</v>
      </c>
      <c r="F12" s="5">
        <v>0.5</v>
      </c>
      <c r="G12" s="23">
        <v>7.17</v>
      </c>
      <c r="H12" s="21">
        <f t="shared" si="0"/>
        <v>3.585</v>
      </c>
    </row>
    <row r="13" spans="2:8" x14ac:dyDescent="0.25">
      <c r="B13" s="162" t="s">
        <v>24</v>
      </c>
      <c r="C13" s="163"/>
      <c r="D13" s="163"/>
      <c r="E13" s="163"/>
      <c r="F13" s="163"/>
      <c r="G13" s="17"/>
      <c r="H13" s="22">
        <f>SUM(H5:H12)</f>
        <v>19763.012499999997</v>
      </c>
    </row>
    <row r="14" spans="2:8" x14ac:dyDescent="0.25">
      <c r="B14" s="2"/>
      <c r="C14" s="2"/>
      <c r="D14" s="2"/>
      <c r="E14" s="2"/>
      <c r="F14" s="3"/>
      <c r="G14" s="3"/>
    </row>
    <row r="15" spans="2:8" s="26" customFormat="1" ht="18.75" x14ac:dyDescent="0.3">
      <c r="B15" s="164" t="s">
        <v>20</v>
      </c>
      <c r="C15" s="165"/>
      <c r="D15" s="165"/>
      <c r="E15" s="165"/>
      <c r="F15" s="165"/>
      <c r="G15" s="165"/>
      <c r="H15" s="176"/>
    </row>
    <row r="16" spans="2:8" ht="30" x14ac:dyDescent="0.25">
      <c r="B16" s="14" t="s">
        <v>23</v>
      </c>
      <c r="C16" s="8" t="s">
        <v>10</v>
      </c>
      <c r="D16" s="19" t="s">
        <v>34</v>
      </c>
      <c r="E16" s="168" t="s">
        <v>36</v>
      </c>
      <c r="F16" s="168"/>
      <c r="G16" s="19" t="s">
        <v>43</v>
      </c>
      <c r="H16" s="20" t="s">
        <v>44</v>
      </c>
    </row>
    <row r="17" spans="2:8" x14ac:dyDescent="0.25">
      <c r="B17" s="4" t="s">
        <v>21</v>
      </c>
      <c r="C17" s="5">
        <v>8</v>
      </c>
      <c r="D17" s="166" t="s">
        <v>35</v>
      </c>
      <c r="E17" s="166">
        <f>C17*C18</f>
        <v>64</v>
      </c>
      <c r="F17" s="166"/>
      <c r="G17" s="172">
        <v>20.059999999999999</v>
      </c>
      <c r="H17" s="174">
        <f>E17*G17</f>
        <v>1283.8399999999999</v>
      </c>
    </row>
    <row r="18" spans="2:8" x14ac:dyDescent="0.25">
      <c r="B18" s="6" t="s">
        <v>22</v>
      </c>
      <c r="C18" s="16">
        <v>8</v>
      </c>
      <c r="D18" s="167"/>
      <c r="E18" s="167"/>
      <c r="F18" s="167"/>
      <c r="G18" s="173"/>
      <c r="H18" s="175"/>
    </row>
    <row r="20" spans="2:8" s="26" customFormat="1" ht="18.75" x14ac:dyDescent="0.3">
      <c r="B20" s="164" t="s">
        <v>25</v>
      </c>
      <c r="C20" s="165"/>
      <c r="D20" s="165"/>
      <c r="E20" s="165"/>
      <c r="F20" s="165"/>
      <c r="G20" s="165"/>
      <c r="H20" s="25"/>
    </row>
    <row r="21" spans="2:8" x14ac:dyDescent="0.25">
      <c r="B21" s="14" t="s">
        <v>26</v>
      </c>
      <c r="C21" s="8" t="s">
        <v>29</v>
      </c>
      <c r="D21" s="8" t="s">
        <v>27</v>
      </c>
      <c r="E21" s="161" t="s">
        <v>33</v>
      </c>
      <c r="F21" s="161"/>
      <c r="G21" s="8" t="s">
        <v>28</v>
      </c>
      <c r="H21" s="15" t="s">
        <v>46</v>
      </c>
    </row>
    <row r="22" spans="2:8" x14ac:dyDescent="0.25">
      <c r="B22" s="4" t="s">
        <v>32</v>
      </c>
      <c r="C22" s="5" t="s">
        <v>31</v>
      </c>
      <c r="D22" s="18" t="s">
        <v>30</v>
      </c>
      <c r="E22" s="182">
        <v>3</v>
      </c>
      <c r="F22" s="182"/>
      <c r="G22" s="24">
        <v>163</v>
      </c>
      <c r="H22" s="21">
        <f>E22*G22</f>
        <v>489</v>
      </c>
    </row>
    <row r="23" spans="2:8" x14ac:dyDescent="0.25">
      <c r="B23" s="183"/>
      <c r="C23" s="184"/>
      <c r="D23" s="184"/>
      <c r="E23" s="184"/>
      <c r="F23" s="184"/>
      <c r="G23" s="185"/>
      <c r="H23" s="22">
        <f>SUM(H22:H22)</f>
        <v>489</v>
      </c>
    </row>
    <row r="25" spans="2:8" ht="23.25" x14ac:dyDescent="0.35">
      <c r="B25" s="177" t="s">
        <v>39</v>
      </c>
      <c r="C25" s="178"/>
      <c r="D25" s="178"/>
      <c r="E25" s="178"/>
      <c r="F25" s="179"/>
      <c r="G25" s="186">
        <f>H13+H17+H23</f>
        <v>21535.852499999997</v>
      </c>
      <c r="H25" s="187"/>
    </row>
    <row r="26" spans="2:8" ht="23.25" x14ac:dyDescent="0.35">
      <c r="B26" s="177" t="s">
        <v>38</v>
      </c>
      <c r="C26" s="178"/>
      <c r="D26" s="178"/>
      <c r="E26" s="178"/>
      <c r="F26" s="179"/>
      <c r="G26" s="180">
        <v>1800</v>
      </c>
      <c r="H26" s="180"/>
    </row>
    <row r="27" spans="2:8" ht="23.25" x14ac:dyDescent="0.35">
      <c r="B27" s="177" t="s">
        <v>37</v>
      </c>
      <c r="C27" s="178"/>
      <c r="D27" s="178"/>
      <c r="E27" s="178"/>
      <c r="F27" s="179"/>
      <c r="G27" s="181">
        <f>G25/G26</f>
        <v>11.964362499999998</v>
      </c>
      <c r="H27" s="181"/>
    </row>
    <row r="29" spans="2:8" x14ac:dyDescent="0.25">
      <c r="H29" s="27"/>
    </row>
  </sheetData>
  <mergeCells count="18">
    <mergeCell ref="B26:F26"/>
    <mergeCell ref="G26:H26"/>
    <mergeCell ref="B27:F27"/>
    <mergeCell ref="G27:H27"/>
    <mergeCell ref="E22:F22"/>
    <mergeCell ref="B23:G23"/>
    <mergeCell ref="G25:H25"/>
    <mergeCell ref="B25:F25"/>
    <mergeCell ref="B3:H3"/>
    <mergeCell ref="G17:G18"/>
    <mergeCell ref="E17:F18"/>
    <mergeCell ref="H17:H18"/>
    <mergeCell ref="B15:H15"/>
    <mergeCell ref="E21:F21"/>
    <mergeCell ref="B13:F13"/>
    <mergeCell ref="B20:G20"/>
    <mergeCell ref="D17:D18"/>
    <mergeCell ref="E16:F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W50"/>
  <sheetViews>
    <sheetView view="pageBreakPreview" topLeftCell="D4" zoomScale="85" zoomScaleNormal="85" zoomScaleSheetLayoutView="85" workbookViewId="0">
      <selection activeCell="AD16" sqref="AD16"/>
    </sheetView>
  </sheetViews>
  <sheetFormatPr defaultRowHeight="15" x14ac:dyDescent="0.25"/>
  <cols>
    <col min="1" max="1" width="3.140625" customWidth="1"/>
    <col min="2" max="2" width="10.28515625" customWidth="1"/>
    <col min="3" max="48" width="5" customWidth="1"/>
    <col min="49" max="49" width="4.42578125" style="40" customWidth="1"/>
  </cols>
  <sheetData>
    <row r="1" spans="1:49" ht="16.5" thickTop="1" thickBot="1" x14ac:dyDescent="0.3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2"/>
    </row>
    <row r="2" spans="1:49" s="40" customFormat="1" ht="15" customHeight="1" x14ac:dyDescent="0.25">
      <c r="A2" s="53"/>
      <c r="B2" s="193" t="s">
        <v>52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5"/>
      <c r="AW2" s="54"/>
    </row>
    <row r="3" spans="1:49" ht="15" customHeight="1" x14ac:dyDescent="0.25">
      <c r="A3" s="53"/>
      <c r="B3" s="196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8"/>
      <c r="AW3" s="54"/>
    </row>
    <row r="4" spans="1:49" ht="15.75" customHeight="1" thickBot="1" x14ac:dyDescent="0.3">
      <c r="A4" s="53"/>
      <c r="B4" s="199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1"/>
      <c r="AW4" s="54"/>
    </row>
    <row r="5" spans="1:49" ht="21.75" customHeight="1" x14ac:dyDescent="0.25">
      <c r="A5" s="53"/>
      <c r="B5" s="191" t="s">
        <v>55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202" t="s">
        <v>56</v>
      </c>
      <c r="AD5" s="203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3"/>
      <c r="AT5" s="203"/>
      <c r="AU5" s="203"/>
      <c r="AV5" s="204"/>
      <c r="AW5" s="55"/>
    </row>
    <row r="6" spans="1:49" s="28" customFormat="1" x14ac:dyDescent="0.25">
      <c r="A6" s="56"/>
      <c r="B6" s="31"/>
      <c r="C6" s="29"/>
      <c r="D6" s="30" t="s">
        <v>51</v>
      </c>
      <c r="E6" s="30"/>
      <c r="F6" s="30"/>
      <c r="G6" s="30"/>
      <c r="H6" s="30"/>
      <c r="I6" s="30"/>
      <c r="J6" s="30"/>
      <c r="K6" s="29"/>
      <c r="L6" s="30" t="s">
        <v>53</v>
      </c>
      <c r="M6" s="30"/>
      <c r="N6" s="30"/>
      <c r="O6" s="30"/>
      <c r="P6" s="30"/>
      <c r="Q6" s="30"/>
      <c r="R6" s="29"/>
      <c r="S6" s="30" t="s">
        <v>54</v>
      </c>
      <c r="T6" s="30"/>
      <c r="U6" s="30"/>
      <c r="V6" s="30"/>
      <c r="W6" s="30"/>
      <c r="X6" s="30"/>
      <c r="Y6" s="30"/>
      <c r="Z6" s="30"/>
      <c r="AA6" s="30"/>
      <c r="AB6" s="30"/>
      <c r="AC6" s="31"/>
      <c r="AD6" s="29"/>
      <c r="AE6" s="30" t="s">
        <v>47</v>
      </c>
      <c r="AF6" s="30"/>
      <c r="AG6" s="30"/>
      <c r="AH6" s="30"/>
      <c r="AI6" s="29"/>
      <c r="AJ6" s="30" t="s">
        <v>48</v>
      </c>
      <c r="AK6" s="30"/>
      <c r="AL6" s="30"/>
      <c r="AM6" s="30"/>
      <c r="AN6" s="29"/>
      <c r="AO6" s="30" t="s">
        <v>49</v>
      </c>
      <c r="AP6" s="30"/>
      <c r="AQ6" s="30"/>
      <c r="AR6" s="30"/>
      <c r="AS6" s="29"/>
      <c r="AT6" s="30" t="s">
        <v>50</v>
      </c>
      <c r="AU6" s="30"/>
      <c r="AV6" s="32"/>
      <c r="AW6" s="57"/>
    </row>
    <row r="7" spans="1:49" s="28" customFormat="1" ht="15.75" thickBot="1" x14ac:dyDescent="0.3">
      <c r="A7" s="56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3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5"/>
      <c r="AW7" s="57"/>
    </row>
    <row r="8" spans="1:49" x14ac:dyDescent="0.25">
      <c r="A8" s="5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58"/>
    </row>
    <row r="9" spans="1:49" x14ac:dyDescent="0.25">
      <c r="A9" s="188" t="s">
        <v>64</v>
      </c>
      <c r="B9" s="189" t="s">
        <v>57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90"/>
    </row>
    <row r="10" spans="1:49" s="36" customFormat="1" ht="15.75" customHeight="1" x14ac:dyDescent="0.2">
      <c r="A10" s="188"/>
      <c r="B10" s="49">
        <v>1550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46"/>
      <c r="AW10" s="60"/>
    </row>
    <row r="11" spans="1:49" s="36" customFormat="1" ht="15.75" customHeight="1" x14ac:dyDescent="0.2">
      <c r="A11" s="188"/>
      <c r="B11" s="49">
        <v>1500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46"/>
      <c r="AW11" s="60"/>
    </row>
    <row r="12" spans="1:49" s="36" customFormat="1" ht="15.75" customHeight="1" x14ac:dyDescent="0.2">
      <c r="A12" s="188"/>
      <c r="B12" s="49">
        <v>1450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46"/>
      <c r="AW12" s="60"/>
    </row>
    <row r="13" spans="1:49" s="36" customFormat="1" ht="15.75" customHeight="1" x14ac:dyDescent="0.2">
      <c r="A13" s="188"/>
      <c r="B13" s="49">
        <v>1400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46"/>
      <c r="AW13" s="60"/>
    </row>
    <row r="14" spans="1:49" s="36" customFormat="1" ht="15.75" customHeight="1" x14ac:dyDescent="0.2">
      <c r="A14" s="188"/>
      <c r="B14" s="49">
        <v>1350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46"/>
      <c r="AW14" s="60"/>
    </row>
    <row r="15" spans="1:49" s="36" customFormat="1" ht="15.75" customHeight="1" x14ac:dyDescent="0.2">
      <c r="A15" s="188"/>
      <c r="B15" s="49">
        <v>1300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46"/>
      <c r="AW15" s="60"/>
    </row>
    <row r="16" spans="1:49" s="36" customFormat="1" ht="15.75" customHeight="1" x14ac:dyDescent="0.2">
      <c r="A16" s="188"/>
      <c r="B16" s="49">
        <v>1250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46"/>
      <c r="AW16" s="60"/>
    </row>
    <row r="17" spans="1:49" s="36" customFormat="1" ht="15.75" customHeight="1" x14ac:dyDescent="0.2">
      <c r="A17" s="188"/>
      <c r="B17" s="49">
        <v>1200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46"/>
      <c r="AW17" s="60"/>
    </row>
    <row r="18" spans="1:49" s="36" customFormat="1" ht="15.75" customHeight="1" x14ac:dyDescent="0.2">
      <c r="A18" s="188"/>
      <c r="B18" s="49">
        <v>1150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46"/>
      <c r="AW18" s="60"/>
    </row>
    <row r="19" spans="1:49" s="36" customFormat="1" ht="15.75" customHeight="1" x14ac:dyDescent="0.2">
      <c r="A19" s="188"/>
      <c r="B19" s="49">
        <v>1100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46"/>
      <c r="AW19" s="60"/>
    </row>
    <row r="20" spans="1:49" s="36" customFormat="1" ht="15.75" customHeight="1" x14ac:dyDescent="0.2">
      <c r="A20" s="188"/>
      <c r="B20" s="49">
        <v>1050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46"/>
      <c r="AW20" s="60"/>
    </row>
    <row r="21" spans="1:49" s="36" customFormat="1" ht="15.75" customHeight="1" x14ac:dyDescent="0.2">
      <c r="A21" s="188"/>
      <c r="B21" s="49">
        <v>1000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46"/>
      <c r="AW21" s="60"/>
    </row>
    <row r="22" spans="1:49" s="36" customFormat="1" ht="15.75" customHeight="1" x14ac:dyDescent="0.2">
      <c r="A22" s="188"/>
      <c r="B22" s="49">
        <v>950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46"/>
      <c r="AW22" s="60"/>
    </row>
    <row r="23" spans="1:49" s="36" customFormat="1" ht="15.75" customHeight="1" x14ac:dyDescent="0.2">
      <c r="A23" s="188"/>
      <c r="B23" s="49">
        <v>900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46"/>
      <c r="AW23" s="60"/>
    </row>
    <row r="24" spans="1:49" s="36" customFormat="1" ht="15.75" customHeight="1" x14ac:dyDescent="0.2">
      <c r="A24" s="188"/>
      <c r="B24" s="49">
        <v>850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46"/>
      <c r="AW24" s="60"/>
    </row>
    <row r="25" spans="1:49" s="36" customFormat="1" ht="15.75" customHeight="1" x14ac:dyDescent="0.2">
      <c r="A25" s="188"/>
      <c r="B25" s="49">
        <v>800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46"/>
      <c r="AW25" s="60"/>
    </row>
    <row r="26" spans="1:49" s="36" customFormat="1" ht="15.75" customHeight="1" x14ac:dyDescent="0.2">
      <c r="A26" s="188"/>
      <c r="B26" s="49">
        <v>750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46"/>
      <c r="AW26" s="60"/>
    </row>
    <row r="27" spans="1:49" s="36" customFormat="1" ht="15.75" customHeight="1" x14ac:dyDescent="0.2">
      <c r="A27" s="188"/>
      <c r="B27" s="49">
        <v>700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46"/>
      <c r="AW27" s="60"/>
    </row>
    <row r="28" spans="1:49" s="36" customFormat="1" ht="15.75" customHeight="1" x14ac:dyDescent="0.2">
      <c r="A28" s="188"/>
      <c r="B28" s="49">
        <v>650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46"/>
      <c r="AW28" s="60"/>
    </row>
    <row r="29" spans="1:49" s="36" customFormat="1" ht="15.75" customHeight="1" x14ac:dyDescent="0.2">
      <c r="A29" s="188"/>
      <c r="B29" s="49">
        <v>600</v>
      </c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46"/>
      <c r="AW29" s="60"/>
    </row>
    <row r="30" spans="1:49" s="36" customFormat="1" ht="15.75" customHeight="1" x14ac:dyDescent="0.2">
      <c r="A30" s="188"/>
      <c r="B30" s="49">
        <v>550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46"/>
      <c r="AW30" s="60"/>
    </row>
    <row r="31" spans="1:49" s="36" customFormat="1" ht="15.75" customHeight="1" x14ac:dyDescent="0.2">
      <c r="A31" s="188"/>
      <c r="B31" s="49">
        <v>500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46"/>
      <c r="AW31" s="60"/>
    </row>
    <row r="32" spans="1:49" s="36" customFormat="1" ht="15.75" customHeight="1" x14ac:dyDescent="0.2">
      <c r="A32" s="188"/>
      <c r="B32" s="49">
        <v>450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46"/>
      <c r="AW32" s="60"/>
    </row>
    <row r="33" spans="1:49" s="36" customFormat="1" ht="15.75" customHeight="1" x14ac:dyDescent="0.2">
      <c r="A33" s="188"/>
      <c r="B33" s="49">
        <v>400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46"/>
      <c r="AW33" s="60"/>
    </row>
    <row r="34" spans="1:49" s="36" customFormat="1" ht="15.75" customHeight="1" x14ac:dyDescent="0.2">
      <c r="A34" s="188"/>
      <c r="B34" s="49">
        <v>350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46"/>
      <c r="AW34" s="60"/>
    </row>
    <row r="35" spans="1:49" s="36" customFormat="1" ht="15.75" customHeight="1" x14ac:dyDescent="0.2">
      <c r="A35" s="188"/>
      <c r="B35" s="49">
        <v>300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46"/>
      <c r="AW35" s="60"/>
    </row>
    <row r="36" spans="1:49" s="36" customFormat="1" ht="15.75" customHeight="1" x14ac:dyDescent="0.2">
      <c r="A36" s="188"/>
      <c r="B36" s="49">
        <v>250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46"/>
      <c r="AW36" s="60"/>
    </row>
    <row r="37" spans="1:49" s="36" customFormat="1" ht="15.75" customHeight="1" x14ac:dyDescent="0.2">
      <c r="A37" s="188"/>
      <c r="B37" s="49">
        <v>200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46"/>
      <c r="AW37" s="60"/>
    </row>
    <row r="38" spans="1:49" s="36" customFormat="1" ht="15.75" customHeight="1" x14ac:dyDescent="0.2">
      <c r="A38" s="188"/>
      <c r="B38" s="49">
        <v>150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46"/>
      <c r="AW38" s="60"/>
    </row>
    <row r="39" spans="1:49" s="36" customFormat="1" ht="15.75" customHeight="1" x14ac:dyDescent="0.2">
      <c r="A39" s="188"/>
      <c r="B39" s="49">
        <v>100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46"/>
      <c r="AW39" s="60"/>
    </row>
    <row r="40" spans="1:49" s="36" customFormat="1" ht="15.75" customHeight="1" x14ac:dyDescent="0.2">
      <c r="A40" s="59"/>
      <c r="B40" s="49">
        <v>50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46"/>
      <c r="AW40" s="60"/>
    </row>
    <row r="41" spans="1:49" s="36" customFormat="1" ht="15.75" customHeight="1" thickBot="1" x14ac:dyDescent="0.25">
      <c r="A41" s="59"/>
      <c r="B41" s="49">
        <v>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47"/>
      <c r="AW41" s="60"/>
    </row>
    <row r="42" spans="1:49" s="48" customFormat="1" ht="36.75" customHeight="1" x14ac:dyDescent="0.25">
      <c r="A42" s="61"/>
      <c r="B42" s="66" t="s">
        <v>59</v>
      </c>
      <c r="C42" s="67">
        <v>0</v>
      </c>
      <c r="D42" s="67">
        <v>2.0833333333333332E-2</v>
      </c>
      <c r="E42" s="67">
        <v>4.1666666666666699E-2</v>
      </c>
      <c r="F42" s="67">
        <v>6.25E-2</v>
      </c>
      <c r="G42" s="67">
        <v>8.3333333333333301E-2</v>
      </c>
      <c r="H42" s="67">
        <v>0.104166666666667</v>
      </c>
      <c r="I42" s="67">
        <v>0.125</v>
      </c>
      <c r="J42" s="67">
        <v>0.14583333333333301</v>
      </c>
      <c r="K42" s="67">
        <v>0.16666666666666699</v>
      </c>
      <c r="L42" s="67">
        <v>0.1875</v>
      </c>
      <c r="M42" s="67">
        <v>0.20833333333333301</v>
      </c>
      <c r="N42" s="67">
        <v>0.22916666666666699</v>
      </c>
      <c r="O42" s="67">
        <v>0.25</v>
      </c>
      <c r="P42" s="67">
        <v>0.27083333333333298</v>
      </c>
      <c r="Q42" s="67">
        <v>0.29166666666666702</v>
      </c>
      <c r="R42" s="67">
        <v>0.3125</v>
      </c>
      <c r="S42" s="67">
        <v>0.33333333333333298</v>
      </c>
      <c r="T42" s="67">
        <v>0.35416666666666702</v>
      </c>
      <c r="U42" s="67">
        <v>0.375</v>
      </c>
      <c r="V42" s="67">
        <v>0.39583333333333298</v>
      </c>
      <c r="W42" s="67">
        <v>0.41666666666666702</v>
      </c>
      <c r="X42" s="67">
        <v>0.4375</v>
      </c>
      <c r="Y42" s="67">
        <v>0.45833333333333298</v>
      </c>
      <c r="Z42" s="67">
        <v>0.47916666666666702</v>
      </c>
      <c r="AA42" s="67">
        <v>0.5</v>
      </c>
      <c r="AB42" s="67">
        <v>0.52083333333333304</v>
      </c>
      <c r="AC42" s="67">
        <v>0.54166666666666696</v>
      </c>
      <c r="AD42" s="67">
        <v>0.5625</v>
      </c>
      <c r="AE42" s="67">
        <v>0.58333333333333304</v>
      </c>
      <c r="AF42" s="67">
        <v>0.60416666666666696</v>
      </c>
      <c r="AG42" s="67">
        <v>0.625</v>
      </c>
      <c r="AH42" s="67">
        <v>0.64583333333333304</v>
      </c>
      <c r="AI42" s="67">
        <v>0.66666666666666696</v>
      </c>
      <c r="AJ42" s="67">
        <v>0.6875</v>
      </c>
      <c r="AK42" s="67">
        <v>0.70833333333333304</v>
      </c>
      <c r="AL42" s="67">
        <v>0.72916666666666696</v>
      </c>
      <c r="AM42" s="67">
        <v>0.75</v>
      </c>
      <c r="AN42" s="67">
        <v>0.77083333333333304</v>
      </c>
      <c r="AO42" s="67">
        <v>0.79166666666666696</v>
      </c>
      <c r="AP42" s="67">
        <v>0.8125</v>
      </c>
      <c r="AQ42" s="67">
        <v>0.83333333333333304</v>
      </c>
      <c r="AR42" s="67">
        <v>0.85416666666666696</v>
      </c>
      <c r="AS42" s="67">
        <v>0.875</v>
      </c>
      <c r="AT42" s="67">
        <v>0.89583333333333304</v>
      </c>
      <c r="AU42" s="67">
        <v>0.91666666666666696</v>
      </c>
      <c r="AV42" s="68">
        <v>0.9375</v>
      </c>
      <c r="AW42" s="62"/>
    </row>
    <row r="43" spans="1:49" ht="59.25" customHeight="1" x14ac:dyDescent="0.25">
      <c r="A43" s="53"/>
      <c r="B43" s="41" t="s">
        <v>58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69"/>
      <c r="AW43" s="58"/>
    </row>
    <row r="44" spans="1:49" ht="59.25" customHeight="1" x14ac:dyDescent="0.25">
      <c r="A44" s="53"/>
      <c r="B44" s="42" t="s">
        <v>60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69"/>
      <c r="AW44" s="58"/>
    </row>
    <row r="45" spans="1:49" ht="59.25" customHeight="1" x14ac:dyDescent="0.25">
      <c r="A45" s="53"/>
      <c r="B45" s="42" t="s">
        <v>61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69"/>
      <c r="AW45" s="58"/>
    </row>
    <row r="46" spans="1:49" ht="59.25" customHeight="1" x14ac:dyDescent="0.25">
      <c r="A46" s="53"/>
      <c r="B46" s="42" t="s">
        <v>63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69"/>
      <c r="AW46" s="58"/>
    </row>
    <row r="47" spans="1:49" ht="59.25" customHeight="1" x14ac:dyDescent="0.25">
      <c r="A47" s="53"/>
      <c r="B47" s="42" t="s">
        <v>62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4"/>
      <c r="AW47" s="58"/>
    </row>
    <row r="48" spans="1:49" ht="59.25" customHeight="1" thickBot="1" x14ac:dyDescent="0.3">
      <c r="A48" s="53"/>
      <c r="B48" s="85" t="s">
        <v>69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1"/>
      <c r="AW48" s="58"/>
    </row>
    <row r="49" spans="1:49" ht="15.75" thickBot="1" x14ac:dyDescent="0.3">
      <c r="A49" s="63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5"/>
    </row>
    <row r="50" spans="1:49" ht="15.75" thickTop="1" x14ac:dyDescent="0.25"/>
  </sheetData>
  <mergeCells count="5">
    <mergeCell ref="A9:A39"/>
    <mergeCell ref="B9:AW9"/>
    <mergeCell ref="B5:AB5"/>
    <mergeCell ref="B2:AV4"/>
    <mergeCell ref="AC5:AV5"/>
  </mergeCells>
  <pageMargins left="0.19685039370078741" right="0.11811023622047245" top="0.19685039370078741" bottom="0.19685039370078741" header="0.31496062992125984" footer="0.31496062992125984"/>
  <pageSetup scale="5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54"/>
  <sheetViews>
    <sheetView tabSelected="1" view="pageBreakPreview" topLeftCell="A31" zoomScale="85" zoomScaleNormal="85" zoomScaleSheetLayoutView="85" workbookViewId="0">
      <selection activeCell="A49" sqref="A49:M49"/>
    </sheetView>
  </sheetViews>
  <sheetFormatPr defaultRowHeight="15" x14ac:dyDescent="0.25"/>
  <cols>
    <col min="1" max="1" width="12.140625" style="40" customWidth="1"/>
    <col min="2" max="2" width="17.42578125" style="40" customWidth="1"/>
    <col min="3" max="3" width="11.42578125" style="40" customWidth="1"/>
    <col min="4" max="4" width="11.28515625" style="40" customWidth="1"/>
    <col min="5" max="6" width="10.42578125" style="40" customWidth="1"/>
    <col min="7" max="7" width="3.28515625" style="40" customWidth="1"/>
    <col min="8" max="11" width="9.42578125" style="40" customWidth="1"/>
    <col min="12" max="12" width="13" style="40" customWidth="1"/>
    <col min="13" max="13" width="16.85546875" style="40" customWidth="1"/>
    <col min="14" max="16384" width="9.140625" style="40"/>
  </cols>
  <sheetData>
    <row r="1" spans="1:45" ht="19.5" customHeight="1" x14ac:dyDescent="0.25">
      <c r="A1" s="193" t="s">
        <v>123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</row>
    <row r="2" spans="1:45" ht="19.5" customHeight="1" x14ac:dyDescent="0.25">
      <c r="A2" s="211"/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3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</row>
    <row r="3" spans="1:45" s="30" customFormat="1" ht="33" customHeight="1" thickBot="1" x14ac:dyDescent="0.3">
      <c r="A3" s="159" t="s">
        <v>113</v>
      </c>
      <c r="B3" s="134"/>
      <c r="C3" s="160" t="s">
        <v>114</v>
      </c>
      <c r="D3" s="134"/>
      <c r="E3" s="160" t="s">
        <v>125</v>
      </c>
      <c r="F3" s="133"/>
      <c r="G3" s="133"/>
      <c r="H3" s="133"/>
      <c r="I3" s="34"/>
      <c r="J3" s="133" t="s">
        <v>126</v>
      </c>
      <c r="K3" s="133"/>
      <c r="L3" s="133"/>
      <c r="M3" s="13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</row>
    <row r="4" spans="1:45" ht="13.5" customHeight="1" thickBot="1" x14ac:dyDescent="0.3">
      <c r="A4" s="93"/>
      <c r="B4" s="94"/>
      <c r="C4" s="94"/>
      <c r="D4" s="94"/>
      <c r="E4" s="94"/>
      <c r="F4" s="94"/>
      <c r="G4" s="121"/>
      <c r="H4" s="94"/>
      <c r="I4" s="94"/>
      <c r="J4" s="94"/>
      <c r="K4" s="94"/>
      <c r="L4" s="94"/>
      <c r="M4" s="9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</row>
    <row r="5" spans="1:45" ht="30" customHeight="1" thickBot="1" x14ac:dyDescent="0.3">
      <c r="A5" s="216" t="s">
        <v>104</v>
      </c>
      <c r="B5" s="217"/>
      <c r="C5" s="217"/>
      <c r="D5" s="217"/>
      <c r="E5" s="217"/>
      <c r="F5" s="239"/>
      <c r="G5" s="122"/>
      <c r="H5" s="216" t="s">
        <v>100</v>
      </c>
      <c r="I5" s="217"/>
      <c r="J5" s="217"/>
      <c r="K5" s="217"/>
      <c r="L5" s="217"/>
      <c r="M5" s="217"/>
      <c r="N5" s="45"/>
      <c r="O5" s="45"/>
      <c r="P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</row>
    <row r="6" spans="1:45" s="90" customFormat="1" ht="2.25" customHeight="1" thickBot="1" x14ac:dyDescent="0.3">
      <c r="A6" s="87"/>
      <c r="B6" s="87"/>
      <c r="C6" s="87"/>
      <c r="D6" s="87"/>
      <c r="E6" s="87"/>
      <c r="F6" s="87"/>
      <c r="G6" s="88"/>
      <c r="H6" s="87"/>
      <c r="I6" s="87"/>
      <c r="J6" s="87"/>
      <c r="K6" s="87"/>
      <c r="L6" s="87"/>
      <c r="M6" s="87"/>
      <c r="N6" s="89"/>
      <c r="O6" s="89"/>
      <c r="P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</row>
    <row r="7" spans="1:45" s="72" customFormat="1" ht="21" customHeight="1" x14ac:dyDescent="0.25">
      <c r="A7" s="237" t="s">
        <v>102</v>
      </c>
      <c r="B7" s="238"/>
      <c r="C7" s="238"/>
      <c r="D7" s="102" t="s">
        <v>96</v>
      </c>
      <c r="E7" s="102" t="s">
        <v>95</v>
      </c>
      <c r="F7" s="130" t="s">
        <v>101</v>
      </c>
      <c r="G7" s="82"/>
      <c r="H7" s="234" t="s">
        <v>68</v>
      </c>
      <c r="I7" s="235"/>
      <c r="J7" s="235"/>
      <c r="K7" s="235"/>
      <c r="L7" s="235"/>
      <c r="M7" s="236"/>
    </row>
    <row r="8" spans="1:45" s="72" customFormat="1" ht="21" customHeight="1" thickBot="1" x14ac:dyDescent="0.3">
      <c r="A8" s="229" t="s">
        <v>97</v>
      </c>
      <c r="B8" s="230"/>
      <c r="C8" s="230"/>
      <c r="D8" s="101" t="s">
        <v>96</v>
      </c>
      <c r="E8" s="101" t="s">
        <v>95</v>
      </c>
      <c r="F8" s="125" t="s">
        <v>101</v>
      </c>
      <c r="G8" s="81"/>
      <c r="H8" s="231" t="s">
        <v>65</v>
      </c>
      <c r="I8" s="232"/>
      <c r="J8" s="232"/>
      <c r="K8" s="232"/>
      <c r="L8" s="232"/>
      <c r="M8" s="233"/>
    </row>
    <row r="9" spans="1:45" s="72" customFormat="1" ht="21" customHeight="1" thickBot="1" x14ac:dyDescent="0.3">
      <c r="A9" s="229" t="s">
        <v>98</v>
      </c>
      <c r="B9" s="230"/>
      <c r="C9" s="230"/>
      <c r="D9" s="101" t="s">
        <v>96</v>
      </c>
      <c r="E9" s="101" t="s">
        <v>95</v>
      </c>
      <c r="F9" s="125" t="s">
        <v>101</v>
      </c>
      <c r="G9" s="81"/>
      <c r="H9" s="86"/>
      <c r="I9" s="86"/>
      <c r="J9" s="86"/>
      <c r="K9" s="86"/>
      <c r="L9" s="86"/>
      <c r="M9" s="86"/>
    </row>
    <row r="10" spans="1:45" s="72" customFormat="1" ht="21" customHeight="1" x14ac:dyDescent="0.25">
      <c r="A10" s="229" t="s">
        <v>103</v>
      </c>
      <c r="B10" s="230"/>
      <c r="C10" s="230"/>
      <c r="D10" s="101" t="s">
        <v>96</v>
      </c>
      <c r="E10" s="101" t="s">
        <v>95</v>
      </c>
      <c r="F10" s="125" t="s">
        <v>101</v>
      </c>
      <c r="G10" s="73"/>
      <c r="H10" s="220" t="s">
        <v>94</v>
      </c>
      <c r="I10" s="221"/>
      <c r="J10" s="221"/>
      <c r="K10" s="222"/>
      <c r="L10" s="214" t="s">
        <v>92</v>
      </c>
      <c r="M10" s="215"/>
    </row>
    <row r="11" spans="1:45" s="72" customFormat="1" ht="21" customHeight="1" x14ac:dyDescent="0.25">
      <c r="A11" s="229" t="s">
        <v>99</v>
      </c>
      <c r="B11" s="230"/>
      <c r="C11" s="230"/>
      <c r="D11" s="101" t="s">
        <v>96</v>
      </c>
      <c r="E11" s="101" t="s">
        <v>95</v>
      </c>
      <c r="F11" s="125" t="s">
        <v>101</v>
      </c>
      <c r="G11" s="81"/>
      <c r="H11" s="111"/>
      <c r="I11" s="112"/>
      <c r="J11" s="112"/>
      <c r="K11" s="113"/>
      <c r="L11" s="105"/>
      <c r="M11" s="106"/>
    </row>
    <row r="12" spans="1:45" s="72" customFormat="1" ht="21" customHeight="1" x14ac:dyDescent="0.25">
      <c r="A12" s="229" t="s">
        <v>105</v>
      </c>
      <c r="B12" s="230"/>
      <c r="C12" s="230"/>
      <c r="D12" s="101" t="s">
        <v>96</v>
      </c>
      <c r="E12" s="101" t="s">
        <v>95</v>
      </c>
      <c r="F12" s="125" t="s">
        <v>101</v>
      </c>
      <c r="G12" s="81"/>
      <c r="H12" s="111"/>
      <c r="I12" s="112"/>
      <c r="J12" s="112"/>
      <c r="K12" s="113"/>
      <c r="L12" s="105"/>
      <c r="M12" s="106"/>
    </row>
    <row r="13" spans="1:45" s="72" customFormat="1" ht="21" customHeight="1" x14ac:dyDescent="0.25">
      <c r="A13" s="229" t="s">
        <v>106</v>
      </c>
      <c r="B13" s="230"/>
      <c r="C13" s="230"/>
      <c r="D13" s="101" t="s">
        <v>96</v>
      </c>
      <c r="E13" s="101" t="s">
        <v>95</v>
      </c>
      <c r="F13" s="125" t="s">
        <v>101</v>
      </c>
      <c r="G13" s="81"/>
      <c r="H13" s="111"/>
      <c r="I13" s="112"/>
      <c r="J13" s="112"/>
      <c r="K13" s="113"/>
      <c r="L13" s="105"/>
      <c r="M13" s="106"/>
    </row>
    <row r="14" spans="1:45" s="72" customFormat="1" ht="21" customHeight="1" x14ac:dyDescent="0.25">
      <c r="A14" s="229" t="s">
        <v>107</v>
      </c>
      <c r="B14" s="230"/>
      <c r="C14" s="230"/>
      <c r="D14" s="101" t="s">
        <v>96</v>
      </c>
      <c r="E14" s="101" t="s">
        <v>95</v>
      </c>
      <c r="F14" s="125" t="s">
        <v>101</v>
      </c>
      <c r="G14" s="81"/>
      <c r="H14" s="111"/>
      <c r="I14" s="112"/>
      <c r="J14" s="112"/>
      <c r="K14" s="113"/>
      <c r="L14" s="105"/>
      <c r="M14" s="106"/>
    </row>
    <row r="15" spans="1:45" s="72" customFormat="1" ht="21" customHeight="1" x14ac:dyDescent="0.25">
      <c r="A15" s="229" t="s">
        <v>108</v>
      </c>
      <c r="B15" s="230"/>
      <c r="C15" s="230"/>
      <c r="D15" s="101" t="s">
        <v>96</v>
      </c>
      <c r="E15" s="101" t="s">
        <v>95</v>
      </c>
      <c r="F15" s="125" t="s">
        <v>101</v>
      </c>
      <c r="G15" s="81"/>
      <c r="H15" s="111"/>
      <c r="I15" s="112"/>
      <c r="J15" s="112"/>
      <c r="K15" s="113"/>
      <c r="L15" s="105"/>
      <c r="M15" s="106"/>
    </row>
    <row r="16" spans="1:45" s="72" customFormat="1" ht="21" customHeight="1" x14ac:dyDescent="0.25">
      <c r="A16" s="229" t="s">
        <v>120</v>
      </c>
      <c r="B16" s="230"/>
      <c r="C16" s="230"/>
      <c r="D16" s="101" t="s">
        <v>96</v>
      </c>
      <c r="E16" s="101" t="s">
        <v>95</v>
      </c>
      <c r="F16" s="125" t="s">
        <v>101</v>
      </c>
      <c r="G16" s="81"/>
      <c r="H16" s="111"/>
      <c r="I16" s="112"/>
      <c r="J16" s="112"/>
      <c r="K16" s="113"/>
      <c r="L16" s="105"/>
      <c r="M16" s="106"/>
    </row>
    <row r="17" spans="1:13" s="72" customFormat="1" ht="21" customHeight="1" x14ac:dyDescent="0.25">
      <c r="A17" s="229" t="s">
        <v>121</v>
      </c>
      <c r="B17" s="230"/>
      <c r="C17" s="230"/>
      <c r="D17" s="127"/>
      <c r="E17" s="127"/>
      <c r="F17" s="155"/>
      <c r="G17" s="81"/>
      <c r="H17" s="111"/>
      <c r="I17" s="112"/>
      <c r="J17" s="112"/>
      <c r="K17" s="113"/>
      <c r="L17" s="105"/>
      <c r="M17" s="106"/>
    </row>
    <row r="18" spans="1:13" s="72" customFormat="1" ht="21" customHeight="1" x14ac:dyDescent="0.25">
      <c r="A18" s="156"/>
      <c r="B18" s="157"/>
      <c r="C18" s="157"/>
      <c r="D18" s="117"/>
      <c r="E18" s="117"/>
      <c r="F18" s="150"/>
      <c r="G18" s="81"/>
      <c r="H18" s="111"/>
      <c r="I18" s="112"/>
      <c r="J18" s="112"/>
      <c r="K18" s="113"/>
      <c r="L18" s="105"/>
      <c r="M18" s="106"/>
    </row>
    <row r="19" spans="1:13" s="72" customFormat="1" ht="21" customHeight="1" x14ac:dyDescent="0.25">
      <c r="A19" s="151"/>
      <c r="B19" s="92"/>
      <c r="C19" s="92"/>
      <c r="D19" s="92"/>
      <c r="E19" s="92"/>
      <c r="F19" s="152"/>
      <c r="G19" s="81"/>
      <c r="H19" s="111"/>
      <c r="I19" s="112"/>
      <c r="J19" s="112"/>
      <c r="K19" s="113"/>
      <c r="L19" s="105"/>
      <c r="M19" s="106"/>
    </row>
    <row r="20" spans="1:13" s="72" customFormat="1" ht="21" customHeight="1" thickBot="1" x14ac:dyDescent="0.3">
      <c r="A20" s="151"/>
      <c r="B20" s="92"/>
      <c r="C20" s="92"/>
      <c r="D20" s="92"/>
      <c r="E20" s="92"/>
      <c r="F20" s="152"/>
      <c r="G20" s="81"/>
      <c r="H20" s="108" t="s">
        <v>65</v>
      </c>
      <c r="I20" s="109"/>
      <c r="J20" s="109"/>
      <c r="K20" s="109"/>
      <c r="L20" s="109"/>
      <c r="M20" s="110"/>
    </row>
    <row r="21" spans="1:13" s="72" customFormat="1" ht="6" customHeight="1" thickBot="1" x14ac:dyDescent="0.3">
      <c r="A21" s="151"/>
      <c r="B21" s="92"/>
      <c r="C21" s="92"/>
      <c r="D21" s="92"/>
      <c r="E21" s="92"/>
      <c r="F21" s="152"/>
      <c r="G21" s="81"/>
      <c r="H21" s="107"/>
      <c r="I21" s="107"/>
      <c r="J21" s="107"/>
      <c r="K21" s="107"/>
      <c r="L21" s="107"/>
      <c r="M21" s="92"/>
    </row>
    <row r="22" spans="1:13" s="72" customFormat="1" ht="24.75" customHeight="1" thickBot="1" x14ac:dyDescent="0.3">
      <c r="A22" s="151"/>
      <c r="B22" s="92"/>
      <c r="C22" s="92"/>
      <c r="D22" s="92"/>
      <c r="E22" s="92"/>
      <c r="F22" s="152"/>
      <c r="G22" s="128"/>
      <c r="H22" s="218" t="s">
        <v>109</v>
      </c>
      <c r="I22" s="219"/>
      <c r="J22" s="219"/>
      <c r="K22" s="219"/>
      <c r="L22" s="219"/>
      <c r="M22" s="219"/>
    </row>
    <row r="23" spans="1:13" s="72" customFormat="1" ht="3" customHeight="1" thickBot="1" x14ac:dyDescent="0.3">
      <c r="A23" s="151"/>
      <c r="B23" s="92"/>
      <c r="C23" s="92"/>
      <c r="D23" s="92"/>
      <c r="E23" s="92"/>
      <c r="F23" s="152"/>
      <c r="G23" s="123"/>
      <c r="H23" s="91"/>
      <c r="I23" s="91"/>
      <c r="J23" s="91"/>
      <c r="K23" s="91"/>
      <c r="L23" s="91"/>
      <c r="M23" s="91"/>
    </row>
    <row r="24" spans="1:13" s="72" customFormat="1" ht="18" customHeight="1" x14ac:dyDescent="0.25">
      <c r="A24" s="151"/>
      <c r="B24" s="92"/>
      <c r="C24" s="92"/>
      <c r="D24" s="92"/>
      <c r="E24" s="92"/>
      <c r="F24" s="152"/>
      <c r="G24" s="129"/>
      <c r="H24" s="220" t="s">
        <v>70</v>
      </c>
      <c r="I24" s="221"/>
      <c r="J24" s="221"/>
      <c r="K24" s="222"/>
      <c r="L24" s="103"/>
      <c r="M24" s="104"/>
    </row>
    <row r="25" spans="1:13" s="72" customFormat="1" ht="18" customHeight="1" x14ac:dyDescent="0.25">
      <c r="A25" s="151"/>
      <c r="B25" s="92"/>
      <c r="C25" s="92"/>
      <c r="D25" s="92"/>
      <c r="E25" s="92"/>
      <c r="F25" s="152"/>
      <c r="G25" s="129"/>
      <c r="H25" s="223" t="s">
        <v>71</v>
      </c>
      <c r="I25" s="224"/>
      <c r="J25" s="224"/>
      <c r="K25" s="225"/>
      <c r="L25" s="105"/>
      <c r="M25" s="106"/>
    </row>
    <row r="26" spans="1:13" s="72" customFormat="1" ht="18" customHeight="1" x14ac:dyDescent="0.25">
      <c r="A26" s="151"/>
      <c r="B26" s="92"/>
      <c r="C26" s="92"/>
      <c r="D26" s="92"/>
      <c r="E26" s="92"/>
      <c r="F26" s="152"/>
      <c r="G26" s="129"/>
      <c r="H26" s="223" t="s">
        <v>72</v>
      </c>
      <c r="I26" s="224"/>
      <c r="J26" s="224"/>
      <c r="K26" s="225"/>
      <c r="L26" s="124" t="s">
        <v>96</v>
      </c>
      <c r="M26" s="125" t="s">
        <v>95</v>
      </c>
    </row>
    <row r="27" spans="1:13" s="72" customFormat="1" ht="33" customHeight="1" thickBot="1" x14ac:dyDescent="0.3">
      <c r="A27" s="153"/>
      <c r="B27" s="143"/>
      <c r="C27" s="143"/>
      <c r="D27" s="143"/>
      <c r="E27" s="143"/>
      <c r="F27" s="154"/>
      <c r="G27" s="129"/>
      <c r="H27" s="226" t="s">
        <v>110</v>
      </c>
      <c r="I27" s="227"/>
      <c r="J27" s="227"/>
      <c r="K27" s="227"/>
      <c r="L27" s="227"/>
      <c r="M27" s="228"/>
    </row>
    <row r="28" spans="1:13" s="72" customFormat="1" ht="9.75" customHeight="1" thickBot="1" x14ac:dyDescent="0.3">
      <c r="A28" s="81"/>
      <c r="B28" s="81"/>
      <c r="C28" s="81"/>
      <c r="D28" s="81"/>
      <c r="E28" s="81"/>
      <c r="F28" s="81"/>
      <c r="G28" s="81"/>
      <c r="H28" s="107"/>
      <c r="I28" s="107"/>
      <c r="J28" s="107"/>
      <c r="K28" s="107"/>
      <c r="L28" s="107"/>
      <c r="M28" s="92"/>
    </row>
    <row r="29" spans="1:13" ht="25.5" customHeight="1" thickBot="1" x14ac:dyDescent="0.3">
      <c r="A29" s="216" t="s">
        <v>115</v>
      </c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39"/>
    </row>
    <row r="30" spans="1:13" s="82" customFormat="1" ht="48.75" customHeight="1" x14ac:dyDescent="0.25">
      <c r="A30" s="131"/>
      <c r="B30" s="132" t="s">
        <v>74</v>
      </c>
      <c r="C30" s="132" t="s">
        <v>81</v>
      </c>
      <c r="D30" s="132" t="s">
        <v>111</v>
      </c>
      <c r="E30" s="214" t="s">
        <v>112</v>
      </c>
      <c r="F30" s="221"/>
      <c r="G30" s="222"/>
      <c r="H30" s="214" t="s">
        <v>93</v>
      </c>
      <c r="I30" s="221"/>
      <c r="J30" s="221"/>
      <c r="K30" s="221"/>
      <c r="L30" s="221"/>
      <c r="M30" s="215"/>
    </row>
    <row r="31" spans="1:13" ht="25.5" customHeight="1" x14ac:dyDescent="0.25">
      <c r="A31" s="118" t="s">
        <v>73</v>
      </c>
      <c r="B31" s="114"/>
      <c r="C31" s="114"/>
      <c r="D31" s="114"/>
      <c r="E31" s="208"/>
      <c r="F31" s="209"/>
      <c r="G31" s="210"/>
      <c r="H31" s="115"/>
      <c r="I31" s="97"/>
      <c r="J31" s="97"/>
      <c r="K31" s="97"/>
      <c r="L31" s="97"/>
      <c r="M31" s="98"/>
    </row>
    <row r="32" spans="1:13" ht="25.5" customHeight="1" x14ac:dyDescent="0.25">
      <c r="A32" s="118" t="s">
        <v>75</v>
      </c>
      <c r="B32" s="114"/>
      <c r="C32" s="114"/>
      <c r="D32" s="114"/>
      <c r="E32" s="208"/>
      <c r="F32" s="209"/>
      <c r="G32" s="210"/>
      <c r="H32" s="115"/>
      <c r="I32" s="97"/>
      <c r="J32" s="97"/>
      <c r="K32" s="97"/>
      <c r="L32" s="97"/>
      <c r="M32" s="98"/>
    </row>
    <row r="33" spans="1:13" ht="25.5" customHeight="1" x14ac:dyDescent="0.25">
      <c r="A33" s="118" t="s">
        <v>76</v>
      </c>
      <c r="B33" s="114"/>
      <c r="C33" s="114"/>
      <c r="D33" s="114"/>
      <c r="E33" s="208"/>
      <c r="F33" s="209"/>
      <c r="G33" s="210"/>
      <c r="H33" s="115"/>
      <c r="I33" s="97"/>
      <c r="J33" s="97"/>
      <c r="K33" s="97"/>
      <c r="L33" s="97"/>
      <c r="M33" s="98"/>
    </row>
    <row r="34" spans="1:13" ht="25.5" customHeight="1" x14ac:dyDescent="0.25">
      <c r="A34" s="118" t="s">
        <v>77</v>
      </c>
      <c r="B34" s="114"/>
      <c r="C34" s="114"/>
      <c r="D34" s="114"/>
      <c r="E34" s="208"/>
      <c r="F34" s="209"/>
      <c r="G34" s="210"/>
      <c r="H34" s="115"/>
      <c r="I34" s="97"/>
      <c r="J34" s="97"/>
      <c r="K34" s="97"/>
      <c r="L34" s="97"/>
      <c r="M34" s="98"/>
    </row>
    <row r="35" spans="1:13" ht="25.5" customHeight="1" x14ac:dyDescent="0.25">
      <c r="A35" s="118" t="s">
        <v>78</v>
      </c>
      <c r="B35" s="114"/>
      <c r="C35" s="114"/>
      <c r="D35" s="114"/>
      <c r="E35" s="208"/>
      <c r="F35" s="209"/>
      <c r="G35" s="210"/>
      <c r="H35" s="115"/>
      <c r="I35" s="97"/>
      <c r="J35" s="97"/>
      <c r="K35" s="97"/>
      <c r="L35" s="97"/>
      <c r="M35" s="98"/>
    </row>
    <row r="36" spans="1:13" ht="25.5" customHeight="1" x14ac:dyDescent="0.25">
      <c r="A36" s="118" t="s">
        <v>79</v>
      </c>
      <c r="B36" s="114"/>
      <c r="C36" s="114"/>
      <c r="D36" s="114"/>
      <c r="E36" s="208"/>
      <c r="F36" s="209"/>
      <c r="G36" s="210"/>
      <c r="H36" s="115"/>
      <c r="I36" s="97"/>
      <c r="J36" s="97"/>
      <c r="K36" s="97"/>
      <c r="L36" s="97"/>
      <c r="M36" s="98"/>
    </row>
    <row r="37" spans="1:13" ht="25.5" customHeight="1" x14ac:dyDescent="0.25">
      <c r="A37" s="118" t="s">
        <v>80</v>
      </c>
      <c r="B37" s="114"/>
      <c r="C37" s="114"/>
      <c r="D37" s="114"/>
      <c r="E37" s="208"/>
      <c r="F37" s="209"/>
      <c r="G37" s="210"/>
      <c r="H37" s="115"/>
      <c r="I37" s="97"/>
      <c r="J37" s="97"/>
      <c r="K37" s="97"/>
      <c r="L37" s="97"/>
      <c r="M37" s="98"/>
    </row>
    <row r="38" spans="1:13" ht="25.5" customHeight="1" x14ac:dyDescent="0.25">
      <c r="A38" s="118" t="s">
        <v>82</v>
      </c>
      <c r="B38" s="114"/>
      <c r="C38" s="114"/>
      <c r="D38" s="114"/>
      <c r="E38" s="208"/>
      <c r="F38" s="209"/>
      <c r="G38" s="210"/>
      <c r="H38" s="115"/>
      <c r="I38" s="97"/>
      <c r="J38" s="97"/>
      <c r="K38" s="97"/>
      <c r="L38" s="97"/>
      <c r="M38" s="98"/>
    </row>
    <row r="39" spans="1:13" ht="25.5" customHeight="1" x14ac:dyDescent="0.25">
      <c r="A39" s="118" t="s">
        <v>83</v>
      </c>
      <c r="B39" s="114"/>
      <c r="C39" s="114"/>
      <c r="D39" s="114"/>
      <c r="E39" s="208"/>
      <c r="F39" s="209"/>
      <c r="G39" s="210"/>
      <c r="H39" s="115"/>
      <c r="I39" s="97"/>
      <c r="J39" s="97"/>
      <c r="K39" s="97"/>
      <c r="L39" s="97"/>
      <c r="M39" s="98"/>
    </row>
    <row r="40" spans="1:13" ht="25.5" customHeight="1" x14ac:dyDescent="0.25">
      <c r="A40" s="118" t="s">
        <v>84</v>
      </c>
      <c r="B40" s="114"/>
      <c r="C40" s="114"/>
      <c r="D40" s="114"/>
      <c r="E40" s="208"/>
      <c r="F40" s="209"/>
      <c r="G40" s="210"/>
      <c r="H40" s="115"/>
      <c r="I40" s="97"/>
      <c r="J40" s="97"/>
      <c r="K40" s="97"/>
      <c r="L40" s="97"/>
      <c r="M40" s="98"/>
    </row>
    <row r="41" spans="1:13" ht="25.5" customHeight="1" x14ac:dyDescent="0.25">
      <c r="A41" s="118" t="s">
        <v>85</v>
      </c>
      <c r="B41" s="114"/>
      <c r="C41" s="114"/>
      <c r="D41" s="114"/>
      <c r="E41" s="208"/>
      <c r="F41" s="209"/>
      <c r="G41" s="210"/>
      <c r="H41" s="115"/>
      <c r="I41" s="97"/>
      <c r="J41" s="97"/>
      <c r="K41" s="97"/>
      <c r="L41" s="97"/>
      <c r="M41" s="98"/>
    </row>
    <row r="42" spans="1:13" ht="25.5" customHeight="1" x14ac:dyDescent="0.25">
      <c r="A42" s="118" t="s">
        <v>86</v>
      </c>
      <c r="B42" s="114"/>
      <c r="C42" s="114"/>
      <c r="D42" s="114"/>
      <c r="E42" s="208"/>
      <c r="F42" s="209"/>
      <c r="G42" s="210"/>
      <c r="H42" s="115"/>
      <c r="I42" s="97"/>
      <c r="J42" s="97"/>
      <c r="K42" s="97"/>
      <c r="L42" s="97"/>
      <c r="M42" s="98"/>
    </row>
    <row r="43" spans="1:13" ht="25.5" customHeight="1" x14ac:dyDescent="0.25">
      <c r="A43" s="118" t="s">
        <v>87</v>
      </c>
      <c r="B43" s="114"/>
      <c r="C43" s="114"/>
      <c r="D43" s="114"/>
      <c r="E43" s="208"/>
      <c r="F43" s="209"/>
      <c r="G43" s="210"/>
      <c r="H43" s="115"/>
      <c r="I43" s="97"/>
      <c r="J43" s="97"/>
      <c r="K43" s="97"/>
      <c r="L43" s="97"/>
      <c r="M43" s="98"/>
    </row>
    <row r="44" spans="1:13" ht="25.5" customHeight="1" x14ac:dyDescent="0.25">
      <c r="A44" s="118" t="s">
        <v>88</v>
      </c>
      <c r="B44" s="114"/>
      <c r="C44" s="114"/>
      <c r="D44" s="114"/>
      <c r="E44" s="208"/>
      <c r="F44" s="209"/>
      <c r="G44" s="210"/>
      <c r="H44" s="115"/>
      <c r="I44" s="97"/>
      <c r="J44" s="97"/>
      <c r="K44" s="97"/>
      <c r="L44" s="97"/>
      <c r="M44" s="98"/>
    </row>
    <row r="45" spans="1:13" ht="25.5" customHeight="1" x14ac:dyDescent="0.25">
      <c r="A45" s="118" t="s">
        <v>89</v>
      </c>
      <c r="B45" s="114"/>
      <c r="C45" s="114"/>
      <c r="D45" s="114"/>
      <c r="E45" s="208"/>
      <c r="F45" s="209"/>
      <c r="G45" s="210"/>
      <c r="H45" s="115"/>
      <c r="I45" s="97"/>
      <c r="J45" s="97"/>
      <c r="K45" s="97"/>
      <c r="L45" s="97"/>
      <c r="M45" s="98"/>
    </row>
    <row r="46" spans="1:13" ht="25.5" customHeight="1" x14ac:dyDescent="0.25">
      <c r="A46" s="118" t="s">
        <v>90</v>
      </c>
      <c r="B46" s="114"/>
      <c r="C46" s="114"/>
      <c r="D46" s="114"/>
      <c r="E46" s="208"/>
      <c r="F46" s="209"/>
      <c r="G46" s="210"/>
      <c r="H46" s="116" t="s">
        <v>122</v>
      </c>
      <c r="I46" s="97"/>
      <c r="J46" s="97"/>
      <c r="K46" s="97"/>
      <c r="L46" s="97"/>
      <c r="M46" s="98"/>
    </row>
    <row r="47" spans="1:13" ht="25.5" customHeight="1" thickBot="1" x14ac:dyDescent="0.3">
      <c r="A47" s="119" t="s">
        <v>91</v>
      </c>
      <c r="B47" s="126"/>
      <c r="C47" s="126"/>
      <c r="D47" s="126"/>
      <c r="E47" s="205"/>
      <c r="F47" s="206"/>
      <c r="G47" s="207"/>
      <c r="H47" s="120"/>
      <c r="I47" s="99"/>
      <c r="J47" s="99"/>
      <c r="K47" s="99"/>
      <c r="L47" s="99"/>
      <c r="M47" s="100"/>
    </row>
    <row r="48" spans="1:13" ht="12.75" customHeight="1" thickBot="1" x14ac:dyDescent="0.3">
      <c r="A48" s="136"/>
      <c r="B48" s="92"/>
      <c r="C48" s="92"/>
      <c r="D48" s="92"/>
      <c r="E48" s="107"/>
      <c r="F48" s="107"/>
      <c r="G48" s="107"/>
      <c r="H48" s="107"/>
      <c r="I48" s="107"/>
      <c r="J48" s="107"/>
      <c r="K48" s="107"/>
      <c r="L48" s="107"/>
      <c r="M48" s="137"/>
    </row>
    <row r="49" spans="1:13" ht="25.5" customHeight="1" thickBot="1" x14ac:dyDescent="0.3">
      <c r="A49" s="216" t="s">
        <v>118</v>
      </c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39"/>
    </row>
    <row r="50" spans="1:13" ht="25.5" customHeight="1" x14ac:dyDescent="0.25">
      <c r="A50" s="138" t="s">
        <v>116</v>
      </c>
      <c r="B50" s="139"/>
      <c r="C50" s="147" t="s">
        <v>117</v>
      </c>
      <c r="D50" s="149"/>
      <c r="E50" s="146" t="s">
        <v>119</v>
      </c>
      <c r="F50" s="147"/>
      <c r="G50" s="140"/>
      <c r="H50" s="139"/>
      <c r="I50" s="146"/>
      <c r="J50" s="140"/>
      <c r="K50" s="140"/>
      <c r="L50" s="140"/>
      <c r="M50" s="141"/>
    </row>
    <row r="51" spans="1:13" ht="32.25" customHeight="1" x14ac:dyDescent="0.25">
      <c r="A51" s="136"/>
      <c r="B51" s="92"/>
      <c r="C51" s="148"/>
      <c r="D51" s="158"/>
      <c r="E51" s="121"/>
      <c r="F51" s="148"/>
      <c r="G51" s="107"/>
      <c r="H51" s="107"/>
      <c r="I51" s="121"/>
      <c r="J51" s="107"/>
      <c r="K51" s="107"/>
      <c r="L51" s="107"/>
      <c r="M51" s="137"/>
    </row>
    <row r="52" spans="1:13" ht="6" customHeight="1" thickBot="1" x14ac:dyDescent="0.3">
      <c r="A52" s="142"/>
      <c r="B52" s="143"/>
      <c r="C52" s="143"/>
      <c r="D52" s="143"/>
      <c r="E52" s="144"/>
      <c r="F52" s="144"/>
      <c r="G52" s="144"/>
      <c r="H52" s="144"/>
      <c r="I52" s="144"/>
      <c r="J52" s="144"/>
      <c r="K52" s="144"/>
      <c r="L52" s="144"/>
      <c r="M52" s="145"/>
    </row>
    <row r="53" spans="1:13" ht="26.25" customHeight="1" x14ac:dyDescent="0.25">
      <c r="A53" s="74"/>
      <c r="B53" s="96" t="s">
        <v>67</v>
      </c>
      <c r="C53" s="96"/>
      <c r="D53" s="96"/>
      <c r="E53" s="96"/>
      <c r="F53" s="75"/>
      <c r="G53" s="75"/>
      <c r="H53" s="75"/>
      <c r="K53" s="96" t="s">
        <v>67</v>
      </c>
      <c r="L53" s="96"/>
      <c r="M53" s="80"/>
    </row>
    <row r="54" spans="1:13" ht="15.75" thickBot="1" x14ac:dyDescent="0.3">
      <c r="A54" s="77"/>
      <c r="B54" s="76" t="s">
        <v>66</v>
      </c>
      <c r="C54" s="76"/>
      <c r="D54" s="43"/>
      <c r="E54" s="76"/>
      <c r="F54" s="76"/>
      <c r="G54" s="76"/>
      <c r="H54" s="76"/>
      <c r="I54" s="43"/>
      <c r="J54" s="43"/>
      <c r="K54" s="78" t="s">
        <v>124</v>
      </c>
      <c r="L54" s="78"/>
      <c r="M54" s="79"/>
    </row>
  </sheetData>
  <mergeCells count="44">
    <mergeCell ref="A49:M49"/>
    <mergeCell ref="A12:C12"/>
    <mergeCell ref="A13:C13"/>
    <mergeCell ref="A14:C14"/>
    <mergeCell ref="A5:F5"/>
    <mergeCell ref="A29:M29"/>
    <mergeCell ref="A7:C7"/>
    <mergeCell ref="A8:C8"/>
    <mergeCell ref="A9:C9"/>
    <mergeCell ref="A10:C10"/>
    <mergeCell ref="A11:C11"/>
    <mergeCell ref="H10:K10"/>
    <mergeCell ref="H8:M8"/>
    <mergeCell ref="H7:M7"/>
    <mergeCell ref="H30:M30"/>
    <mergeCell ref="E30:G30"/>
    <mergeCell ref="E40:G40"/>
    <mergeCell ref="A1:M2"/>
    <mergeCell ref="L10:M10"/>
    <mergeCell ref="E31:G31"/>
    <mergeCell ref="E32:G32"/>
    <mergeCell ref="E33:G33"/>
    <mergeCell ref="E34:G34"/>
    <mergeCell ref="H5:M5"/>
    <mergeCell ref="H22:M22"/>
    <mergeCell ref="H24:K24"/>
    <mergeCell ref="H25:K25"/>
    <mergeCell ref="H26:K26"/>
    <mergeCell ref="H27:M27"/>
    <mergeCell ref="A15:C15"/>
    <mergeCell ref="A16:C16"/>
    <mergeCell ref="A17:C17"/>
    <mergeCell ref="E35:G35"/>
    <mergeCell ref="E36:G36"/>
    <mergeCell ref="E37:G37"/>
    <mergeCell ref="E38:G38"/>
    <mergeCell ref="E39:G39"/>
    <mergeCell ref="E47:G47"/>
    <mergeCell ref="E41:G41"/>
    <mergeCell ref="E42:G42"/>
    <mergeCell ref="E43:G43"/>
    <mergeCell ref="E44:G44"/>
    <mergeCell ref="E45:G45"/>
    <mergeCell ref="E46:G46"/>
  </mergeCells>
  <pageMargins left="0.19685039370078741" right="0.19685039370078741" top="0.19685039370078741" bottom="0.19685039370078741" header="0.31496062992125984" footer="0.31496062992125984"/>
  <pageSetup paperSize="9" scale="69" orientation="portrait" r:id="rId1"/>
  <rowBreaks count="1" manualBreakCount="1">
    <brk id="58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Plan1</vt:lpstr>
      <vt:lpstr>VERSO</vt:lpstr>
      <vt:lpstr>ANEXO</vt:lpstr>
      <vt:lpstr>ANEXO!Area_de_impressao</vt:lpstr>
      <vt:lpstr>VERSO!Area_de_impressao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2019-06-05T11:32:51Z</dcterms:modified>
</cp:coreProperties>
</file>
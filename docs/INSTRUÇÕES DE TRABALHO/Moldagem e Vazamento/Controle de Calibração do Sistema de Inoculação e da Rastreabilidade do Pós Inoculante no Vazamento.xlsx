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Instruções de Trabalho e Procedimentos\Moldagem e Vazamento\"/>
    </mc:Choice>
  </mc:AlternateContent>
  <xr:revisionPtr revIDLastSave="0" documentId="13_ncr:1_{0DD8939F-A31E-4AFE-B2A2-9A8D4470A7A9}" xr6:coauthVersionLast="47" xr6:coauthVersionMax="47" xr10:uidLastSave="{00000000-0000-0000-0000-000000000000}"/>
  <bookViews>
    <workbookView xWindow="-120" yWindow="-120" windowWidth="24240" windowHeight="13740" tabRatio="792" xr2:uid="{00000000-000D-0000-FFFF-FFFF00000000}"/>
  </bookViews>
  <sheets>
    <sheet name="Frente" sheetId="7" r:id="rId1"/>
    <sheet name="DADOS" sheetId="12" state="hidden" r:id="rId2"/>
  </sheets>
  <definedNames>
    <definedName name="_xlnm.Print_Area" localSheetId="0">Frente!$A$2:$N$59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2" l="1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</calcChain>
</file>

<file path=xl/sharedStrings.xml><?xml version="1.0" encoding="utf-8"?>
<sst xmlns="http://schemas.openxmlformats.org/spreadsheetml/2006/main" count="215" uniqueCount="82">
  <si>
    <t>VISTO OPERADOR</t>
  </si>
  <si>
    <t>VISTO SUPERVISOR</t>
  </si>
  <si>
    <t>CÓDIGO DO PRODUTO</t>
  </si>
  <si>
    <t>LIGA</t>
  </si>
  <si>
    <t>NOME DO PRODUTO</t>
  </si>
  <si>
    <t>CLIENTE</t>
  </si>
  <si>
    <t>PESO UNITÁRIO</t>
  </si>
  <si>
    <t>CAVIDADES NO MOLDE</t>
  </si>
  <si>
    <t>PESO DO FEIXE</t>
  </si>
  <si>
    <t>MOLDES VAZADOS   POR PANELA</t>
  </si>
  <si>
    <t>TEMPERATURA DE VAZAMENTO</t>
  </si>
  <si>
    <t>NUCLEAÇÃO DO FORNO
Fe-Si Ca Ba - 7 a 12 mm</t>
  </si>
  <si>
    <t>INOCULAÇÃO</t>
  </si>
  <si>
    <t>PÓS INOCULAÇÃO</t>
  </si>
  <si>
    <t>INICIAL</t>
  </si>
  <si>
    <t>FINAL</t>
  </si>
  <si>
    <t>%</t>
  </si>
  <si>
    <t>MI001</t>
  </si>
  <si>
    <t>C25F</t>
  </si>
  <si>
    <t>PLACA DE PISO</t>
  </si>
  <si>
    <t>METALSIDER</t>
  </si>
  <si>
    <t>MI002</t>
  </si>
  <si>
    <t xml:space="preserve">GUSA </t>
  </si>
  <si>
    <t>MS001</t>
  </si>
  <si>
    <t>N50F</t>
  </si>
  <si>
    <t>OMBREIRA 7518</t>
  </si>
  <si>
    <t>IAT – PANDROL</t>
  </si>
  <si>
    <t>MS002</t>
  </si>
  <si>
    <t>OMBREIRA FAST CLIP 13156</t>
  </si>
  <si>
    <t>MS003</t>
  </si>
  <si>
    <t>PLACA DE APOIO 270-3331 – (PA57)</t>
  </si>
  <si>
    <t>MS004</t>
  </si>
  <si>
    <t>OMBREIRA 1200</t>
  </si>
  <si>
    <t>MS005</t>
  </si>
  <si>
    <t>CALIPER DIANTEIRO LE – PSA</t>
  </si>
  <si>
    <t>CBI – CHASSIS BRAKES INTERNATIONAL</t>
  </si>
  <si>
    <t>MS006</t>
  </si>
  <si>
    <t>CALIPER DIANTEIRO LD – PSA</t>
  </si>
  <si>
    <t>MS007</t>
  </si>
  <si>
    <t>SUPORTE DE FREIO DIANT. PSA</t>
  </si>
  <si>
    <t>MS008</t>
  </si>
  <si>
    <t>AUTOPORTANTE LE</t>
  </si>
  <si>
    <t>METALKRAFT</t>
  </si>
  <si>
    <t>MS009</t>
  </si>
  <si>
    <t>AUTOPORTANTE LD</t>
  </si>
  <si>
    <t>MS010</t>
  </si>
  <si>
    <t>CALIPER TRASEIRO LE – PSA BRI III</t>
  </si>
  <si>
    <t>MS011</t>
  </si>
  <si>
    <t>CALIPER TRASEIRO LD – PSA BRI III</t>
  </si>
  <si>
    <t>MS012</t>
  </si>
  <si>
    <t>SUPORTE DE FREIO TRAS. PSA BRI III</t>
  </si>
  <si>
    <t>MS013</t>
  </si>
  <si>
    <t>TAMBOR DE FREIO</t>
  </si>
  <si>
    <t>MS014</t>
  </si>
  <si>
    <t>OMBREIRA  FAST CLIP 13125</t>
  </si>
  <si>
    <t>MS016</t>
  </si>
  <si>
    <t>PLACA DE APOIO 6059</t>
  </si>
  <si>
    <t>MS017</t>
  </si>
  <si>
    <t>PLACA DE APOIO 6060</t>
  </si>
  <si>
    <t>MS018</t>
  </si>
  <si>
    <t>MS019</t>
  </si>
  <si>
    <t>DATA.:  ______/______/_______</t>
  </si>
  <si>
    <t>MS / PRODUTO</t>
  </si>
  <si>
    <t>CONTROLE DE RASTREABILIDADE POR ITEM</t>
  </si>
  <si>
    <t>DATA</t>
  </si>
  <si>
    <t>FORNECEDOR</t>
  </si>
  <si>
    <t>(  ) Ferro cinzento</t>
  </si>
  <si>
    <t>(  ) Ferro nodular ferroviário</t>
  </si>
  <si>
    <t>(  ) Ferro nodular automotivo</t>
  </si>
  <si>
    <t>LOTE DO MATERIAL</t>
  </si>
  <si>
    <t>FAIXA ESPERADA (g/seg)</t>
  </si>
  <si>
    <t>VALOR ENCONTRADO (g/seg)</t>
  </si>
  <si>
    <t>ASSINATURA RESPONSÁVEL</t>
  </si>
  <si>
    <t>(  ) OK                                                                                                                                                .                                             (  )N/OK</t>
  </si>
  <si>
    <t>INFORMAÇÕES DA CALIBRAÇÃO DO MATERIAL</t>
  </si>
  <si>
    <t>VERIFICAÇÃO DA CALIBRAÇÃO</t>
  </si>
  <si>
    <t>TIPO DE METAL</t>
  </si>
  <si>
    <t>CONTROLE DE CALIBRAÇÃO DO SISTEMA DE INOCULAÇÃO E DA RASTREABILIDADE DO PÓS INOCULANTE NO VAZAMENTO</t>
  </si>
  <si>
    <t>PRÉ INOCULAÇÃO</t>
  </si>
  <si>
    <t>VERIFICAÇÃO DA PONTEIRA DE 
GRAFITE</t>
  </si>
  <si>
    <t>GARANTIR INOCULAÇÃO A CADA RETOMADA DE VAZAMENTO</t>
  </si>
  <si>
    <t>Anexo ITF-PRO-024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</si>
</sst>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1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top" wrapText="1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right" vertical="top"/>
    </xf>
    <xf numFmtId="0" fontId="5" fillId="0" borderId="38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00FF"/>
      <color rgb="FF66CCFF"/>
      <color rgb="FFFFFF99"/>
      <color rgb="FF66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52917</xdr:colOff>
      <xdr:row>1</xdr:row>
      <xdr:rowOff>105833</xdr:rowOff>
    </xdr:from>
    <xdr:to>
      <xdr:col>3</xdr:col>
      <xdr:colOff>1037167</xdr:colOff>
      <xdr:row>2</xdr:row>
      <xdr:rowOff>203731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250" y="105833"/>
          <a:ext cx="2529417" cy="4471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8217" b="9258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N59"/>
  <sheetViews>
    <sheetView tabSelected="1" zoomScale="78" zoomScaleNormal="78" zoomScaleSheetLayoutView="90" workbookViewId="0">
      <selection activeCell="E2" sqref="E2:M3"/>
    </sheetView>
  </sheetViews>
  <sheetFormatPr defaultRowHeight="15" x14ac:dyDescent="0.25"/>
  <cols>
    <col min="1" max="1" width="1.42578125" style="1" customWidth="1"/>
    <col min="2" max="2" width="13.42578125" style="1" customWidth="1"/>
    <col min="3" max="3" width="11.42578125" style="1" customWidth="1"/>
    <col min="4" max="4" width="16.85546875" style="1" customWidth="1"/>
    <col min="5" max="5" width="13.42578125" style="1" customWidth="1"/>
    <col min="6" max="6" width="14" style="1" customWidth="1"/>
    <col min="7" max="7" width="13.42578125" style="1" customWidth="1"/>
    <col min="8" max="8" width="14" style="1" customWidth="1"/>
    <col min="9" max="9" width="15.85546875" style="1" customWidth="1"/>
    <col min="10" max="10" width="17.5703125" style="1" customWidth="1"/>
    <col min="11" max="11" width="14.85546875" style="1" customWidth="1"/>
    <col min="12" max="12" width="16" style="1" customWidth="1"/>
    <col min="13" max="13" width="14.7109375" style="1" customWidth="1"/>
    <col min="14" max="14" width="34.42578125" style="1" customWidth="1"/>
    <col min="15" max="16384" width="9.140625" style="1"/>
  </cols>
  <sheetData>
    <row r="1" spans="1:14" ht="9" customHeight="1" thickBot="1" x14ac:dyDescent="0.3"/>
    <row r="2" spans="1:14" ht="27.75" customHeight="1" x14ac:dyDescent="0.25">
      <c r="B2" s="65"/>
      <c r="C2" s="66"/>
      <c r="D2" s="66"/>
      <c r="E2" s="69" t="s">
        <v>77</v>
      </c>
      <c r="F2" s="70"/>
      <c r="G2" s="70"/>
      <c r="H2" s="70"/>
      <c r="I2" s="70"/>
      <c r="J2" s="70"/>
      <c r="K2" s="70"/>
      <c r="L2" s="70"/>
      <c r="M2" s="71"/>
      <c r="N2" s="46" t="s">
        <v>61</v>
      </c>
    </row>
    <row r="3" spans="1:14" ht="22.5" customHeight="1" thickBot="1" x14ac:dyDescent="0.3">
      <c r="B3" s="67"/>
      <c r="C3" s="68"/>
      <c r="D3" s="68"/>
      <c r="E3" s="72"/>
      <c r="F3" s="73"/>
      <c r="G3" s="73"/>
      <c r="H3" s="73"/>
      <c r="I3" s="73"/>
      <c r="J3" s="73"/>
      <c r="K3" s="73"/>
      <c r="L3" s="73"/>
      <c r="M3" s="74"/>
      <c r="N3" s="47"/>
    </row>
    <row r="4" spans="1:14" s="2" customFormat="1" ht="6" customHeight="1" thickBot="1" x14ac:dyDescent="0.3"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</row>
    <row r="5" spans="1:14" ht="15.75" customHeight="1" thickBot="1" x14ac:dyDescent="0.3">
      <c r="B5" s="48" t="s">
        <v>63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50"/>
    </row>
    <row r="6" spans="1:14" ht="6" customHeight="1" thickBot="1" x14ac:dyDescent="0.3"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3"/>
    </row>
    <row r="7" spans="1:14" ht="16.5" customHeight="1" thickBot="1" x14ac:dyDescent="0.3">
      <c r="B7" s="75" t="s">
        <v>64</v>
      </c>
      <c r="C7" s="77" t="s">
        <v>62</v>
      </c>
      <c r="D7" s="77" t="s">
        <v>76</v>
      </c>
      <c r="E7" s="58" t="s">
        <v>78</v>
      </c>
      <c r="F7" s="59"/>
      <c r="G7" s="58" t="s">
        <v>13</v>
      </c>
      <c r="H7" s="59"/>
      <c r="I7" s="79" t="s">
        <v>74</v>
      </c>
      <c r="J7" s="58"/>
      <c r="K7" s="59"/>
      <c r="L7" s="25" t="s">
        <v>80</v>
      </c>
      <c r="M7" s="25" t="s">
        <v>79</v>
      </c>
      <c r="N7" s="80" t="s">
        <v>72</v>
      </c>
    </row>
    <row r="8" spans="1:14" ht="65.25" customHeight="1" thickBot="1" x14ac:dyDescent="0.3">
      <c r="B8" s="76"/>
      <c r="C8" s="78"/>
      <c r="D8" s="76"/>
      <c r="E8" s="18" t="s">
        <v>65</v>
      </c>
      <c r="F8" s="11" t="s">
        <v>69</v>
      </c>
      <c r="G8" s="18" t="s">
        <v>65</v>
      </c>
      <c r="H8" s="11" t="s">
        <v>69</v>
      </c>
      <c r="I8" s="12" t="s">
        <v>70</v>
      </c>
      <c r="J8" s="19" t="s">
        <v>71</v>
      </c>
      <c r="K8" s="13" t="s">
        <v>75</v>
      </c>
      <c r="L8" s="26"/>
      <c r="M8" s="26"/>
      <c r="N8" s="81"/>
    </row>
    <row r="9" spans="1:14" ht="30" customHeight="1" x14ac:dyDescent="0.25">
      <c r="A9" s="10"/>
      <c r="B9" s="34"/>
      <c r="C9" s="37"/>
      <c r="D9" s="14" t="s">
        <v>66</v>
      </c>
      <c r="E9" s="34"/>
      <c r="F9" s="57"/>
      <c r="G9" s="34"/>
      <c r="H9" s="57"/>
      <c r="I9" s="87"/>
      <c r="J9" s="82"/>
      <c r="K9" s="22" t="s">
        <v>73</v>
      </c>
      <c r="L9" s="22" t="s">
        <v>73</v>
      </c>
      <c r="M9" s="60" t="s">
        <v>73</v>
      </c>
      <c r="N9" s="61"/>
    </row>
    <row r="10" spans="1:14" ht="30" customHeight="1" x14ac:dyDescent="0.25">
      <c r="A10" s="10"/>
      <c r="B10" s="34"/>
      <c r="C10" s="37"/>
      <c r="D10" s="15" t="s">
        <v>67</v>
      </c>
      <c r="E10" s="34"/>
      <c r="F10" s="39"/>
      <c r="G10" s="34"/>
      <c r="H10" s="39"/>
      <c r="I10" s="28"/>
      <c r="J10" s="31"/>
      <c r="K10" s="22"/>
      <c r="L10" s="22"/>
      <c r="M10" s="41"/>
      <c r="N10" s="44"/>
    </row>
    <row r="11" spans="1:14" ht="30" customHeight="1" x14ac:dyDescent="0.25">
      <c r="A11" s="10"/>
      <c r="B11" s="35"/>
      <c r="C11" s="38"/>
      <c r="D11" s="16" t="s">
        <v>68</v>
      </c>
      <c r="E11" s="35"/>
      <c r="F11" s="39"/>
      <c r="G11" s="35"/>
      <c r="H11" s="39"/>
      <c r="I11" s="29"/>
      <c r="J11" s="32"/>
      <c r="K11" s="22"/>
      <c r="L11" s="22"/>
      <c r="M11" s="42"/>
      <c r="N11" s="45"/>
    </row>
    <row r="12" spans="1:14" ht="30" customHeight="1" x14ac:dyDescent="0.25">
      <c r="A12" s="10"/>
      <c r="B12" s="33"/>
      <c r="C12" s="36"/>
      <c r="D12" s="14" t="s">
        <v>66</v>
      </c>
      <c r="E12" s="33"/>
      <c r="F12" s="39"/>
      <c r="G12" s="33"/>
      <c r="H12" s="39"/>
      <c r="I12" s="27"/>
      <c r="J12" s="30"/>
      <c r="K12" s="22" t="s">
        <v>73</v>
      </c>
      <c r="L12" s="22" t="s">
        <v>73</v>
      </c>
      <c r="M12" s="40" t="s">
        <v>73</v>
      </c>
      <c r="N12" s="43"/>
    </row>
    <row r="13" spans="1:14" ht="30" customHeight="1" x14ac:dyDescent="0.25">
      <c r="A13" s="10"/>
      <c r="B13" s="34"/>
      <c r="C13" s="37"/>
      <c r="D13" s="15" t="s">
        <v>67</v>
      </c>
      <c r="E13" s="34"/>
      <c r="F13" s="39"/>
      <c r="G13" s="34"/>
      <c r="H13" s="39"/>
      <c r="I13" s="28"/>
      <c r="J13" s="31"/>
      <c r="K13" s="22"/>
      <c r="L13" s="22"/>
      <c r="M13" s="41"/>
      <c r="N13" s="44"/>
    </row>
    <row r="14" spans="1:14" ht="30" customHeight="1" x14ac:dyDescent="0.25">
      <c r="A14" s="10"/>
      <c r="B14" s="35"/>
      <c r="C14" s="38"/>
      <c r="D14" s="16" t="s">
        <v>68</v>
      </c>
      <c r="E14" s="35"/>
      <c r="F14" s="39"/>
      <c r="G14" s="35"/>
      <c r="H14" s="39"/>
      <c r="I14" s="29"/>
      <c r="J14" s="32"/>
      <c r="K14" s="22"/>
      <c r="L14" s="22"/>
      <c r="M14" s="42"/>
      <c r="N14" s="45"/>
    </row>
    <row r="15" spans="1:14" ht="30" customHeight="1" x14ac:dyDescent="0.25">
      <c r="A15" s="10"/>
      <c r="B15" s="33"/>
      <c r="C15" s="36"/>
      <c r="D15" s="14" t="s">
        <v>66</v>
      </c>
      <c r="E15" s="33"/>
      <c r="F15" s="39"/>
      <c r="G15" s="33"/>
      <c r="H15" s="39"/>
      <c r="I15" s="27"/>
      <c r="J15" s="30"/>
      <c r="K15" s="22" t="s">
        <v>73</v>
      </c>
      <c r="L15" s="22" t="s">
        <v>73</v>
      </c>
      <c r="M15" s="40" t="s">
        <v>73</v>
      </c>
      <c r="N15" s="43"/>
    </row>
    <row r="16" spans="1:14" ht="30" customHeight="1" x14ac:dyDescent="0.25">
      <c r="A16" s="10"/>
      <c r="B16" s="34"/>
      <c r="C16" s="37"/>
      <c r="D16" s="15" t="s">
        <v>67</v>
      </c>
      <c r="E16" s="34"/>
      <c r="F16" s="39"/>
      <c r="G16" s="34"/>
      <c r="H16" s="39"/>
      <c r="I16" s="28"/>
      <c r="J16" s="31"/>
      <c r="K16" s="22"/>
      <c r="L16" s="22"/>
      <c r="M16" s="41"/>
      <c r="N16" s="44"/>
    </row>
    <row r="17" spans="1:14" ht="30" customHeight="1" x14ac:dyDescent="0.25">
      <c r="A17" s="10"/>
      <c r="B17" s="35"/>
      <c r="C17" s="38"/>
      <c r="D17" s="16" t="s">
        <v>68</v>
      </c>
      <c r="E17" s="35"/>
      <c r="F17" s="39"/>
      <c r="G17" s="35"/>
      <c r="H17" s="39"/>
      <c r="I17" s="29"/>
      <c r="J17" s="32"/>
      <c r="K17" s="22"/>
      <c r="L17" s="22"/>
      <c r="M17" s="42"/>
      <c r="N17" s="45"/>
    </row>
    <row r="18" spans="1:14" ht="30" customHeight="1" x14ac:dyDescent="0.25">
      <c r="A18" s="10"/>
      <c r="B18" s="33"/>
      <c r="C18" s="36"/>
      <c r="D18" s="14" t="s">
        <v>66</v>
      </c>
      <c r="E18" s="33"/>
      <c r="F18" s="39"/>
      <c r="G18" s="33"/>
      <c r="H18" s="39"/>
      <c r="I18" s="27"/>
      <c r="J18" s="30"/>
      <c r="K18" s="22" t="s">
        <v>73</v>
      </c>
      <c r="L18" s="22" t="s">
        <v>73</v>
      </c>
      <c r="M18" s="40" t="s">
        <v>73</v>
      </c>
      <c r="N18" s="43"/>
    </row>
    <row r="19" spans="1:14" ht="30" customHeight="1" x14ac:dyDescent="0.25">
      <c r="A19" s="10"/>
      <c r="B19" s="34"/>
      <c r="C19" s="37"/>
      <c r="D19" s="15" t="s">
        <v>67</v>
      </c>
      <c r="E19" s="34"/>
      <c r="F19" s="39"/>
      <c r="G19" s="34"/>
      <c r="H19" s="39"/>
      <c r="I19" s="28"/>
      <c r="J19" s="31"/>
      <c r="K19" s="22"/>
      <c r="L19" s="22"/>
      <c r="M19" s="41"/>
      <c r="N19" s="44"/>
    </row>
    <row r="20" spans="1:14" ht="30" customHeight="1" x14ac:dyDescent="0.25">
      <c r="A20" s="10"/>
      <c r="B20" s="35"/>
      <c r="C20" s="38"/>
      <c r="D20" s="16" t="s">
        <v>68</v>
      </c>
      <c r="E20" s="35"/>
      <c r="F20" s="39"/>
      <c r="G20" s="35"/>
      <c r="H20" s="39"/>
      <c r="I20" s="29"/>
      <c r="J20" s="32"/>
      <c r="K20" s="22"/>
      <c r="L20" s="22"/>
      <c r="M20" s="42"/>
      <c r="N20" s="45"/>
    </row>
    <row r="21" spans="1:14" ht="30" customHeight="1" x14ac:dyDescent="0.25">
      <c r="A21" s="10"/>
      <c r="B21" s="33"/>
      <c r="C21" s="36"/>
      <c r="D21" s="14" t="s">
        <v>66</v>
      </c>
      <c r="E21" s="33"/>
      <c r="F21" s="39"/>
      <c r="G21" s="33"/>
      <c r="H21" s="39"/>
      <c r="I21" s="27"/>
      <c r="J21" s="30"/>
      <c r="K21" s="22" t="s">
        <v>73</v>
      </c>
      <c r="L21" s="22" t="s">
        <v>73</v>
      </c>
      <c r="M21" s="40" t="s">
        <v>73</v>
      </c>
      <c r="N21" s="43"/>
    </row>
    <row r="22" spans="1:14" ht="30" customHeight="1" x14ac:dyDescent="0.25">
      <c r="A22" s="10"/>
      <c r="B22" s="34"/>
      <c r="C22" s="37"/>
      <c r="D22" s="15" t="s">
        <v>67</v>
      </c>
      <c r="E22" s="34"/>
      <c r="F22" s="39"/>
      <c r="G22" s="34"/>
      <c r="H22" s="39"/>
      <c r="I22" s="28"/>
      <c r="J22" s="31"/>
      <c r="K22" s="22"/>
      <c r="L22" s="22"/>
      <c r="M22" s="41"/>
      <c r="N22" s="44"/>
    </row>
    <row r="23" spans="1:14" ht="30" customHeight="1" x14ac:dyDescent="0.25">
      <c r="A23" s="10"/>
      <c r="B23" s="35"/>
      <c r="C23" s="38"/>
      <c r="D23" s="16" t="s">
        <v>68</v>
      </c>
      <c r="E23" s="35"/>
      <c r="F23" s="39"/>
      <c r="G23" s="35"/>
      <c r="H23" s="39"/>
      <c r="I23" s="29"/>
      <c r="J23" s="32"/>
      <c r="K23" s="22"/>
      <c r="L23" s="22"/>
      <c r="M23" s="42"/>
      <c r="N23" s="45"/>
    </row>
    <row r="24" spans="1:14" ht="30" customHeight="1" x14ac:dyDescent="0.25">
      <c r="A24" s="10"/>
      <c r="B24" s="33"/>
      <c r="C24" s="36"/>
      <c r="D24" s="14" t="s">
        <v>66</v>
      </c>
      <c r="E24" s="33"/>
      <c r="F24" s="39"/>
      <c r="G24" s="33"/>
      <c r="H24" s="39"/>
      <c r="I24" s="27"/>
      <c r="J24" s="30"/>
      <c r="K24" s="22" t="s">
        <v>73</v>
      </c>
      <c r="L24" s="22" t="s">
        <v>73</v>
      </c>
      <c r="M24" s="40" t="s">
        <v>73</v>
      </c>
      <c r="N24" s="43"/>
    </row>
    <row r="25" spans="1:14" ht="30" customHeight="1" x14ac:dyDescent="0.25">
      <c r="A25" s="10"/>
      <c r="B25" s="34"/>
      <c r="C25" s="37"/>
      <c r="D25" s="15" t="s">
        <v>67</v>
      </c>
      <c r="E25" s="34"/>
      <c r="F25" s="39"/>
      <c r="G25" s="34"/>
      <c r="H25" s="39"/>
      <c r="I25" s="28"/>
      <c r="J25" s="31"/>
      <c r="K25" s="22"/>
      <c r="L25" s="22"/>
      <c r="M25" s="41"/>
      <c r="N25" s="44"/>
    </row>
    <row r="26" spans="1:14" ht="30" customHeight="1" x14ac:dyDescent="0.25">
      <c r="A26" s="10"/>
      <c r="B26" s="35"/>
      <c r="C26" s="38"/>
      <c r="D26" s="16" t="s">
        <v>68</v>
      </c>
      <c r="E26" s="35"/>
      <c r="F26" s="39"/>
      <c r="G26" s="35"/>
      <c r="H26" s="39"/>
      <c r="I26" s="29"/>
      <c r="J26" s="32"/>
      <c r="K26" s="22"/>
      <c r="L26" s="22"/>
      <c r="M26" s="42"/>
      <c r="N26" s="45"/>
    </row>
    <row r="27" spans="1:14" ht="30" customHeight="1" x14ac:dyDescent="0.25">
      <c r="A27" s="10"/>
      <c r="B27" s="33"/>
      <c r="C27" s="36"/>
      <c r="D27" s="14" t="s">
        <v>66</v>
      </c>
      <c r="E27" s="33"/>
      <c r="F27" s="39"/>
      <c r="G27" s="33"/>
      <c r="H27" s="39"/>
      <c r="I27" s="27"/>
      <c r="J27" s="30"/>
      <c r="K27" s="22" t="s">
        <v>73</v>
      </c>
      <c r="L27" s="22" t="s">
        <v>73</v>
      </c>
      <c r="M27" s="40" t="s">
        <v>73</v>
      </c>
      <c r="N27" s="43"/>
    </row>
    <row r="28" spans="1:14" ht="30" customHeight="1" x14ac:dyDescent="0.25">
      <c r="A28" s="10"/>
      <c r="B28" s="34"/>
      <c r="C28" s="37"/>
      <c r="D28" s="15" t="s">
        <v>67</v>
      </c>
      <c r="E28" s="34"/>
      <c r="F28" s="39"/>
      <c r="G28" s="34"/>
      <c r="H28" s="39"/>
      <c r="I28" s="28"/>
      <c r="J28" s="31"/>
      <c r="K28" s="22"/>
      <c r="L28" s="22"/>
      <c r="M28" s="41"/>
      <c r="N28" s="44"/>
    </row>
    <row r="29" spans="1:14" ht="30" customHeight="1" x14ac:dyDescent="0.25">
      <c r="A29" s="10"/>
      <c r="B29" s="35"/>
      <c r="C29" s="38"/>
      <c r="D29" s="16" t="s">
        <v>68</v>
      </c>
      <c r="E29" s="35"/>
      <c r="F29" s="39"/>
      <c r="G29" s="35"/>
      <c r="H29" s="39"/>
      <c r="I29" s="29"/>
      <c r="J29" s="32"/>
      <c r="K29" s="22"/>
      <c r="L29" s="22"/>
      <c r="M29" s="42"/>
      <c r="N29" s="45"/>
    </row>
    <row r="30" spans="1:14" ht="30" customHeight="1" x14ac:dyDescent="0.25">
      <c r="A30" s="10"/>
      <c r="B30" s="33"/>
      <c r="C30" s="36"/>
      <c r="D30" s="14" t="s">
        <v>66</v>
      </c>
      <c r="E30" s="33"/>
      <c r="F30" s="39"/>
      <c r="G30" s="33"/>
      <c r="H30" s="39"/>
      <c r="I30" s="27"/>
      <c r="J30" s="30"/>
      <c r="K30" s="22" t="s">
        <v>73</v>
      </c>
      <c r="L30" s="22" t="s">
        <v>73</v>
      </c>
      <c r="M30" s="40" t="s">
        <v>73</v>
      </c>
      <c r="N30" s="43"/>
    </row>
    <row r="31" spans="1:14" ht="30" customHeight="1" x14ac:dyDescent="0.25">
      <c r="A31" s="10"/>
      <c r="B31" s="34"/>
      <c r="C31" s="37"/>
      <c r="D31" s="15" t="s">
        <v>67</v>
      </c>
      <c r="E31" s="34"/>
      <c r="F31" s="39"/>
      <c r="G31" s="34"/>
      <c r="H31" s="39"/>
      <c r="I31" s="28"/>
      <c r="J31" s="31"/>
      <c r="K31" s="22"/>
      <c r="L31" s="22"/>
      <c r="M31" s="41"/>
      <c r="N31" s="44"/>
    </row>
    <row r="32" spans="1:14" ht="30" customHeight="1" x14ac:dyDescent="0.25">
      <c r="A32" s="10"/>
      <c r="B32" s="35"/>
      <c r="C32" s="38"/>
      <c r="D32" s="16" t="s">
        <v>68</v>
      </c>
      <c r="E32" s="35"/>
      <c r="F32" s="39"/>
      <c r="G32" s="35"/>
      <c r="H32" s="39"/>
      <c r="I32" s="29"/>
      <c r="J32" s="32"/>
      <c r="K32" s="22"/>
      <c r="L32" s="22"/>
      <c r="M32" s="42"/>
      <c r="N32" s="45"/>
    </row>
    <row r="33" spans="1:14" ht="30" customHeight="1" x14ac:dyDescent="0.25">
      <c r="A33" s="10"/>
      <c r="B33" s="33"/>
      <c r="C33" s="36"/>
      <c r="D33" s="14" t="s">
        <v>66</v>
      </c>
      <c r="E33" s="33"/>
      <c r="F33" s="39"/>
      <c r="G33" s="33"/>
      <c r="H33" s="39"/>
      <c r="I33" s="27"/>
      <c r="J33" s="30"/>
      <c r="K33" s="22" t="s">
        <v>73</v>
      </c>
      <c r="L33" s="22" t="s">
        <v>73</v>
      </c>
      <c r="M33" s="40" t="s">
        <v>73</v>
      </c>
      <c r="N33" s="43"/>
    </row>
    <row r="34" spans="1:14" ht="30" customHeight="1" x14ac:dyDescent="0.25">
      <c r="A34" s="10"/>
      <c r="B34" s="34"/>
      <c r="C34" s="37"/>
      <c r="D34" s="15" t="s">
        <v>67</v>
      </c>
      <c r="E34" s="34"/>
      <c r="F34" s="39"/>
      <c r="G34" s="34"/>
      <c r="H34" s="39"/>
      <c r="I34" s="28"/>
      <c r="J34" s="31"/>
      <c r="K34" s="22"/>
      <c r="L34" s="22"/>
      <c r="M34" s="41"/>
      <c r="N34" s="44"/>
    </row>
    <row r="35" spans="1:14" ht="30" customHeight="1" x14ac:dyDescent="0.25">
      <c r="A35" s="10"/>
      <c r="B35" s="35"/>
      <c r="C35" s="38"/>
      <c r="D35" s="16" t="s">
        <v>68</v>
      </c>
      <c r="E35" s="35"/>
      <c r="F35" s="39"/>
      <c r="G35" s="35"/>
      <c r="H35" s="39"/>
      <c r="I35" s="29"/>
      <c r="J35" s="32"/>
      <c r="K35" s="22"/>
      <c r="L35" s="22"/>
      <c r="M35" s="42"/>
      <c r="N35" s="45"/>
    </row>
    <row r="36" spans="1:14" ht="30" customHeight="1" x14ac:dyDescent="0.25">
      <c r="A36" s="10"/>
      <c r="B36" s="33"/>
      <c r="C36" s="36"/>
      <c r="D36" s="14" t="s">
        <v>66</v>
      </c>
      <c r="E36" s="33"/>
      <c r="F36" s="39"/>
      <c r="G36" s="33"/>
      <c r="H36" s="39"/>
      <c r="I36" s="27"/>
      <c r="J36" s="30"/>
      <c r="K36" s="22" t="s">
        <v>73</v>
      </c>
      <c r="L36" s="22" t="s">
        <v>73</v>
      </c>
      <c r="M36" s="40" t="s">
        <v>73</v>
      </c>
      <c r="N36" s="43"/>
    </row>
    <row r="37" spans="1:14" ht="30" customHeight="1" x14ac:dyDescent="0.25">
      <c r="A37" s="10"/>
      <c r="B37" s="34"/>
      <c r="C37" s="37"/>
      <c r="D37" s="15" t="s">
        <v>67</v>
      </c>
      <c r="E37" s="34"/>
      <c r="F37" s="39"/>
      <c r="G37" s="34"/>
      <c r="H37" s="39"/>
      <c r="I37" s="28"/>
      <c r="J37" s="31"/>
      <c r="K37" s="22"/>
      <c r="L37" s="22"/>
      <c r="M37" s="41"/>
      <c r="N37" s="44"/>
    </row>
    <row r="38" spans="1:14" ht="30" customHeight="1" x14ac:dyDescent="0.25">
      <c r="A38" s="10"/>
      <c r="B38" s="35"/>
      <c r="C38" s="38"/>
      <c r="D38" s="16" t="s">
        <v>68</v>
      </c>
      <c r="E38" s="35"/>
      <c r="F38" s="39"/>
      <c r="G38" s="35"/>
      <c r="H38" s="39"/>
      <c r="I38" s="29"/>
      <c r="J38" s="32"/>
      <c r="K38" s="22"/>
      <c r="L38" s="22"/>
      <c r="M38" s="42"/>
      <c r="N38" s="45"/>
    </row>
    <row r="39" spans="1:14" ht="30" customHeight="1" x14ac:dyDescent="0.25">
      <c r="A39" s="10"/>
      <c r="B39" s="33"/>
      <c r="C39" s="36"/>
      <c r="D39" s="14" t="s">
        <v>66</v>
      </c>
      <c r="E39" s="33"/>
      <c r="F39" s="39"/>
      <c r="G39" s="33"/>
      <c r="H39" s="39"/>
      <c r="I39" s="27"/>
      <c r="J39" s="30"/>
      <c r="K39" s="22" t="s">
        <v>73</v>
      </c>
      <c r="L39" s="22" t="s">
        <v>73</v>
      </c>
      <c r="M39" s="40" t="s">
        <v>73</v>
      </c>
      <c r="N39" s="43"/>
    </row>
    <row r="40" spans="1:14" ht="30" customHeight="1" x14ac:dyDescent="0.25">
      <c r="A40" s="10"/>
      <c r="B40" s="34"/>
      <c r="C40" s="37"/>
      <c r="D40" s="15" t="s">
        <v>67</v>
      </c>
      <c r="E40" s="34"/>
      <c r="F40" s="39"/>
      <c r="G40" s="34"/>
      <c r="H40" s="39"/>
      <c r="I40" s="28"/>
      <c r="J40" s="31"/>
      <c r="K40" s="22"/>
      <c r="L40" s="22"/>
      <c r="M40" s="41"/>
      <c r="N40" s="44"/>
    </row>
    <row r="41" spans="1:14" ht="30" customHeight="1" x14ac:dyDescent="0.25">
      <c r="A41" s="10"/>
      <c r="B41" s="35"/>
      <c r="C41" s="38"/>
      <c r="D41" s="16" t="s">
        <v>68</v>
      </c>
      <c r="E41" s="35"/>
      <c r="F41" s="39"/>
      <c r="G41" s="35"/>
      <c r="H41" s="39"/>
      <c r="I41" s="29"/>
      <c r="J41" s="32"/>
      <c r="K41" s="22"/>
      <c r="L41" s="22"/>
      <c r="M41" s="42"/>
      <c r="N41" s="45"/>
    </row>
    <row r="42" spans="1:14" ht="30" customHeight="1" x14ac:dyDescent="0.25">
      <c r="A42" s="10"/>
      <c r="B42" s="33"/>
      <c r="C42" s="36"/>
      <c r="D42" s="14" t="s">
        <v>66</v>
      </c>
      <c r="E42" s="33"/>
      <c r="F42" s="39"/>
      <c r="G42" s="33"/>
      <c r="H42" s="39"/>
      <c r="I42" s="27"/>
      <c r="J42" s="30"/>
      <c r="K42" s="22" t="s">
        <v>73</v>
      </c>
      <c r="L42" s="22" t="s">
        <v>73</v>
      </c>
      <c r="M42" s="40" t="s">
        <v>73</v>
      </c>
      <c r="N42" s="43"/>
    </row>
    <row r="43" spans="1:14" ht="30" customHeight="1" x14ac:dyDescent="0.25">
      <c r="A43" s="10"/>
      <c r="B43" s="34"/>
      <c r="C43" s="37"/>
      <c r="D43" s="15" t="s">
        <v>67</v>
      </c>
      <c r="E43" s="34"/>
      <c r="F43" s="39"/>
      <c r="G43" s="34"/>
      <c r="H43" s="39"/>
      <c r="I43" s="28"/>
      <c r="J43" s="31"/>
      <c r="K43" s="22"/>
      <c r="L43" s="22"/>
      <c r="M43" s="41"/>
      <c r="N43" s="44"/>
    </row>
    <row r="44" spans="1:14" ht="30" customHeight="1" x14ac:dyDescent="0.25">
      <c r="A44" s="10"/>
      <c r="B44" s="35"/>
      <c r="C44" s="38"/>
      <c r="D44" s="16" t="s">
        <v>68</v>
      </c>
      <c r="E44" s="35"/>
      <c r="F44" s="39"/>
      <c r="G44" s="35"/>
      <c r="H44" s="39"/>
      <c r="I44" s="29"/>
      <c r="J44" s="32"/>
      <c r="K44" s="22"/>
      <c r="L44" s="22"/>
      <c r="M44" s="42"/>
      <c r="N44" s="45"/>
    </row>
    <row r="45" spans="1:14" ht="30" customHeight="1" x14ac:dyDescent="0.25">
      <c r="A45" s="10"/>
      <c r="B45" s="33"/>
      <c r="C45" s="36"/>
      <c r="D45" s="14" t="s">
        <v>66</v>
      </c>
      <c r="E45" s="33"/>
      <c r="F45" s="39"/>
      <c r="G45" s="33"/>
      <c r="H45" s="39"/>
      <c r="I45" s="27"/>
      <c r="J45" s="30"/>
      <c r="K45" s="22" t="s">
        <v>73</v>
      </c>
      <c r="L45" s="22" t="s">
        <v>73</v>
      </c>
      <c r="M45" s="40" t="s">
        <v>73</v>
      </c>
      <c r="N45" s="43"/>
    </row>
    <row r="46" spans="1:14" ht="30" customHeight="1" x14ac:dyDescent="0.25">
      <c r="A46" s="10"/>
      <c r="B46" s="34"/>
      <c r="C46" s="37"/>
      <c r="D46" s="15" t="s">
        <v>67</v>
      </c>
      <c r="E46" s="34"/>
      <c r="F46" s="39"/>
      <c r="G46" s="34"/>
      <c r="H46" s="39"/>
      <c r="I46" s="28"/>
      <c r="J46" s="31"/>
      <c r="K46" s="22"/>
      <c r="L46" s="22"/>
      <c r="M46" s="41"/>
      <c r="N46" s="44"/>
    </row>
    <row r="47" spans="1:14" ht="30" customHeight="1" x14ac:dyDescent="0.25">
      <c r="A47" s="10"/>
      <c r="B47" s="35"/>
      <c r="C47" s="38"/>
      <c r="D47" s="16" t="s">
        <v>68</v>
      </c>
      <c r="E47" s="35"/>
      <c r="F47" s="39"/>
      <c r="G47" s="35"/>
      <c r="H47" s="39"/>
      <c r="I47" s="29"/>
      <c r="J47" s="32"/>
      <c r="K47" s="22"/>
      <c r="L47" s="22"/>
      <c r="M47" s="42"/>
      <c r="N47" s="45"/>
    </row>
    <row r="48" spans="1:14" ht="30" customHeight="1" x14ac:dyDescent="0.25">
      <c r="A48" s="10"/>
      <c r="B48" s="33"/>
      <c r="C48" s="36"/>
      <c r="D48" s="14" t="s">
        <v>66</v>
      </c>
      <c r="E48" s="33"/>
      <c r="F48" s="39"/>
      <c r="G48" s="33"/>
      <c r="H48" s="39"/>
      <c r="I48" s="27"/>
      <c r="J48" s="30"/>
      <c r="K48" s="22" t="s">
        <v>73</v>
      </c>
      <c r="L48" s="22" t="s">
        <v>73</v>
      </c>
      <c r="M48" s="40" t="s">
        <v>73</v>
      </c>
      <c r="N48" s="43"/>
    </row>
    <row r="49" spans="1:14" ht="30" customHeight="1" x14ac:dyDescent="0.25">
      <c r="A49" s="10"/>
      <c r="B49" s="34"/>
      <c r="C49" s="37"/>
      <c r="D49" s="15" t="s">
        <v>67</v>
      </c>
      <c r="E49" s="34"/>
      <c r="F49" s="39"/>
      <c r="G49" s="34"/>
      <c r="H49" s="39"/>
      <c r="I49" s="28"/>
      <c r="J49" s="31"/>
      <c r="K49" s="22"/>
      <c r="L49" s="22"/>
      <c r="M49" s="41"/>
      <c r="N49" s="44"/>
    </row>
    <row r="50" spans="1:14" ht="30" customHeight="1" x14ac:dyDescent="0.25">
      <c r="A50" s="10"/>
      <c r="B50" s="35"/>
      <c r="C50" s="38"/>
      <c r="D50" s="16" t="s">
        <v>68</v>
      </c>
      <c r="E50" s="35"/>
      <c r="F50" s="39"/>
      <c r="G50" s="35"/>
      <c r="H50" s="39"/>
      <c r="I50" s="29"/>
      <c r="J50" s="32"/>
      <c r="K50" s="22"/>
      <c r="L50" s="22"/>
      <c r="M50" s="42"/>
      <c r="N50" s="45"/>
    </row>
    <row r="51" spans="1:14" ht="30" customHeight="1" x14ac:dyDescent="0.25">
      <c r="A51" s="10"/>
      <c r="B51" s="33"/>
      <c r="C51" s="36"/>
      <c r="D51" s="20" t="s">
        <v>66</v>
      </c>
      <c r="E51" s="33"/>
      <c r="F51" s="39"/>
      <c r="G51" s="33"/>
      <c r="H51" s="39"/>
      <c r="I51" s="27"/>
      <c r="J51" s="30"/>
      <c r="K51" s="22" t="s">
        <v>73</v>
      </c>
      <c r="L51" s="22" t="s">
        <v>73</v>
      </c>
      <c r="M51" s="40" t="s">
        <v>73</v>
      </c>
      <c r="N51" s="43"/>
    </row>
    <row r="52" spans="1:14" ht="30" customHeight="1" x14ac:dyDescent="0.25">
      <c r="A52" s="10"/>
      <c r="B52" s="34"/>
      <c r="C52" s="37"/>
      <c r="D52" s="15" t="s">
        <v>67</v>
      </c>
      <c r="E52" s="34"/>
      <c r="F52" s="39"/>
      <c r="G52" s="34"/>
      <c r="H52" s="39"/>
      <c r="I52" s="28"/>
      <c r="J52" s="31"/>
      <c r="K52" s="22"/>
      <c r="L52" s="22"/>
      <c r="M52" s="41"/>
      <c r="N52" s="44"/>
    </row>
    <row r="53" spans="1:14" ht="30" customHeight="1" x14ac:dyDescent="0.25">
      <c r="A53" s="10"/>
      <c r="B53" s="35"/>
      <c r="C53" s="38"/>
      <c r="D53" s="16" t="s">
        <v>68</v>
      </c>
      <c r="E53" s="35"/>
      <c r="F53" s="39"/>
      <c r="G53" s="35"/>
      <c r="H53" s="39"/>
      <c r="I53" s="29"/>
      <c r="J53" s="32"/>
      <c r="K53" s="22"/>
      <c r="L53" s="22"/>
      <c r="M53" s="42"/>
      <c r="N53" s="45"/>
    </row>
    <row r="54" spans="1:14" ht="30" customHeight="1" x14ac:dyDescent="0.25">
      <c r="A54" s="10"/>
      <c r="B54" s="34"/>
      <c r="C54" s="37"/>
      <c r="D54" s="14" t="s">
        <v>66</v>
      </c>
      <c r="E54" s="34"/>
      <c r="F54" s="57"/>
      <c r="G54" s="34"/>
      <c r="H54" s="57"/>
      <c r="I54" s="28"/>
      <c r="J54" s="31"/>
      <c r="K54" s="23" t="s">
        <v>73</v>
      </c>
      <c r="L54" s="23" t="s">
        <v>73</v>
      </c>
      <c r="M54" s="41" t="s">
        <v>73</v>
      </c>
      <c r="N54" s="44"/>
    </row>
    <row r="55" spans="1:14" ht="30" customHeight="1" x14ac:dyDescent="0.25">
      <c r="A55" s="10"/>
      <c r="B55" s="34"/>
      <c r="C55" s="37"/>
      <c r="D55" s="15" t="s">
        <v>67</v>
      </c>
      <c r="E55" s="34"/>
      <c r="F55" s="39"/>
      <c r="G55" s="34"/>
      <c r="H55" s="39"/>
      <c r="I55" s="28"/>
      <c r="J55" s="31"/>
      <c r="K55" s="22"/>
      <c r="L55" s="22"/>
      <c r="M55" s="41"/>
      <c r="N55" s="44"/>
    </row>
    <row r="56" spans="1:14" ht="30" customHeight="1" thickBot="1" x14ac:dyDescent="0.3">
      <c r="A56" s="10"/>
      <c r="B56" s="83"/>
      <c r="C56" s="47"/>
      <c r="D56" s="17" t="s">
        <v>68</v>
      </c>
      <c r="E56" s="83"/>
      <c r="F56" s="84"/>
      <c r="G56" s="83"/>
      <c r="H56" s="84"/>
      <c r="I56" s="85"/>
      <c r="J56" s="86"/>
      <c r="K56" s="24"/>
      <c r="L56" s="24"/>
      <c r="M56" s="63"/>
      <c r="N56" s="64"/>
    </row>
    <row r="57" spans="1:14" ht="52.5" customHeight="1" x14ac:dyDescent="0.25">
      <c r="C57" s="8"/>
      <c r="D57" s="8"/>
      <c r="E57" s="8"/>
      <c r="F57" s="9"/>
      <c r="G57" s="9"/>
      <c r="H57" s="9"/>
      <c r="N57" s="21" t="s">
        <v>81</v>
      </c>
    </row>
    <row r="58" spans="1:14" x14ac:dyDescent="0.25">
      <c r="C58" s="62" t="s">
        <v>0</v>
      </c>
      <c r="D58" s="62"/>
      <c r="E58" s="62"/>
      <c r="F58" s="9"/>
      <c r="G58" s="9"/>
      <c r="H58" s="9"/>
      <c r="K58" s="62" t="s">
        <v>1</v>
      </c>
      <c r="L58" s="62"/>
      <c r="M58" s="62"/>
    </row>
    <row r="59" spans="1:14" ht="3.75" customHeight="1" x14ac:dyDescent="0.25"/>
  </sheetData>
  <mergeCells count="209">
    <mergeCell ref="K54:K56"/>
    <mergeCell ref="J39:J41"/>
    <mergeCell ref="J42:J44"/>
    <mergeCell ref="I15:I17"/>
    <mergeCell ref="D7:D8"/>
    <mergeCell ref="B54:B56"/>
    <mergeCell ref="C54:C56"/>
    <mergeCell ref="E54:E56"/>
    <mergeCell ref="F54:F56"/>
    <mergeCell ref="G54:G56"/>
    <mergeCell ref="H54:H56"/>
    <mergeCell ref="I54:I56"/>
    <mergeCell ref="J54:J56"/>
    <mergeCell ref="I9:I11"/>
    <mergeCell ref="I12:I14"/>
    <mergeCell ref="B15:B17"/>
    <mergeCell ref="F15:F17"/>
    <mergeCell ref="B18:B20"/>
    <mergeCell ref="C18:C20"/>
    <mergeCell ref="E18:E20"/>
    <mergeCell ref="F18:F20"/>
    <mergeCell ref="C9:C11"/>
    <mergeCell ref="B9:B11"/>
    <mergeCell ref="B12:B14"/>
    <mergeCell ref="M54:M56"/>
    <mergeCell ref="N54:N56"/>
    <mergeCell ref="K45:K47"/>
    <mergeCell ref="K58:M58"/>
    <mergeCell ref="B2:D3"/>
    <mergeCell ref="E2:M3"/>
    <mergeCell ref="M7:M8"/>
    <mergeCell ref="N39:N41"/>
    <mergeCell ref="N42:N44"/>
    <mergeCell ref="B7:B8"/>
    <mergeCell ref="C7:C8"/>
    <mergeCell ref="E7:F7"/>
    <mergeCell ref="I7:K7"/>
    <mergeCell ref="N7:N8"/>
    <mergeCell ref="J9:J11"/>
    <mergeCell ref="J12:J14"/>
    <mergeCell ref="J15:J17"/>
    <mergeCell ref="J18:J20"/>
    <mergeCell ref="J21:J23"/>
    <mergeCell ref="J24:J26"/>
    <mergeCell ref="J27:J29"/>
    <mergeCell ref="J30:J32"/>
    <mergeCell ref="J33:J35"/>
    <mergeCell ref="J36:J38"/>
    <mergeCell ref="N9:N11"/>
    <mergeCell ref="N12:N14"/>
    <mergeCell ref="C58:E58"/>
    <mergeCell ref="J45:J47"/>
    <mergeCell ref="M45:M47"/>
    <mergeCell ref="N45:N47"/>
    <mergeCell ref="I21:I23"/>
    <mergeCell ref="I18:I20"/>
    <mergeCell ref="I24:I26"/>
    <mergeCell ref="C36:C38"/>
    <mergeCell ref="E36:E38"/>
    <mergeCell ref="F36:F38"/>
    <mergeCell ref="K27:K29"/>
    <mergeCell ref="I33:I35"/>
    <mergeCell ref="K33:K35"/>
    <mergeCell ref="I39:I41"/>
    <mergeCell ref="K39:K41"/>
    <mergeCell ref="I45:I47"/>
    <mergeCell ref="N27:N29"/>
    <mergeCell ref="N30:N32"/>
    <mergeCell ref="N33:N35"/>
    <mergeCell ref="N36:N38"/>
    <mergeCell ref="C15:C17"/>
    <mergeCell ref="E15:E17"/>
    <mergeCell ref="C12:C14"/>
    <mergeCell ref="E12:E14"/>
    <mergeCell ref="F12:F14"/>
    <mergeCell ref="F42:F44"/>
    <mergeCell ref="B21:B23"/>
    <mergeCell ref="C21:C23"/>
    <mergeCell ref="E21:E23"/>
    <mergeCell ref="F21:F23"/>
    <mergeCell ref="B24:B26"/>
    <mergeCell ref="C24:C26"/>
    <mergeCell ref="E24:E26"/>
    <mergeCell ref="F24:F26"/>
    <mergeCell ref="B33:B35"/>
    <mergeCell ref="C33:C35"/>
    <mergeCell ref="E33:E35"/>
    <mergeCell ref="F33:F35"/>
    <mergeCell ref="B36:B38"/>
    <mergeCell ref="B27:B29"/>
    <mergeCell ref="C27:C29"/>
    <mergeCell ref="E27:E29"/>
    <mergeCell ref="F27:F29"/>
    <mergeCell ref="B30:B32"/>
    <mergeCell ref="C30:C32"/>
    <mergeCell ref="E30:E32"/>
    <mergeCell ref="M9:M11"/>
    <mergeCell ref="K12:K14"/>
    <mergeCell ref="M12:M14"/>
    <mergeCell ref="K9:K11"/>
    <mergeCell ref="K15:K17"/>
    <mergeCell ref="M21:M23"/>
    <mergeCell ref="K24:K26"/>
    <mergeCell ref="M24:M26"/>
    <mergeCell ref="M15:M17"/>
    <mergeCell ref="K18:K20"/>
    <mergeCell ref="M18:M20"/>
    <mergeCell ref="K21:K23"/>
    <mergeCell ref="N2:N3"/>
    <mergeCell ref="M39:M41"/>
    <mergeCell ref="I42:I44"/>
    <mergeCell ref="K42:K44"/>
    <mergeCell ref="M42:M44"/>
    <mergeCell ref="M33:M35"/>
    <mergeCell ref="I36:I38"/>
    <mergeCell ref="K36:K38"/>
    <mergeCell ref="M36:M38"/>
    <mergeCell ref="M27:M29"/>
    <mergeCell ref="I30:I32"/>
    <mergeCell ref="K30:K32"/>
    <mergeCell ref="M30:M32"/>
    <mergeCell ref="B5:N5"/>
    <mergeCell ref="B6:N6"/>
    <mergeCell ref="B4:N4"/>
    <mergeCell ref="F9:F11"/>
    <mergeCell ref="E9:E11"/>
    <mergeCell ref="G7:H7"/>
    <mergeCell ref="G9:G11"/>
    <mergeCell ref="H9:H11"/>
    <mergeCell ref="G12:G14"/>
    <mergeCell ref="H12:H14"/>
    <mergeCell ref="G36:G38"/>
    <mergeCell ref="M48:M50"/>
    <mergeCell ref="N48:N50"/>
    <mergeCell ref="M51:M53"/>
    <mergeCell ref="N51:N53"/>
    <mergeCell ref="N15:N17"/>
    <mergeCell ref="N18:N20"/>
    <mergeCell ref="N21:N23"/>
    <mergeCell ref="N24:N26"/>
    <mergeCell ref="F30:F32"/>
    <mergeCell ref="I27:I29"/>
    <mergeCell ref="G15:G17"/>
    <mergeCell ref="H15:H17"/>
    <mergeCell ref="G18:G20"/>
    <mergeCell ref="H18:H20"/>
    <mergeCell ref="G21:G23"/>
    <mergeCell ref="H21:H23"/>
    <mergeCell ref="G24:G26"/>
    <mergeCell ref="H24:H26"/>
    <mergeCell ref="G27:G29"/>
    <mergeCell ref="H27:H29"/>
    <mergeCell ref="G30:G32"/>
    <mergeCell ref="H30:H32"/>
    <mergeCell ref="G33:G35"/>
    <mergeCell ref="H33:H35"/>
    <mergeCell ref="H36:H38"/>
    <mergeCell ref="G39:G41"/>
    <mergeCell ref="H39:H41"/>
    <mergeCell ref="G42:G44"/>
    <mergeCell ref="H42:H44"/>
    <mergeCell ref="G45:G47"/>
    <mergeCell ref="H45:H47"/>
    <mergeCell ref="B48:B50"/>
    <mergeCell ref="C48:C50"/>
    <mergeCell ref="E48:E50"/>
    <mergeCell ref="F48:F50"/>
    <mergeCell ref="G48:G50"/>
    <mergeCell ref="H48:H50"/>
    <mergeCell ref="B45:B47"/>
    <mergeCell ref="C45:C47"/>
    <mergeCell ref="E45:E47"/>
    <mergeCell ref="F45:F47"/>
    <mergeCell ref="B39:B41"/>
    <mergeCell ref="C39:C41"/>
    <mergeCell ref="E39:E41"/>
    <mergeCell ref="F39:F41"/>
    <mergeCell ref="B42:B44"/>
    <mergeCell ref="C42:C44"/>
    <mergeCell ref="E42:E44"/>
    <mergeCell ref="I48:I50"/>
    <mergeCell ref="J48:J50"/>
    <mergeCell ref="K48:K50"/>
    <mergeCell ref="B51:B53"/>
    <mergeCell ref="C51:C53"/>
    <mergeCell ref="E51:E53"/>
    <mergeCell ref="F51:F53"/>
    <mergeCell ref="G51:G53"/>
    <mergeCell ref="H51:H53"/>
    <mergeCell ref="I51:I53"/>
    <mergeCell ref="J51:J53"/>
    <mergeCell ref="K51:K53"/>
    <mergeCell ref="L33:L35"/>
    <mergeCell ref="L36:L38"/>
    <mergeCell ref="L39:L41"/>
    <mergeCell ref="L42:L44"/>
    <mergeCell ref="L45:L47"/>
    <mergeCell ref="L48:L50"/>
    <mergeCell ref="L51:L53"/>
    <mergeCell ref="L54:L56"/>
    <mergeCell ref="L7:L8"/>
    <mergeCell ref="L9:L11"/>
    <mergeCell ref="L12:L14"/>
    <mergeCell ref="L15:L17"/>
    <mergeCell ref="L18:L20"/>
    <mergeCell ref="L21:L23"/>
    <mergeCell ref="L24:L26"/>
    <mergeCell ref="L27:L29"/>
    <mergeCell ref="L30:L32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31"/>
  <sheetViews>
    <sheetView workbookViewId="0">
      <selection activeCell="J38" sqref="J38"/>
    </sheetView>
  </sheetViews>
  <sheetFormatPr defaultRowHeight="15" x14ac:dyDescent="0.25"/>
  <cols>
    <col min="1" max="1" width="14" style="3" customWidth="1"/>
    <col min="2" max="2" width="9.42578125" style="3" customWidth="1"/>
    <col min="3" max="3" width="32.140625" customWidth="1"/>
    <col min="4" max="4" width="36" customWidth="1"/>
    <col min="5" max="8" width="13.28515625" style="3" customWidth="1"/>
    <col min="9" max="9" width="14" style="3" customWidth="1"/>
    <col min="10" max="16" width="13.28515625" style="3" customWidth="1"/>
  </cols>
  <sheetData>
    <row r="3" spans="1:16" s="2" customFormat="1" ht="4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/>
      <c r="K3" s="88" t="s">
        <v>11</v>
      </c>
      <c r="L3" s="89"/>
      <c r="M3" s="90" t="s">
        <v>12</v>
      </c>
      <c r="N3" s="89"/>
      <c r="O3" s="90" t="s">
        <v>13</v>
      </c>
      <c r="P3" s="89"/>
    </row>
    <row r="4" spans="1:16" x14ac:dyDescent="0.25">
      <c r="A4" s="5"/>
      <c r="B4" s="5"/>
      <c r="C4" s="6"/>
      <c r="D4" s="6"/>
      <c r="E4" s="5"/>
      <c r="F4" s="5"/>
      <c r="G4" s="5"/>
      <c r="H4" s="5"/>
      <c r="I4" s="5" t="s">
        <v>14</v>
      </c>
      <c r="J4" s="5" t="s">
        <v>15</v>
      </c>
      <c r="K4" s="5" t="s">
        <v>16</v>
      </c>
      <c r="L4" s="5"/>
      <c r="M4" s="5" t="s">
        <v>16</v>
      </c>
      <c r="N4" s="5"/>
      <c r="O4" s="5"/>
      <c r="P4" s="5" t="s">
        <v>16</v>
      </c>
    </row>
    <row r="5" spans="1:16" x14ac:dyDescent="0.25">
      <c r="A5" s="5" t="s">
        <v>17</v>
      </c>
      <c r="B5" s="5" t="s">
        <v>18</v>
      </c>
      <c r="C5" s="6" t="s">
        <v>19</v>
      </c>
      <c r="D5" s="6" t="s">
        <v>20</v>
      </c>
      <c r="E5" s="5">
        <v>55</v>
      </c>
      <c r="F5" s="5">
        <v>1</v>
      </c>
      <c r="G5" s="5">
        <v>65.5</v>
      </c>
      <c r="H5" s="5">
        <f t="shared" ref="H5:H24" si="0">ROUND(1500/G5,0)-1</f>
        <v>22</v>
      </c>
      <c r="I5" s="5">
        <v>1415</v>
      </c>
      <c r="J5" s="5">
        <v>1365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</row>
    <row r="6" spans="1:16" x14ac:dyDescent="0.25">
      <c r="A6" s="5" t="s">
        <v>21</v>
      </c>
      <c r="B6" s="5" t="s">
        <v>18</v>
      </c>
      <c r="C6" s="6" t="s">
        <v>22</v>
      </c>
      <c r="D6" s="6" t="s">
        <v>20</v>
      </c>
      <c r="E6" s="5">
        <v>5</v>
      </c>
      <c r="F6" s="5">
        <v>20</v>
      </c>
      <c r="G6" s="5">
        <v>110</v>
      </c>
      <c r="H6" s="5">
        <f>ROUND(1500/G6,0)-1</f>
        <v>13</v>
      </c>
      <c r="I6" s="5">
        <v>1415</v>
      </c>
      <c r="J6" s="5">
        <v>1365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</row>
    <row r="7" spans="1:16" x14ac:dyDescent="0.25">
      <c r="A7" s="5" t="s">
        <v>23</v>
      </c>
      <c r="B7" s="5" t="s">
        <v>24</v>
      </c>
      <c r="C7" s="6" t="s">
        <v>25</v>
      </c>
      <c r="D7" s="6" t="s">
        <v>26</v>
      </c>
      <c r="E7" s="5">
        <v>1.18</v>
      </c>
      <c r="F7" s="5">
        <v>30</v>
      </c>
      <c r="G7" s="5">
        <v>50.2</v>
      </c>
      <c r="H7" s="5">
        <f t="shared" si="0"/>
        <v>29</v>
      </c>
      <c r="I7" s="5">
        <v>1415</v>
      </c>
      <c r="J7" s="5">
        <v>1365</v>
      </c>
      <c r="K7" s="7">
        <v>1E-3</v>
      </c>
      <c r="L7" s="7">
        <v>1.5E-3</v>
      </c>
      <c r="M7" s="7">
        <v>1.5E-3</v>
      </c>
      <c r="N7" s="7">
        <v>3.0000000000000001E-3</v>
      </c>
      <c r="O7" s="7">
        <v>1E-3</v>
      </c>
      <c r="P7" s="7">
        <v>2E-3</v>
      </c>
    </row>
    <row r="8" spans="1:16" x14ac:dyDescent="0.25">
      <c r="A8" s="5" t="s">
        <v>27</v>
      </c>
      <c r="B8" s="5" t="s">
        <v>24</v>
      </c>
      <c r="C8" s="6" t="s">
        <v>28</v>
      </c>
      <c r="D8" s="6" t="s">
        <v>26</v>
      </c>
      <c r="E8" s="5">
        <v>1.4</v>
      </c>
      <c r="F8" s="5">
        <v>25</v>
      </c>
      <c r="G8" s="5">
        <v>81.2</v>
      </c>
      <c r="H8" s="5">
        <f t="shared" si="0"/>
        <v>17</v>
      </c>
      <c r="I8" s="5">
        <v>1415</v>
      </c>
      <c r="J8" s="5">
        <v>1365</v>
      </c>
      <c r="K8" s="7">
        <v>1E-3</v>
      </c>
      <c r="L8" s="7">
        <v>1.5E-3</v>
      </c>
      <c r="M8" s="7">
        <v>1.5E-3</v>
      </c>
      <c r="N8" s="7">
        <v>3.0000000000000001E-3</v>
      </c>
      <c r="O8" s="7">
        <v>1E-3</v>
      </c>
      <c r="P8" s="7">
        <v>2E-3</v>
      </c>
    </row>
    <row r="9" spans="1:16" x14ac:dyDescent="0.25">
      <c r="A9" s="5" t="s">
        <v>29</v>
      </c>
      <c r="B9" s="5" t="s">
        <v>24</v>
      </c>
      <c r="C9" s="6" t="s">
        <v>30</v>
      </c>
      <c r="D9" s="6" t="s">
        <v>26</v>
      </c>
      <c r="E9" s="5">
        <v>6.91</v>
      </c>
      <c r="F9" s="5">
        <v>6</v>
      </c>
      <c r="G9" s="5">
        <v>55.4</v>
      </c>
      <c r="H9" s="5">
        <f t="shared" si="0"/>
        <v>26</v>
      </c>
      <c r="I9" s="5">
        <v>1415</v>
      </c>
      <c r="J9" s="5">
        <v>1365</v>
      </c>
      <c r="K9" s="7">
        <v>1E-3</v>
      </c>
      <c r="L9" s="7">
        <v>1.5E-3</v>
      </c>
      <c r="M9" s="7">
        <v>1.5E-3</v>
      </c>
      <c r="N9" s="7">
        <v>3.0000000000000001E-3</v>
      </c>
      <c r="O9" s="7">
        <v>1E-3</v>
      </c>
      <c r="P9" s="7">
        <v>2E-3</v>
      </c>
    </row>
    <row r="10" spans="1:16" x14ac:dyDescent="0.25">
      <c r="A10" s="5" t="s">
        <v>31</v>
      </c>
      <c r="B10" s="5" t="s">
        <v>24</v>
      </c>
      <c r="C10" s="6" t="s">
        <v>32</v>
      </c>
      <c r="D10" s="6" t="s">
        <v>26</v>
      </c>
      <c r="E10" s="5">
        <v>0.99</v>
      </c>
      <c r="F10" s="5">
        <v>30</v>
      </c>
      <c r="G10" s="5">
        <v>45.2</v>
      </c>
      <c r="H10" s="5">
        <f t="shared" si="0"/>
        <v>32</v>
      </c>
      <c r="I10" s="5">
        <v>1415</v>
      </c>
      <c r="J10" s="5">
        <v>1365</v>
      </c>
      <c r="K10" s="7">
        <v>1E-3</v>
      </c>
      <c r="L10" s="7">
        <v>1.5E-3</v>
      </c>
      <c r="M10" s="7">
        <v>1.5E-3</v>
      </c>
      <c r="N10" s="7">
        <v>3.0000000000000001E-3</v>
      </c>
      <c r="O10" s="7">
        <v>1E-3</v>
      </c>
      <c r="P10" s="7">
        <v>2E-3</v>
      </c>
    </row>
    <row r="11" spans="1:16" x14ac:dyDescent="0.25">
      <c r="A11" s="5" t="s">
        <v>33</v>
      </c>
      <c r="B11" s="5" t="s">
        <v>24</v>
      </c>
      <c r="C11" s="6" t="s">
        <v>34</v>
      </c>
      <c r="D11" s="6" t="s">
        <v>35</v>
      </c>
      <c r="E11" s="5">
        <v>3.81</v>
      </c>
      <c r="F11" s="5">
        <v>9</v>
      </c>
      <c r="G11" s="5">
        <v>74.25</v>
      </c>
      <c r="H11" s="5">
        <f t="shared" si="0"/>
        <v>19</v>
      </c>
      <c r="I11" s="5">
        <v>1415</v>
      </c>
      <c r="J11" s="5">
        <v>1365</v>
      </c>
      <c r="K11" s="7">
        <v>1E-3</v>
      </c>
      <c r="L11" s="7">
        <v>1.5E-3</v>
      </c>
      <c r="M11" s="7">
        <v>1.5E-3</v>
      </c>
      <c r="N11" s="7">
        <v>3.0000000000000001E-3</v>
      </c>
      <c r="O11" s="7">
        <v>1E-3</v>
      </c>
      <c r="P11" s="7">
        <v>2E-3</v>
      </c>
    </row>
    <row r="12" spans="1:16" x14ac:dyDescent="0.25">
      <c r="A12" s="5" t="s">
        <v>36</v>
      </c>
      <c r="B12" s="5" t="s">
        <v>24</v>
      </c>
      <c r="C12" s="6" t="s">
        <v>37</v>
      </c>
      <c r="D12" s="6" t="s">
        <v>35</v>
      </c>
      <c r="E12" s="5">
        <v>3.84</v>
      </c>
      <c r="F12" s="5">
        <v>9</v>
      </c>
      <c r="G12" s="5">
        <v>81.099999999999994</v>
      </c>
      <c r="H12" s="5">
        <f t="shared" si="0"/>
        <v>17</v>
      </c>
      <c r="I12" s="5">
        <v>1415</v>
      </c>
      <c r="J12" s="5">
        <v>1365</v>
      </c>
      <c r="K12" s="7">
        <v>1E-3</v>
      </c>
      <c r="L12" s="7">
        <v>1.5E-3</v>
      </c>
      <c r="M12" s="7">
        <v>1.5E-3</v>
      </c>
      <c r="N12" s="7">
        <v>3.0000000000000001E-3</v>
      </c>
      <c r="O12" s="7">
        <v>1E-3</v>
      </c>
      <c r="P12" s="7">
        <v>2E-3</v>
      </c>
    </row>
    <row r="13" spans="1:16" x14ac:dyDescent="0.25">
      <c r="A13" s="5" t="s">
        <v>38</v>
      </c>
      <c r="B13" s="5" t="s">
        <v>24</v>
      </c>
      <c r="C13" s="6" t="s">
        <v>39</v>
      </c>
      <c r="D13" s="6" t="s">
        <v>35</v>
      </c>
      <c r="E13" s="5">
        <v>2.2000000000000002</v>
      </c>
      <c r="F13" s="5">
        <v>12</v>
      </c>
      <c r="G13" s="5">
        <v>53.1</v>
      </c>
      <c r="H13" s="5">
        <f>ROUND(1500/G13,0)-1</f>
        <v>27</v>
      </c>
      <c r="I13" s="5">
        <v>1415</v>
      </c>
      <c r="J13" s="5">
        <v>1365</v>
      </c>
      <c r="K13" s="7">
        <v>1E-3</v>
      </c>
      <c r="L13" s="7">
        <v>1.5E-3</v>
      </c>
      <c r="M13" s="7">
        <v>1.5E-3</v>
      </c>
      <c r="N13" s="7">
        <v>3.0000000000000001E-3</v>
      </c>
      <c r="O13" s="7">
        <v>1E-3</v>
      </c>
      <c r="P13" s="7">
        <v>2E-3</v>
      </c>
    </row>
    <row r="14" spans="1:16" x14ac:dyDescent="0.25">
      <c r="A14" s="5" t="s">
        <v>40</v>
      </c>
      <c r="B14" s="5" t="s">
        <v>24</v>
      </c>
      <c r="C14" s="6" t="s">
        <v>41</v>
      </c>
      <c r="D14" s="6" t="s">
        <v>42</v>
      </c>
      <c r="E14" s="5">
        <v>9.26</v>
      </c>
      <c r="F14" s="5">
        <v>4</v>
      </c>
      <c r="G14" s="5">
        <v>73.099999999999994</v>
      </c>
      <c r="H14" s="5">
        <f t="shared" si="0"/>
        <v>20</v>
      </c>
      <c r="I14" s="5">
        <v>1415</v>
      </c>
      <c r="J14" s="5">
        <v>1365</v>
      </c>
      <c r="K14" s="7">
        <v>1E-3</v>
      </c>
      <c r="L14" s="7">
        <v>1.5E-3</v>
      </c>
      <c r="M14" s="7">
        <v>1.5E-3</v>
      </c>
      <c r="N14" s="7">
        <v>3.0000000000000001E-3</v>
      </c>
      <c r="O14" s="7">
        <v>1E-3</v>
      </c>
      <c r="P14" s="7">
        <v>2E-3</v>
      </c>
    </row>
    <row r="15" spans="1:16" x14ac:dyDescent="0.25">
      <c r="A15" s="5" t="s">
        <v>43</v>
      </c>
      <c r="B15" s="5" t="s">
        <v>24</v>
      </c>
      <c r="C15" s="6" t="s">
        <v>44</v>
      </c>
      <c r="D15" s="6" t="s">
        <v>42</v>
      </c>
      <c r="E15" s="5">
        <v>9.26</v>
      </c>
      <c r="F15" s="5">
        <v>4</v>
      </c>
      <c r="G15" s="5">
        <v>73.099999999999994</v>
      </c>
      <c r="H15" s="5">
        <f t="shared" si="0"/>
        <v>20</v>
      </c>
      <c r="I15" s="5">
        <v>1415</v>
      </c>
      <c r="J15" s="5">
        <v>1365</v>
      </c>
      <c r="K15" s="7">
        <v>1E-3</v>
      </c>
      <c r="L15" s="7">
        <v>1.5E-3</v>
      </c>
      <c r="M15" s="7">
        <v>1.5E-3</v>
      </c>
      <c r="N15" s="7">
        <v>3.0000000000000001E-3</v>
      </c>
      <c r="O15" s="7">
        <v>1E-3</v>
      </c>
      <c r="P15" s="7">
        <v>2E-3</v>
      </c>
    </row>
    <row r="16" spans="1:16" x14ac:dyDescent="0.25">
      <c r="A16" s="5" t="s">
        <v>45</v>
      </c>
      <c r="B16" s="5" t="s">
        <v>24</v>
      </c>
      <c r="C16" s="6" t="s">
        <v>46</v>
      </c>
      <c r="D16" s="6" t="s">
        <v>35</v>
      </c>
      <c r="E16" s="5">
        <v>1.79</v>
      </c>
      <c r="F16" s="5">
        <v>12</v>
      </c>
      <c r="G16" s="5">
        <v>53.1</v>
      </c>
      <c r="H16" s="5">
        <f t="shared" si="0"/>
        <v>27</v>
      </c>
      <c r="I16" s="5">
        <v>1415</v>
      </c>
      <c r="J16" s="5">
        <v>1365</v>
      </c>
      <c r="K16" s="7">
        <v>1E-3</v>
      </c>
      <c r="L16" s="7">
        <v>1.5E-3</v>
      </c>
      <c r="M16" s="7">
        <v>1.5E-3</v>
      </c>
      <c r="N16" s="7">
        <v>3.0000000000000001E-3</v>
      </c>
      <c r="O16" s="7">
        <v>1E-3</v>
      </c>
      <c r="P16" s="7">
        <v>2E-3</v>
      </c>
    </row>
    <row r="17" spans="1:16" x14ac:dyDescent="0.25">
      <c r="A17" s="5" t="s">
        <v>47</v>
      </c>
      <c r="B17" s="5" t="s">
        <v>24</v>
      </c>
      <c r="C17" s="6" t="s">
        <v>48</v>
      </c>
      <c r="D17" s="6" t="s">
        <v>35</v>
      </c>
      <c r="E17" s="5">
        <v>1.79</v>
      </c>
      <c r="F17" s="5">
        <v>12</v>
      </c>
      <c r="G17" s="5">
        <v>53.1</v>
      </c>
      <c r="H17" s="5">
        <f t="shared" si="0"/>
        <v>27</v>
      </c>
      <c r="I17" s="5">
        <v>1415</v>
      </c>
      <c r="J17" s="5">
        <v>1365</v>
      </c>
      <c r="K17" s="7">
        <v>1E-3</v>
      </c>
      <c r="L17" s="7">
        <v>1.5E-3</v>
      </c>
      <c r="M17" s="7">
        <v>1.5E-3</v>
      </c>
      <c r="N17" s="7">
        <v>3.0000000000000001E-3</v>
      </c>
      <c r="O17" s="7">
        <v>1E-3</v>
      </c>
      <c r="P17" s="7">
        <v>2E-3</v>
      </c>
    </row>
    <row r="18" spans="1:16" x14ac:dyDescent="0.25">
      <c r="A18" s="5" t="s">
        <v>49</v>
      </c>
      <c r="B18" s="5" t="s">
        <v>24</v>
      </c>
      <c r="C18" s="6" t="s">
        <v>50</v>
      </c>
      <c r="D18" s="6" t="s">
        <v>35</v>
      </c>
      <c r="E18" s="5">
        <v>1.05</v>
      </c>
      <c r="F18" s="5">
        <v>15</v>
      </c>
      <c r="G18" s="5">
        <v>42.8</v>
      </c>
      <c r="H18" s="5">
        <f t="shared" si="0"/>
        <v>34</v>
      </c>
      <c r="I18" s="5">
        <v>1415</v>
      </c>
      <c r="J18" s="5">
        <v>1365</v>
      </c>
      <c r="K18" s="7">
        <v>1E-3</v>
      </c>
      <c r="L18" s="7">
        <v>1.5E-3</v>
      </c>
      <c r="M18" s="7">
        <v>1.5E-3</v>
      </c>
      <c r="N18" s="7">
        <v>3.0000000000000001E-3</v>
      </c>
      <c r="O18" s="7">
        <v>1E-3</v>
      </c>
      <c r="P18" s="7">
        <v>2E-3</v>
      </c>
    </row>
    <row r="19" spans="1:16" x14ac:dyDescent="0.25">
      <c r="A19" s="5" t="s">
        <v>51</v>
      </c>
      <c r="B19" s="5" t="s">
        <v>18</v>
      </c>
      <c r="C19" s="6" t="s">
        <v>52</v>
      </c>
      <c r="D19" s="6" t="s">
        <v>35</v>
      </c>
      <c r="E19" s="5">
        <v>6.41</v>
      </c>
      <c r="F19" s="5">
        <v>6</v>
      </c>
      <c r="G19" s="5">
        <v>50.6</v>
      </c>
      <c r="H19" s="5">
        <f t="shared" si="0"/>
        <v>29</v>
      </c>
      <c r="I19" s="5">
        <v>1400</v>
      </c>
      <c r="J19" s="5">
        <v>1360</v>
      </c>
      <c r="K19" s="7">
        <v>1E-3</v>
      </c>
      <c r="L19" s="7">
        <v>1.5E-3</v>
      </c>
      <c r="M19" s="7">
        <v>1.5E-3</v>
      </c>
      <c r="N19" s="7">
        <v>3.0000000000000001E-3</v>
      </c>
      <c r="O19" s="7">
        <v>1E-3</v>
      </c>
      <c r="P19" s="7">
        <v>2E-3</v>
      </c>
    </row>
    <row r="20" spans="1:16" x14ac:dyDescent="0.25">
      <c r="A20" s="5" t="s">
        <v>53</v>
      </c>
      <c r="B20" s="5" t="s">
        <v>24</v>
      </c>
      <c r="C20" s="6" t="s">
        <v>54</v>
      </c>
      <c r="D20" s="6" t="s">
        <v>26</v>
      </c>
      <c r="E20" s="5">
        <v>0.8</v>
      </c>
      <c r="F20" s="5">
        <v>18</v>
      </c>
      <c r="G20" s="5">
        <v>31</v>
      </c>
      <c r="H20" s="5">
        <f t="shared" si="0"/>
        <v>47</v>
      </c>
      <c r="I20" s="5">
        <v>1415</v>
      </c>
      <c r="J20" s="5">
        <v>1365</v>
      </c>
      <c r="K20" s="7">
        <v>1E-3</v>
      </c>
      <c r="L20" s="7">
        <v>1.5E-3</v>
      </c>
      <c r="M20" s="7">
        <v>1.5E-3</v>
      </c>
      <c r="N20" s="7">
        <v>3.0000000000000001E-3</v>
      </c>
      <c r="O20" s="7">
        <v>1E-3</v>
      </c>
      <c r="P20" s="7">
        <v>2E-3</v>
      </c>
    </row>
    <row r="21" spans="1:16" x14ac:dyDescent="0.25">
      <c r="A21" s="5" t="s">
        <v>55</v>
      </c>
      <c r="B21" s="5" t="s">
        <v>24</v>
      </c>
      <c r="C21" s="6" t="s">
        <v>56</v>
      </c>
      <c r="D21" s="6" t="s">
        <v>26</v>
      </c>
      <c r="E21" s="5">
        <v>8</v>
      </c>
      <c r="F21" s="5">
        <v>4</v>
      </c>
      <c r="G21" s="5">
        <v>53.7</v>
      </c>
      <c r="H21" s="5">
        <f t="shared" si="0"/>
        <v>27</v>
      </c>
      <c r="I21" s="5">
        <v>1415</v>
      </c>
      <c r="J21" s="5">
        <v>1365</v>
      </c>
      <c r="K21" s="7">
        <v>1E-3</v>
      </c>
      <c r="L21" s="7">
        <v>1.5E-3</v>
      </c>
      <c r="M21" s="7">
        <v>1.5E-3</v>
      </c>
      <c r="N21" s="7">
        <v>3.0000000000000001E-3</v>
      </c>
      <c r="O21" s="7">
        <v>1E-3</v>
      </c>
      <c r="P21" s="7">
        <v>2E-3</v>
      </c>
    </row>
    <row r="22" spans="1:16" x14ac:dyDescent="0.25">
      <c r="A22" s="5" t="s">
        <v>57</v>
      </c>
      <c r="B22" s="5" t="s">
        <v>24</v>
      </c>
      <c r="C22" s="6" t="s">
        <v>58</v>
      </c>
      <c r="D22" s="6" t="s">
        <v>26</v>
      </c>
      <c r="E22" s="5">
        <v>8.8000000000000007</v>
      </c>
      <c r="F22" s="5">
        <v>4</v>
      </c>
      <c r="G22" s="5">
        <v>52.8</v>
      </c>
      <c r="H22" s="5">
        <f t="shared" si="0"/>
        <v>27</v>
      </c>
      <c r="I22" s="5">
        <v>1415</v>
      </c>
      <c r="J22" s="5">
        <v>1365</v>
      </c>
      <c r="K22" s="7">
        <v>1E-3</v>
      </c>
      <c r="L22" s="7">
        <v>1.5E-3</v>
      </c>
      <c r="M22" s="7">
        <v>1.5E-3</v>
      </c>
      <c r="N22" s="7">
        <v>3.0000000000000001E-3</v>
      </c>
      <c r="O22" s="7">
        <v>1E-3</v>
      </c>
      <c r="P22" s="7">
        <v>2E-3</v>
      </c>
    </row>
    <row r="23" spans="1:16" x14ac:dyDescent="0.25">
      <c r="A23" s="5" t="s">
        <v>59</v>
      </c>
      <c r="B23" s="5" t="s">
        <v>24</v>
      </c>
      <c r="C23" s="6" t="s">
        <v>44</v>
      </c>
      <c r="D23" s="6" t="s">
        <v>42</v>
      </c>
      <c r="E23" s="5">
        <v>15.53</v>
      </c>
      <c r="F23" s="5">
        <v>2</v>
      </c>
      <c r="G23" s="5">
        <v>53.7</v>
      </c>
      <c r="H23" s="5">
        <f t="shared" si="0"/>
        <v>27</v>
      </c>
      <c r="I23" s="5">
        <v>1415</v>
      </c>
      <c r="J23" s="5">
        <v>1365</v>
      </c>
      <c r="K23" s="7">
        <v>1E-3</v>
      </c>
      <c r="L23" s="7">
        <v>1.5E-3</v>
      </c>
      <c r="M23" s="7">
        <v>1.5E-3</v>
      </c>
      <c r="N23" s="7">
        <v>3.0000000000000001E-3</v>
      </c>
      <c r="O23" s="7">
        <v>1E-3</v>
      </c>
      <c r="P23" s="7">
        <v>2E-3</v>
      </c>
    </row>
    <row r="24" spans="1:16" x14ac:dyDescent="0.25">
      <c r="A24" s="5" t="s">
        <v>60</v>
      </c>
      <c r="B24" s="5" t="s">
        <v>24</v>
      </c>
      <c r="C24" s="6" t="s">
        <v>41</v>
      </c>
      <c r="D24" s="6" t="s">
        <v>42</v>
      </c>
      <c r="E24" s="5">
        <v>15.53</v>
      </c>
      <c r="F24" s="5">
        <v>2</v>
      </c>
      <c r="G24" s="5">
        <v>53.7</v>
      </c>
      <c r="H24" s="5">
        <f t="shared" si="0"/>
        <v>27</v>
      </c>
      <c r="I24" s="5">
        <v>1415</v>
      </c>
      <c r="J24" s="5">
        <v>1365</v>
      </c>
      <c r="K24" s="7">
        <v>1E-3</v>
      </c>
      <c r="L24" s="7">
        <v>1.5E-3</v>
      </c>
      <c r="M24" s="7">
        <v>1.5E-3</v>
      </c>
      <c r="N24" s="7">
        <v>3.0000000000000001E-3</v>
      </c>
      <c r="O24" s="7">
        <v>1E-3</v>
      </c>
      <c r="P24" s="7">
        <v>2E-3</v>
      </c>
    </row>
    <row r="25" spans="1:16" x14ac:dyDescent="0.25">
      <c r="A25" s="5"/>
      <c r="B25" s="5"/>
      <c r="C25" s="6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6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5"/>
      <c r="B27" s="5"/>
      <c r="C27" s="6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5"/>
      <c r="B28" s="5"/>
      <c r="C28" s="6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5">
      <c r="A29" s="5"/>
      <c r="B29" s="5"/>
      <c r="C29" s="6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5"/>
      <c r="B30" s="5"/>
      <c r="C30" s="6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6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</sheetData>
  <mergeCells count="3">
    <mergeCell ref="K3:L3"/>
    <mergeCell ref="M3:N3"/>
    <mergeCell ref="O3:P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Frente</vt:lpstr>
      <vt:lpstr>DADOS</vt:lpstr>
      <vt:lpstr>Frente!Area_de_impressao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Metalsider</dc:creator>
  <cp:lastModifiedBy>ivan.carlos@metalsider.corp</cp:lastModifiedBy>
  <cp:lastPrinted>2024-09-12T14:46:57Z</cp:lastPrinted>
  <dcterms:created xsi:type="dcterms:W3CDTF">2016-01-19T12:49:42Z</dcterms:created>
  <dcterms:modified xsi:type="dcterms:W3CDTF">2024-09-16T16:50:34Z</dcterms:modified>
</cp:coreProperties>
</file>
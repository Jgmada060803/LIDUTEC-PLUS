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Z:\Instruções de Trabalho e Procedimentos\Acabamento\Formulários\"/>
    </mc:Choice>
  </mc:AlternateContent>
  <xr:revisionPtr revIDLastSave="0" documentId="13_ncr:1_{80F1F842-3F66-4C04-A585-5BAEDD72AF79}" xr6:coauthVersionLast="47" xr6:coauthVersionMax="47" xr10:uidLastSave="{00000000-0000-0000-0000-000000000000}"/>
  <bookViews>
    <workbookView minimized="1" xWindow="4410" yWindow="4410" windowWidth="17220" windowHeight="8205" tabRatio="978" firstSheet="5" activeTab="5" xr2:uid="{00000000-000D-0000-FFFF-FFFF00000000}"/>
  </bookViews>
  <sheets>
    <sheet name="PRODUÇÃO" sheetId="1" state="hidden" r:id="rId1"/>
    <sheet name="HOMEM X HORA" sheetId="7" state="hidden" r:id="rId2"/>
    <sheet name="EFICIÊNIA DA PRODUÇÃO" sheetId="15" state="hidden" r:id="rId3"/>
    <sheet name="PRODUÇÃO LINHA 1" sheetId="9" state="hidden" r:id="rId4"/>
    <sheet name="Planilha2" sheetId="21" state="hidden" r:id="rId5"/>
    <sheet name="FORMULÁRIO - PRODUÇÃO " sheetId="6" r:id="rId6"/>
    <sheet name="FORMULÁRIO - PRODUÇÃO  (1)" sheetId="22" r:id="rId7"/>
  </sheets>
  <definedNames>
    <definedName name="_xlnm._FilterDatabase" localSheetId="0" hidden="1">PRODUÇÃO!$A$3:$AK$1427</definedName>
    <definedName name="_xlnm._FilterDatabase" localSheetId="3" hidden="1">'PRODUÇÃO LINHA 1'!$B$4:$J$1048576</definedName>
    <definedName name="_xlnm.Print_Area" localSheetId="5">'FORMULÁRIO - PRODUÇÃO '!$B$2:$O$32</definedName>
    <definedName name="_xlnm.Print_Area" localSheetId="6">'FORMULÁRIO - PRODUÇÃO  (1)'!$B$2:$P$30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1" l="1"/>
  <c r="J8" i="21" s="1"/>
  <c r="H6" i="21"/>
  <c r="H4" i="21"/>
  <c r="D13" i="21"/>
  <c r="D8" i="21"/>
  <c r="D4" i="21"/>
  <c r="D5" i="21"/>
  <c r="D6" i="21"/>
  <c r="D7" i="21"/>
  <c r="D9" i="21"/>
  <c r="D10" i="21"/>
  <c r="D11" i="21"/>
  <c r="D12" i="21"/>
  <c r="D3" i="21"/>
  <c r="H3" i="21" l="1"/>
  <c r="I4" i="21"/>
  <c r="K4" i="21" s="1"/>
  <c r="B12" i="9"/>
  <c r="C12" i="9"/>
  <c r="J5" i="9"/>
  <c r="D7" i="15"/>
  <c r="D8" i="15"/>
  <c r="D9" i="15"/>
  <c r="D10" i="15"/>
  <c r="I5" i="7"/>
  <c r="Q5" i="7" s="1"/>
  <c r="J5" i="7"/>
  <c r="K5" i="7"/>
  <c r="L5" i="7"/>
  <c r="P5" i="7"/>
  <c r="F6" i="15" s="1"/>
  <c r="R5" i="7"/>
  <c r="S5" i="7"/>
  <c r="A8" i="15"/>
  <c r="B8" i="15"/>
  <c r="A9" i="15"/>
  <c r="B9" i="15"/>
  <c r="A10" i="15"/>
  <c r="B10" i="15"/>
  <c r="A11" i="15"/>
  <c r="B11" i="15"/>
  <c r="A12" i="15"/>
  <c r="B12" i="15"/>
  <c r="A13" i="15"/>
  <c r="B13" i="15"/>
  <c r="A14" i="15"/>
  <c r="B14" i="15"/>
  <c r="B7" i="15"/>
  <c r="A7" i="15"/>
  <c r="B6" i="15"/>
  <c r="A6" i="15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B6" i="9"/>
  <c r="C6" i="9"/>
  <c r="B7" i="9"/>
  <c r="C7" i="9"/>
  <c r="B8" i="9"/>
  <c r="C8" i="9"/>
  <c r="B9" i="9"/>
  <c r="C9" i="9"/>
  <c r="B10" i="9"/>
  <c r="C10" i="9"/>
  <c r="B11" i="9"/>
  <c r="C11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B66" i="9"/>
  <c r="C66" i="9"/>
  <c r="B67" i="9"/>
  <c r="C67" i="9"/>
  <c r="B68" i="9"/>
  <c r="C68" i="9"/>
  <c r="B69" i="9"/>
  <c r="C69" i="9"/>
  <c r="B70" i="9"/>
  <c r="C70" i="9"/>
  <c r="B71" i="9"/>
  <c r="C71" i="9"/>
  <c r="B72" i="9"/>
  <c r="C72" i="9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3" i="9"/>
  <c r="C83" i="9"/>
  <c r="B84" i="9"/>
  <c r="C84" i="9"/>
  <c r="B85" i="9"/>
  <c r="C85" i="9"/>
  <c r="B86" i="9"/>
  <c r="C86" i="9"/>
  <c r="B87" i="9"/>
  <c r="C87" i="9"/>
  <c r="B88" i="9"/>
  <c r="C88" i="9"/>
  <c r="B89" i="9"/>
  <c r="C89" i="9"/>
  <c r="B90" i="9"/>
  <c r="C90" i="9"/>
  <c r="B91" i="9"/>
  <c r="C91" i="9"/>
  <c r="B92" i="9"/>
  <c r="C92" i="9"/>
  <c r="B93" i="9"/>
  <c r="C93" i="9"/>
  <c r="B94" i="9"/>
  <c r="C94" i="9"/>
  <c r="B95" i="9"/>
  <c r="C95" i="9"/>
  <c r="B96" i="9"/>
  <c r="C96" i="9"/>
  <c r="B97" i="9"/>
  <c r="C97" i="9"/>
  <c r="B98" i="9"/>
  <c r="C98" i="9"/>
  <c r="B99" i="9"/>
  <c r="C99" i="9"/>
  <c r="B100" i="9"/>
  <c r="C100" i="9"/>
  <c r="B101" i="9"/>
  <c r="C101" i="9"/>
  <c r="B102" i="9"/>
  <c r="C102" i="9"/>
  <c r="B103" i="9"/>
  <c r="C103" i="9"/>
  <c r="B104" i="9"/>
  <c r="C104" i="9"/>
  <c r="B105" i="9"/>
  <c r="C105" i="9"/>
  <c r="B106" i="9"/>
  <c r="C106" i="9"/>
  <c r="B107" i="9"/>
  <c r="C107" i="9"/>
  <c r="B108" i="9"/>
  <c r="C108" i="9"/>
  <c r="B109" i="9"/>
  <c r="C109" i="9"/>
  <c r="B110" i="9"/>
  <c r="C110" i="9"/>
  <c r="B111" i="9"/>
  <c r="C111" i="9"/>
  <c r="B112" i="9"/>
  <c r="C112" i="9"/>
  <c r="B113" i="9"/>
  <c r="C113" i="9"/>
  <c r="B114" i="9"/>
  <c r="C114" i="9"/>
  <c r="B115" i="9"/>
  <c r="C115" i="9"/>
  <c r="B116" i="9"/>
  <c r="C116" i="9"/>
  <c r="B117" i="9"/>
  <c r="C117" i="9"/>
  <c r="B118" i="9"/>
  <c r="C118" i="9"/>
  <c r="B119" i="9"/>
  <c r="C119" i="9"/>
  <c r="B120" i="9"/>
  <c r="C120" i="9"/>
  <c r="B121" i="9"/>
  <c r="C121" i="9"/>
  <c r="B122" i="9"/>
  <c r="C122" i="9"/>
  <c r="B123" i="9"/>
  <c r="C123" i="9"/>
  <c r="B124" i="9"/>
  <c r="C124" i="9"/>
  <c r="B125" i="9"/>
  <c r="C125" i="9"/>
  <c r="B126" i="9"/>
  <c r="C126" i="9"/>
  <c r="B127" i="9"/>
  <c r="C127" i="9"/>
  <c r="B128" i="9"/>
  <c r="C128" i="9"/>
  <c r="B129" i="9"/>
  <c r="C129" i="9"/>
  <c r="B130" i="9"/>
  <c r="C130" i="9"/>
  <c r="B131" i="9"/>
  <c r="C131" i="9"/>
  <c r="B132" i="9"/>
  <c r="C132" i="9"/>
  <c r="B133" i="9"/>
  <c r="C133" i="9"/>
  <c r="B134" i="9"/>
  <c r="C134" i="9"/>
  <c r="B135" i="9"/>
  <c r="C135" i="9"/>
  <c r="B136" i="9"/>
  <c r="C136" i="9"/>
  <c r="B137" i="9"/>
  <c r="C137" i="9"/>
  <c r="B138" i="9"/>
  <c r="C138" i="9"/>
  <c r="B139" i="9"/>
  <c r="C139" i="9"/>
  <c r="B140" i="9"/>
  <c r="C140" i="9"/>
  <c r="B141" i="9"/>
  <c r="C141" i="9"/>
  <c r="B142" i="9"/>
  <c r="C142" i="9"/>
  <c r="B143" i="9"/>
  <c r="C143" i="9"/>
  <c r="B144" i="9"/>
  <c r="C144" i="9"/>
  <c r="B145" i="9"/>
  <c r="C145" i="9"/>
  <c r="B146" i="9"/>
  <c r="C146" i="9"/>
  <c r="B147" i="9"/>
  <c r="C147" i="9"/>
  <c r="B148" i="9"/>
  <c r="C148" i="9"/>
  <c r="B149" i="9"/>
  <c r="C149" i="9"/>
  <c r="B150" i="9"/>
  <c r="C150" i="9"/>
  <c r="B151" i="9"/>
  <c r="C151" i="9"/>
  <c r="B152" i="9"/>
  <c r="C152" i="9"/>
  <c r="B153" i="9"/>
  <c r="C153" i="9"/>
  <c r="B154" i="9"/>
  <c r="C154" i="9"/>
  <c r="B155" i="9"/>
  <c r="C155" i="9"/>
  <c r="B156" i="9"/>
  <c r="C156" i="9"/>
  <c r="B157" i="9"/>
  <c r="C157" i="9"/>
  <c r="B158" i="9"/>
  <c r="C158" i="9"/>
  <c r="B159" i="9"/>
  <c r="C159" i="9"/>
  <c r="B160" i="9"/>
  <c r="C160" i="9"/>
  <c r="B161" i="9"/>
  <c r="C161" i="9"/>
  <c r="B162" i="9"/>
  <c r="C162" i="9"/>
  <c r="B163" i="9"/>
  <c r="C163" i="9"/>
  <c r="B164" i="9"/>
  <c r="C164" i="9"/>
  <c r="B165" i="9"/>
  <c r="C165" i="9"/>
  <c r="B166" i="9"/>
  <c r="C166" i="9"/>
  <c r="B167" i="9"/>
  <c r="C167" i="9"/>
  <c r="B168" i="9"/>
  <c r="C168" i="9"/>
  <c r="B169" i="9"/>
  <c r="C169" i="9"/>
  <c r="B170" i="9"/>
  <c r="C170" i="9"/>
  <c r="B171" i="9"/>
  <c r="C171" i="9"/>
  <c r="B172" i="9"/>
  <c r="C172" i="9"/>
  <c r="B173" i="9"/>
  <c r="C173" i="9"/>
  <c r="B174" i="9"/>
  <c r="C174" i="9"/>
  <c r="B175" i="9"/>
  <c r="C175" i="9"/>
  <c r="B176" i="9"/>
  <c r="C176" i="9"/>
  <c r="B177" i="9"/>
  <c r="C177" i="9"/>
  <c r="B178" i="9"/>
  <c r="C178" i="9"/>
  <c r="B179" i="9"/>
  <c r="C179" i="9"/>
  <c r="B180" i="9"/>
  <c r="C180" i="9"/>
  <c r="B181" i="9"/>
  <c r="C181" i="9"/>
  <c r="B182" i="9"/>
  <c r="C182" i="9"/>
  <c r="B183" i="9"/>
  <c r="C183" i="9"/>
  <c r="B184" i="9"/>
  <c r="C184" i="9"/>
  <c r="B185" i="9"/>
  <c r="C185" i="9"/>
  <c r="B186" i="9"/>
  <c r="C186" i="9"/>
  <c r="B187" i="9"/>
  <c r="C187" i="9"/>
  <c r="B188" i="9"/>
  <c r="C188" i="9"/>
  <c r="B189" i="9"/>
  <c r="C189" i="9"/>
  <c r="B190" i="9"/>
  <c r="C190" i="9"/>
  <c r="B191" i="9"/>
  <c r="C191" i="9"/>
  <c r="B192" i="9"/>
  <c r="C192" i="9"/>
  <c r="B193" i="9"/>
  <c r="C193" i="9"/>
  <c r="B194" i="9"/>
  <c r="C194" i="9"/>
  <c r="B195" i="9"/>
  <c r="C195" i="9"/>
  <c r="B196" i="9"/>
  <c r="C196" i="9"/>
  <c r="B197" i="9"/>
  <c r="C197" i="9"/>
  <c r="B198" i="9"/>
  <c r="C198" i="9"/>
  <c r="B199" i="9"/>
  <c r="C199" i="9"/>
  <c r="B200" i="9"/>
  <c r="C200" i="9"/>
  <c r="B201" i="9"/>
  <c r="C201" i="9"/>
  <c r="B202" i="9"/>
  <c r="C202" i="9"/>
  <c r="B203" i="9"/>
  <c r="C203" i="9"/>
  <c r="B204" i="9"/>
  <c r="C204" i="9"/>
  <c r="B205" i="9"/>
  <c r="C205" i="9"/>
  <c r="B206" i="9"/>
  <c r="C206" i="9"/>
  <c r="B207" i="9"/>
  <c r="C207" i="9"/>
  <c r="B208" i="9"/>
  <c r="C208" i="9"/>
  <c r="B209" i="9"/>
  <c r="C209" i="9"/>
  <c r="B210" i="9"/>
  <c r="C210" i="9"/>
  <c r="B211" i="9"/>
  <c r="C211" i="9"/>
  <c r="B212" i="9"/>
  <c r="C212" i="9"/>
  <c r="B213" i="9"/>
  <c r="C213" i="9"/>
  <c r="B214" i="9"/>
  <c r="C214" i="9"/>
  <c r="B215" i="9"/>
  <c r="C215" i="9"/>
  <c r="B216" i="9"/>
  <c r="C216" i="9"/>
  <c r="B217" i="9"/>
  <c r="C217" i="9"/>
  <c r="B218" i="9"/>
  <c r="C218" i="9"/>
  <c r="B219" i="9"/>
  <c r="C219" i="9"/>
  <c r="B220" i="9"/>
  <c r="C220" i="9"/>
  <c r="B221" i="9"/>
  <c r="C221" i="9"/>
  <c r="B222" i="9"/>
  <c r="C222" i="9"/>
  <c r="B223" i="9"/>
  <c r="C223" i="9"/>
  <c r="B224" i="9"/>
  <c r="C224" i="9"/>
  <c r="B225" i="9"/>
  <c r="C225" i="9"/>
  <c r="B226" i="9"/>
  <c r="C226" i="9"/>
  <c r="B227" i="9"/>
  <c r="C227" i="9"/>
  <c r="B228" i="9"/>
  <c r="C228" i="9"/>
  <c r="B229" i="9"/>
  <c r="C229" i="9"/>
  <c r="B230" i="9"/>
  <c r="C230" i="9"/>
  <c r="B231" i="9"/>
  <c r="C231" i="9"/>
  <c r="B232" i="9"/>
  <c r="C232" i="9"/>
  <c r="B233" i="9"/>
  <c r="C233" i="9"/>
  <c r="B234" i="9"/>
  <c r="C234" i="9"/>
  <c r="B235" i="9"/>
  <c r="C235" i="9"/>
  <c r="B236" i="9"/>
  <c r="C236" i="9"/>
  <c r="B237" i="9"/>
  <c r="C237" i="9"/>
  <c r="B238" i="9"/>
  <c r="C238" i="9"/>
  <c r="B239" i="9"/>
  <c r="C239" i="9"/>
  <c r="B240" i="9"/>
  <c r="C240" i="9"/>
  <c r="B241" i="9"/>
  <c r="C241" i="9"/>
  <c r="B242" i="9"/>
  <c r="C242" i="9"/>
  <c r="B243" i="9"/>
  <c r="C243" i="9"/>
  <c r="B244" i="9"/>
  <c r="C244" i="9"/>
  <c r="B245" i="9"/>
  <c r="C245" i="9"/>
  <c r="B246" i="9"/>
  <c r="C246" i="9"/>
  <c r="B247" i="9"/>
  <c r="C247" i="9"/>
  <c r="B248" i="9"/>
  <c r="C248" i="9"/>
  <c r="B249" i="9"/>
  <c r="C249" i="9"/>
  <c r="B250" i="9"/>
  <c r="C250" i="9"/>
  <c r="B251" i="9"/>
  <c r="C251" i="9"/>
  <c r="B252" i="9"/>
  <c r="C252" i="9"/>
  <c r="B253" i="9"/>
  <c r="C253" i="9"/>
  <c r="B254" i="9"/>
  <c r="C254" i="9"/>
  <c r="B255" i="9"/>
  <c r="C255" i="9"/>
  <c r="B256" i="9"/>
  <c r="C256" i="9"/>
  <c r="B257" i="9"/>
  <c r="C257" i="9"/>
  <c r="B258" i="9"/>
  <c r="C258" i="9"/>
  <c r="B259" i="9"/>
  <c r="C259" i="9"/>
  <c r="B260" i="9"/>
  <c r="C260" i="9"/>
  <c r="B261" i="9"/>
  <c r="C261" i="9"/>
  <c r="B262" i="9"/>
  <c r="C262" i="9"/>
  <c r="B263" i="9"/>
  <c r="C263" i="9"/>
  <c r="B264" i="9"/>
  <c r="C264" i="9"/>
  <c r="B265" i="9"/>
  <c r="C265" i="9"/>
  <c r="B266" i="9"/>
  <c r="C266" i="9"/>
  <c r="B267" i="9"/>
  <c r="C267" i="9"/>
  <c r="B268" i="9"/>
  <c r="C268" i="9"/>
  <c r="B269" i="9"/>
  <c r="C269" i="9"/>
  <c r="B270" i="9"/>
  <c r="C270" i="9"/>
  <c r="B271" i="9"/>
  <c r="C271" i="9"/>
  <c r="B272" i="9"/>
  <c r="C272" i="9"/>
  <c r="B273" i="9"/>
  <c r="C273" i="9"/>
  <c r="B274" i="9"/>
  <c r="C274" i="9"/>
  <c r="B275" i="9"/>
  <c r="C275" i="9"/>
  <c r="B276" i="9"/>
  <c r="C276" i="9"/>
  <c r="B277" i="9"/>
  <c r="C277" i="9"/>
  <c r="B278" i="9"/>
  <c r="C278" i="9"/>
  <c r="B279" i="9"/>
  <c r="C279" i="9"/>
  <c r="B280" i="9"/>
  <c r="C280" i="9"/>
  <c r="B281" i="9"/>
  <c r="C281" i="9"/>
  <c r="B282" i="9"/>
  <c r="C282" i="9"/>
  <c r="B283" i="9"/>
  <c r="C283" i="9"/>
  <c r="B284" i="9"/>
  <c r="C284" i="9"/>
  <c r="B285" i="9"/>
  <c r="C285" i="9"/>
  <c r="B286" i="9"/>
  <c r="C286" i="9"/>
  <c r="B287" i="9"/>
  <c r="C287" i="9"/>
  <c r="B288" i="9"/>
  <c r="C288" i="9"/>
  <c r="B289" i="9"/>
  <c r="C289" i="9"/>
  <c r="B290" i="9"/>
  <c r="C290" i="9"/>
  <c r="B291" i="9"/>
  <c r="C291" i="9"/>
  <c r="B292" i="9"/>
  <c r="C292" i="9"/>
  <c r="B293" i="9"/>
  <c r="C293" i="9"/>
  <c r="B294" i="9"/>
  <c r="C294" i="9"/>
  <c r="B295" i="9"/>
  <c r="C295" i="9"/>
  <c r="B296" i="9"/>
  <c r="C296" i="9"/>
  <c r="B297" i="9"/>
  <c r="C297" i="9"/>
  <c r="B298" i="9"/>
  <c r="C298" i="9"/>
  <c r="B299" i="9"/>
  <c r="C299" i="9"/>
  <c r="B300" i="9"/>
  <c r="C300" i="9"/>
  <c r="B301" i="9"/>
  <c r="C301" i="9"/>
  <c r="B302" i="9"/>
  <c r="C302" i="9"/>
  <c r="B303" i="9"/>
  <c r="C303" i="9"/>
  <c r="B304" i="9"/>
  <c r="C304" i="9"/>
  <c r="B305" i="9"/>
  <c r="C305" i="9"/>
  <c r="B306" i="9"/>
  <c r="C306" i="9"/>
  <c r="B307" i="9"/>
  <c r="C307" i="9"/>
  <c r="B308" i="9"/>
  <c r="C308" i="9"/>
  <c r="B309" i="9"/>
  <c r="C309" i="9"/>
  <c r="B310" i="9"/>
  <c r="C310" i="9"/>
  <c r="B311" i="9"/>
  <c r="C311" i="9"/>
  <c r="B312" i="9"/>
  <c r="C312" i="9"/>
  <c r="B313" i="9"/>
  <c r="C313" i="9"/>
  <c r="B314" i="9"/>
  <c r="C314" i="9"/>
  <c r="B315" i="9"/>
  <c r="C315" i="9"/>
  <c r="B316" i="9"/>
  <c r="C316" i="9"/>
  <c r="B317" i="9"/>
  <c r="C317" i="9"/>
  <c r="B318" i="9"/>
  <c r="C318" i="9"/>
  <c r="B319" i="9"/>
  <c r="C319" i="9"/>
  <c r="B320" i="9"/>
  <c r="C320" i="9"/>
  <c r="B321" i="9"/>
  <c r="C321" i="9"/>
  <c r="B322" i="9"/>
  <c r="C322" i="9"/>
  <c r="B323" i="9"/>
  <c r="C323" i="9"/>
  <c r="B324" i="9"/>
  <c r="C324" i="9"/>
  <c r="B325" i="9"/>
  <c r="C325" i="9"/>
  <c r="B326" i="9"/>
  <c r="C326" i="9"/>
  <c r="B327" i="9"/>
  <c r="C327" i="9"/>
  <c r="B328" i="9"/>
  <c r="C328" i="9"/>
  <c r="B329" i="9"/>
  <c r="C329" i="9"/>
  <c r="B330" i="9"/>
  <c r="C330" i="9"/>
  <c r="B331" i="9"/>
  <c r="C331" i="9"/>
  <c r="B332" i="9"/>
  <c r="C332" i="9"/>
  <c r="B333" i="9"/>
  <c r="C333" i="9"/>
  <c r="B334" i="9"/>
  <c r="C334" i="9"/>
  <c r="B335" i="9"/>
  <c r="C335" i="9"/>
  <c r="B336" i="9"/>
  <c r="C336" i="9"/>
  <c r="B337" i="9"/>
  <c r="C337" i="9"/>
  <c r="B338" i="9"/>
  <c r="C338" i="9"/>
  <c r="B339" i="9"/>
  <c r="C339" i="9"/>
  <c r="B340" i="9"/>
  <c r="C340" i="9"/>
  <c r="B341" i="9"/>
  <c r="C341" i="9"/>
  <c r="B342" i="9"/>
  <c r="C342" i="9"/>
  <c r="B343" i="9"/>
  <c r="C343" i="9"/>
  <c r="B344" i="9"/>
  <c r="C344" i="9"/>
  <c r="B345" i="9"/>
  <c r="C345" i="9"/>
  <c r="B346" i="9"/>
  <c r="C346" i="9"/>
  <c r="B347" i="9"/>
  <c r="C347" i="9"/>
  <c r="B348" i="9"/>
  <c r="C348" i="9"/>
  <c r="B349" i="9"/>
  <c r="C349" i="9"/>
  <c r="B350" i="9"/>
  <c r="C350" i="9"/>
  <c r="B351" i="9"/>
  <c r="C351" i="9"/>
  <c r="B352" i="9"/>
  <c r="C352" i="9"/>
  <c r="B353" i="9"/>
  <c r="C353" i="9"/>
  <c r="B354" i="9"/>
  <c r="C354" i="9"/>
  <c r="B355" i="9"/>
  <c r="C355" i="9"/>
  <c r="B356" i="9"/>
  <c r="C356" i="9"/>
  <c r="B357" i="9"/>
  <c r="C357" i="9"/>
  <c r="B358" i="9"/>
  <c r="C358" i="9"/>
  <c r="B359" i="9"/>
  <c r="C359" i="9"/>
  <c r="B360" i="9"/>
  <c r="C360" i="9"/>
  <c r="B361" i="9"/>
  <c r="C361" i="9"/>
  <c r="B362" i="9"/>
  <c r="C362" i="9"/>
  <c r="B363" i="9"/>
  <c r="C363" i="9"/>
  <c r="B364" i="9"/>
  <c r="C364" i="9"/>
  <c r="B365" i="9"/>
  <c r="C365" i="9"/>
  <c r="B366" i="9"/>
  <c r="C366" i="9"/>
  <c r="B367" i="9"/>
  <c r="C367" i="9"/>
  <c r="B368" i="9"/>
  <c r="C368" i="9"/>
  <c r="B369" i="9"/>
  <c r="C369" i="9"/>
  <c r="B370" i="9"/>
  <c r="C370" i="9"/>
  <c r="B371" i="9"/>
  <c r="C371" i="9"/>
  <c r="B372" i="9"/>
  <c r="C372" i="9"/>
  <c r="B373" i="9"/>
  <c r="C373" i="9"/>
  <c r="B374" i="9"/>
  <c r="C374" i="9"/>
  <c r="B375" i="9"/>
  <c r="C375" i="9"/>
  <c r="B376" i="9"/>
  <c r="C376" i="9"/>
  <c r="B377" i="9"/>
  <c r="C377" i="9"/>
  <c r="B378" i="9"/>
  <c r="C378" i="9"/>
  <c r="B379" i="9"/>
  <c r="C379" i="9"/>
  <c r="B380" i="9"/>
  <c r="C380" i="9"/>
  <c r="B381" i="9"/>
  <c r="C381" i="9"/>
  <c r="B382" i="9"/>
  <c r="C382" i="9"/>
  <c r="B383" i="9"/>
  <c r="C383" i="9"/>
  <c r="B384" i="9"/>
  <c r="C384" i="9"/>
  <c r="B385" i="9"/>
  <c r="C385" i="9"/>
  <c r="B386" i="9"/>
  <c r="C386" i="9"/>
  <c r="B387" i="9"/>
  <c r="C387" i="9"/>
  <c r="B388" i="9"/>
  <c r="C388" i="9"/>
  <c r="B389" i="9"/>
  <c r="C389" i="9"/>
  <c r="B390" i="9"/>
  <c r="C390" i="9"/>
  <c r="B391" i="9"/>
  <c r="C391" i="9"/>
  <c r="B392" i="9"/>
  <c r="C392" i="9"/>
  <c r="B393" i="9"/>
  <c r="C393" i="9"/>
  <c r="B394" i="9"/>
  <c r="C394" i="9"/>
  <c r="B395" i="9"/>
  <c r="C395" i="9"/>
  <c r="B396" i="9"/>
  <c r="C396" i="9"/>
  <c r="B397" i="9"/>
  <c r="C397" i="9"/>
  <c r="B398" i="9"/>
  <c r="C398" i="9"/>
  <c r="B399" i="9"/>
  <c r="C399" i="9"/>
  <c r="B400" i="9"/>
  <c r="C400" i="9"/>
  <c r="B401" i="9"/>
  <c r="C401" i="9"/>
  <c r="B402" i="9"/>
  <c r="C402" i="9"/>
  <c r="B403" i="9"/>
  <c r="C403" i="9"/>
  <c r="B404" i="9"/>
  <c r="C404" i="9"/>
  <c r="B405" i="9"/>
  <c r="C405" i="9"/>
  <c r="B406" i="9"/>
  <c r="C406" i="9"/>
  <c r="B407" i="9"/>
  <c r="C407" i="9"/>
  <c r="B408" i="9"/>
  <c r="C408" i="9"/>
  <c r="B409" i="9"/>
  <c r="C409" i="9"/>
  <c r="B410" i="9"/>
  <c r="C410" i="9"/>
  <c r="B411" i="9"/>
  <c r="C411" i="9"/>
  <c r="B412" i="9"/>
  <c r="C412" i="9"/>
  <c r="B413" i="9"/>
  <c r="C413" i="9"/>
  <c r="B414" i="9"/>
  <c r="C414" i="9"/>
  <c r="B415" i="9"/>
  <c r="C415" i="9"/>
  <c r="B416" i="9"/>
  <c r="C416" i="9"/>
  <c r="B417" i="9"/>
  <c r="C417" i="9"/>
  <c r="B418" i="9"/>
  <c r="C418" i="9"/>
  <c r="B419" i="9"/>
  <c r="C419" i="9"/>
  <c r="B420" i="9"/>
  <c r="C420" i="9"/>
  <c r="B421" i="9"/>
  <c r="C421" i="9"/>
  <c r="B422" i="9"/>
  <c r="C422" i="9"/>
  <c r="B423" i="9"/>
  <c r="C423" i="9"/>
  <c r="B424" i="9"/>
  <c r="C424" i="9"/>
  <c r="B425" i="9"/>
  <c r="C425" i="9"/>
  <c r="B426" i="9"/>
  <c r="C426" i="9"/>
  <c r="B427" i="9"/>
  <c r="C427" i="9"/>
  <c r="B428" i="9"/>
  <c r="C428" i="9"/>
  <c r="B429" i="9"/>
  <c r="C429" i="9"/>
  <c r="B430" i="9"/>
  <c r="C430" i="9"/>
  <c r="B431" i="9"/>
  <c r="C431" i="9"/>
  <c r="B432" i="9"/>
  <c r="C432" i="9"/>
  <c r="B433" i="9"/>
  <c r="C433" i="9"/>
  <c r="B434" i="9"/>
  <c r="C434" i="9"/>
  <c r="B435" i="9"/>
  <c r="C435" i="9"/>
  <c r="B436" i="9"/>
  <c r="C436" i="9"/>
  <c r="B437" i="9"/>
  <c r="C437" i="9"/>
  <c r="B438" i="9"/>
  <c r="C438" i="9"/>
  <c r="B439" i="9"/>
  <c r="C439" i="9"/>
  <c r="B440" i="9"/>
  <c r="C440" i="9"/>
  <c r="B441" i="9"/>
  <c r="C441" i="9"/>
  <c r="B442" i="9"/>
  <c r="C442" i="9"/>
  <c r="B443" i="9"/>
  <c r="C443" i="9"/>
  <c r="B444" i="9"/>
  <c r="C444" i="9"/>
  <c r="B445" i="9"/>
  <c r="C445" i="9"/>
  <c r="B446" i="9"/>
  <c r="C446" i="9"/>
  <c r="B447" i="9"/>
  <c r="C447" i="9"/>
  <c r="B448" i="9"/>
  <c r="C448" i="9"/>
  <c r="B449" i="9"/>
  <c r="C449" i="9"/>
  <c r="B450" i="9"/>
  <c r="C450" i="9"/>
  <c r="B451" i="9"/>
  <c r="C451" i="9"/>
  <c r="B452" i="9"/>
  <c r="C452" i="9"/>
  <c r="B453" i="9"/>
  <c r="C453" i="9"/>
  <c r="B454" i="9"/>
  <c r="C454" i="9"/>
  <c r="B455" i="9"/>
  <c r="C455" i="9"/>
  <c r="B456" i="9"/>
  <c r="C456" i="9"/>
  <c r="B457" i="9"/>
  <c r="C457" i="9"/>
  <c r="B458" i="9"/>
  <c r="C458" i="9"/>
  <c r="B459" i="9"/>
  <c r="C459" i="9"/>
  <c r="B460" i="9"/>
  <c r="C460" i="9"/>
  <c r="B461" i="9"/>
  <c r="C461" i="9"/>
  <c r="B462" i="9"/>
  <c r="C462" i="9"/>
  <c r="B463" i="9"/>
  <c r="C463" i="9"/>
  <c r="B464" i="9"/>
  <c r="C464" i="9"/>
  <c r="B465" i="9"/>
  <c r="C465" i="9"/>
  <c r="B466" i="9"/>
  <c r="C466" i="9"/>
  <c r="B467" i="9"/>
  <c r="C467" i="9"/>
  <c r="B468" i="9"/>
  <c r="C468" i="9"/>
  <c r="B469" i="9"/>
  <c r="C469" i="9"/>
  <c r="B470" i="9"/>
  <c r="C470" i="9"/>
  <c r="B471" i="9"/>
  <c r="C471" i="9"/>
  <c r="B472" i="9"/>
  <c r="C472" i="9"/>
  <c r="B473" i="9"/>
  <c r="C473" i="9"/>
  <c r="B474" i="9"/>
  <c r="C474" i="9"/>
  <c r="B475" i="9"/>
  <c r="C475" i="9"/>
  <c r="B476" i="9"/>
  <c r="C476" i="9"/>
  <c r="B477" i="9"/>
  <c r="C477" i="9"/>
  <c r="B478" i="9"/>
  <c r="C478" i="9"/>
  <c r="B479" i="9"/>
  <c r="C479" i="9"/>
  <c r="B480" i="9"/>
  <c r="C480" i="9"/>
  <c r="B481" i="9"/>
  <c r="C481" i="9"/>
  <c r="B482" i="9"/>
  <c r="C482" i="9"/>
  <c r="B483" i="9"/>
  <c r="C483" i="9"/>
  <c r="B484" i="9"/>
  <c r="C484" i="9"/>
  <c r="B485" i="9"/>
  <c r="C485" i="9"/>
  <c r="B486" i="9"/>
  <c r="C486" i="9"/>
  <c r="B487" i="9"/>
  <c r="C487" i="9"/>
  <c r="B488" i="9"/>
  <c r="C488" i="9"/>
  <c r="B489" i="9"/>
  <c r="C489" i="9"/>
  <c r="B490" i="9"/>
  <c r="C490" i="9"/>
  <c r="B491" i="9"/>
  <c r="C491" i="9"/>
  <c r="B492" i="9"/>
  <c r="C492" i="9"/>
  <c r="B493" i="9"/>
  <c r="C493" i="9"/>
  <c r="B494" i="9"/>
  <c r="C494" i="9"/>
  <c r="B495" i="9"/>
  <c r="C495" i="9"/>
  <c r="B496" i="9"/>
  <c r="C496" i="9"/>
  <c r="B497" i="9"/>
  <c r="C497" i="9"/>
  <c r="B498" i="9"/>
  <c r="C498" i="9"/>
  <c r="B499" i="9"/>
  <c r="C499" i="9"/>
  <c r="B500" i="9"/>
  <c r="C500" i="9"/>
  <c r="B501" i="9"/>
  <c r="C501" i="9"/>
  <c r="B502" i="9"/>
  <c r="C502" i="9"/>
  <c r="B503" i="9"/>
  <c r="C503" i="9"/>
  <c r="B504" i="9"/>
  <c r="C504" i="9"/>
  <c r="B505" i="9"/>
  <c r="C505" i="9"/>
  <c r="B506" i="9"/>
  <c r="C506" i="9"/>
  <c r="B507" i="9"/>
  <c r="C507" i="9"/>
  <c r="B508" i="9"/>
  <c r="C508" i="9"/>
  <c r="B509" i="9"/>
  <c r="C509" i="9"/>
  <c r="B510" i="9"/>
  <c r="C510" i="9"/>
  <c r="B511" i="9"/>
  <c r="C511" i="9"/>
  <c r="B512" i="9"/>
  <c r="C512" i="9"/>
  <c r="B513" i="9"/>
  <c r="C513" i="9"/>
  <c r="B514" i="9"/>
  <c r="C514" i="9"/>
  <c r="B515" i="9"/>
  <c r="C515" i="9"/>
  <c r="B516" i="9"/>
  <c r="C516" i="9"/>
  <c r="B517" i="9"/>
  <c r="C517" i="9"/>
  <c r="B518" i="9"/>
  <c r="C518" i="9"/>
  <c r="B519" i="9"/>
  <c r="C519" i="9"/>
  <c r="B520" i="9"/>
  <c r="C520" i="9"/>
  <c r="B521" i="9"/>
  <c r="C521" i="9"/>
  <c r="B522" i="9"/>
  <c r="C522" i="9"/>
  <c r="B523" i="9"/>
  <c r="C523" i="9"/>
  <c r="B524" i="9"/>
  <c r="C524" i="9"/>
  <c r="B525" i="9"/>
  <c r="C525" i="9"/>
  <c r="B526" i="9"/>
  <c r="C526" i="9"/>
  <c r="B527" i="9"/>
  <c r="C527" i="9"/>
  <c r="B528" i="9"/>
  <c r="C528" i="9"/>
  <c r="B529" i="9"/>
  <c r="C529" i="9"/>
  <c r="B530" i="9"/>
  <c r="C530" i="9"/>
  <c r="B531" i="9"/>
  <c r="C531" i="9"/>
  <c r="B532" i="9"/>
  <c r="C532" i="9"/>
  <c r="B533" i="9"/>
  <c r="C533" i="9"/>
  <c r="B534" i="9"/>
  <c r="C534" i="9"/>
  <c r="B535" i="9"/>
  <c r="C535" i="9"/>
  <c r="B536" i="9"/>
  <c r="C536" i="9"/>
  <c r="B537" i="9"/>
  <c r="C537" i="9"/>
  <c r="B538" i="9"/>
  <c r="C538" i="9"/>
  <c r="B539" i="9"/>
  <c r="C539" i="9"/>
  <c r="B540" i="9"/>
  <c r="C540" i="9"/>
  <c r="B541" i="9"/>
  <c r="C541" i="9"/>
  <c r="B542" i="9"/>
  <c r="C542" i="9"/>
  <c r="B543" i="9"/>
  <c r="C543" i="9"/>
  <c r="B544" i="9"/>
  <c r="C544" i="9"/>
  <c r="B545" i="9"/>
  <c r="C545" i="9"/>
  <c r="B546" i="9"/>
  <c r="C546" i="9"/>
  <c r="B547" i="9"/>
  <c r="C547" i="9"/>
  <c r="B548" i="9"/>
  <c r="C548" i="9"/>
  <c r="B549" i="9"/>
  <c r="C549" i="9"/>
  <c r="B550" i="9"/>
  <c r="C550" i="9"/>
  <c r="B551" i="9"/>
  <c r="C551" i="9"/>
  <c r="B552" i="9"/>
  <c r="C552" i="9"/>
  <c r="B553" i="9"/>
  <c r="C553" i="9"/>
  <c r="B554" i="9"/>
  <c r="C554" i="9"/>
  <c r="B555" i="9"/>
  <c r="C555" i="9"/>
  <c r="B556" i="9"/>
  <c r="C556" i="9"/>
  <c r="B557" i="9"/>
  <c r="C557" i="9"/>
  <c r="B558" i="9"/>
  <c r="C558" i="9"/>
  <c r="B559" i="9"/>
  <c r="C559" i="9"/>
  <c r="B560" i="9"/>
  <c r="C560" i="9"/>
  <c r="B561" i="9"/>
  <c r="C561" i="9"/>
  <c r="B562" i="9"/>
  <c r="C562" i="9"/>
  <c r="B563" i="9"/>
  <c r="C563" i="9"/>
  <c r="B564" i="9"/>
  <c r="C564" i="9"/>
  <c r="B565" i="9"/>
  <c r="C565" i="9"/>
  <c r="B566" i="9"/>
  <c r="C566" i="9"/>
  <c r="B567" i="9"/>
  <c r="C567" i="9"/>
  <c r="B568" i="9"/>
  <c r="C568" i="9"/>
  <c r="B569" i="9"/>
  <c r="C569" i="9"/>
  <c r="B570" i="9"/>
  <c r="C570" i="9"/>
  <c r="B571" i="9"/>
  <c r="C571" i="9"/>
  <c r="B572" i="9"/>
  <c r="C572" i="9"/>
  <c r="B573" i="9"/>
  <c r="C573" i="9"/>
  <c r="B574" i="9"/>
  <c r="C574" i="9"/>
  <c r="B575" i="9"/>
  <c r="C575" i="9"/>
  <c r="B576" i="9"/>
  <c r="C576" i="9"/>
  <c r="B577" i="9"/>
  <c r="C577" i="9"/>
  <c r="B578" i="9"/>
  <c r="C578" i="9"/>
  <c r="B579" i="9"/>
  <c r="C579" i="9"/>
  <c r="B580" i="9"/>
  <c r="C580" i="9"/>
  <c r="B581" i="9"/>
  <c r="C581" i="9"/>
  <c r="B582" i="9"/>
  <c r="C582" i="9"/>
  <c r="B583" i="9"/>
  <c r="C583" i="9"/>
  <c r="B584" i="9"/>
  <c r="C584" i="9"/>
  <c r="B585" i="9"/>
  <c r="C585" i="9"/>
  <c r="B586" i="9"/>
  <c r="C586" i="9"/>
  <c r="B587" i="9"/>
  <c r="C587" i="9"/>
  <c r="B588" i="9"/>
  <c r="C588" i="9"/>
  <c r="B589" i="9"/>
  <c r="C589" i="9"/>
  <c r="B590" i="9"/>
  <c r="C590" i="9"/>
  <c r="B591" i="9"/>
  <c r="C591" i="9"/>
  <c r="B592" i="9"/>
  <c r="C592" i="9"/>
  <c r="B593" i="9"/>
  <c r="C593" i="9"/>
  <c r="B594" i="9"/>
  <c r="C594" i="9"/>
  <c r="B595" i="9"/>
  <c r="C595" i="9"/>
  <c r="B596" i="9"/>
  <c r="C596" i="9"/>
  <c r="B597" i="9"/>
  <c r="C597" i="9"/>
  <c r="B598" i="9"/>
  <c r="C598" i="9"/>
  <c r="B599" i="9"/>
  <c r="C599" i="9"/>
  <c r="B600" i="9"/>
  <c r="C600" i="9"/>
  <c r="B601" i="9"/>
  <c r="C601" i="9"/>
  <c r="B602" i="9"/>
  <c r="C602" i="9"/>
  <c r="B603" i="9"/>
  <c r="C603" i="9"/>
  <c r="B604" i="9"/>
  <c r="C604" i="9"/>
  <c r="B605" i="9"/>
  <c r="C605" i="9"/>
  <c r="B606" i="9"/>
  <c r="C606" i="9"/>
  <c r="B607" i="9"/>
  <c r="C607" i="9"/>
  <c r="B608" i="9"/>
  <c r="C608" i="9"/>
  <c r="B609" i="9"/>
  <c r="C609" i="9"/>
  <c r="B610" i="9"/>
  <c r="C610" i="9"/>
  <c r="B611" i="9"/>
  <c r="C611" i="9"/>
  <c r="B612" i="9"/>
  <c r="C612" i="9"/>
  <c r="B613" i="9"/>
  <c r="C613" i="9"/>
  <c r="B614" i="9"/>
  <c r="C614" i="9"/>
  <c r="B615" i="9"/>
  <c r="C615" i="9"/>
  <c r="B616" i="9"/>
  <c r="C616" i="9"/>
  <c r="B617" i="9"/>
  <c r="C617" i="9"/>
  <c r="B618" i="9"/>
  <c r="C618" i="9"/>
  <c r="B619" i="9"/>
  <c r="C619" i="9"/>
  <c r="B620" i="9"/>
  <c r="C620" i="9"/>
  <c r="B621" i="9"/>
  <c r="C621" i="9"/>
  <c r="B622" i="9"/>
  <c r="C622" i="9"/>
  <c r="B623" i="9"/>
  <c r="C623" i="9"/>
  <c r="B624" i="9"/>
  <c r="C624" i="9"/>
  <c r="B625" i="9"/>
  <c r="C625" i="9"/>
  <c r="B626" i="9"/>
  <c r="C626" i="9"/>
  <c r="B627" i="9"/>
  <c r="C627" i="9"/>
  <c r="B628" i="9"/>
  <c r="C628" i="9"/>
  <c r="B629" i="9"/>
  <c r="C629" i="9"/>
  <c r="B630" i="9"/>
  <c r="C630" i="9"/>
  <c r="B631" i="9"/>
  <c r="C631" i="9"/>
  <c r="B632" i="9"/>
  <c r="C632" i="9"/>
  <c r="B633" i="9"/>
  <c r="C633" i="9"/>
  <c r="B634" i="9"/>
  <c r="C634" i="9"/>
  <c r="B635" i="9"/>
  <c r="C635" i="9"/>
  <c r="B636" i="9"/>
  <c r="C636" i="9"/>
  <c r="B637" i="9"/>
  <c r="C637" i="9"/>
  <c r="B638" i="9"/>
  <c r="C638" i="9"/>
  <c r="B639" i="9"/>
  <c r="C639" i="9"/>
  <c r="B640" i="9"/>
  <c r="C640" i="9"/>
  <c r="B641" i="9"/>
  <c r="C641" i="9"/>
  <c r="B642" i="9"/>
  <c r="C642" i="9"/>
  <c r="B643" i="9"/>
  <c r="C643" i="9"/>
  <c r="B644" i="9"/>
  <c r="C644" i="9"/>
  <c r="B645" i="9"/>
  <c r="C645" i="9"/>
  <c r="B646" i="9"/>
  <c r="C646" i="9"/>
  <c r="B647" i="9"/>
  <c r="C647" i="9"/>
  <c r="B648" i="9"/>
  <c r="C648" i="9"/>
  <c r="B649" i="9"/>
  <c r="C649" i="9"/>
  <c r="B650" i="9"/>
  <c r="C650" i="9"/>
  <c r="B651" i="9"/>
  <c r="C651" i="9"/>
  <c r="B652" i="9"/>
  <c r="C652" i="9"/>
  <c r="B653" i="9"/>
  <c r="C653" i="9"/>
  <c r="B654" i="9"/>
  <c r="C654" i="9"/>
  <c r="B655" i="9"/>
  <c r="C655" i="9"/>
  <c r="B656" i="9"/>
  <c r="C656" i="9"/>
  <c r="B657" i="9"/>
  <c r="C657" i="9"/>
  <c r="B658" i="9"/>
  <c r="C658" i="9"/>
  <c r="B659" i="9"/>
  <c r="C659" i="9"/>
  <c r="B660" i="9"/>
  <c r="C660" i="9"/>
  <c r="B661" i="9"/>
  <c r="C661" i="9"/>
  <c r="B662" i="9"/>
  <c r="C662" i="9"/>
  <c r="B663" i="9"/>
  <c r="C663" i="9"/>
  <c r="B664" i="9"/>
  <c r="C664" i="9"/>
  <c r="B665" i="9"/>
  <c r="C665" i="9"/>
  <c r="B666" i="9"/>
  <c r="C666" i="9"/>
  <c r="B667" i="9"/>
  <c r="C667" i="9"/>
  <c r="B668" i="9"/>
  <c r="C668" i="9"/>
  <c r="B669" i="9"/>
  <c r="C669" i="9"/>
  <c r="B670" i="9"/>
  <c r="C670" i="9"/>
  <c r="B671" i="9"/>
  <c r="C671" i="9"/>
  <c r="B672" i="9"/>
  <c r="C672" i="9"/>
  <c r="B673" i="9"/>
  <c r="C673" i="9"/>
  <c r="B674" i="9"/>
  <c r="C674" i="9"/>
  <c r="B675" i="9"/>
  <c r="C675" i="9"/>
  <c r="B676" i="9"/>
  <c r="C676" i="9"/>
  <c r="B677" i="9"/>
  <c r="C677" i="9"/>
  <c r="B678" i="9"/>
  <c r="C678" i="9"/>
  <c r="B679" i="9"/>
  <c r="C679" i="9"/>
  <c r="B680" i="9"/>
  <c r="C680" i="9"/>
  <c r="B681" i="9"/>
  <c r="C681" i="9"/>
  <c r="B682" i="9"/>
  <c r="C682" i="9"/>
  <c r="B683" i="9"/>
  <c r="C683" i="9"/>
  <c r="B684" i="9"/>
  <c r="C684" i="9"/>
  <c r="B685" i="9"/>
  <c r="C685" i="9"/>
  <c r="B686" i="9"/>
  <c r="C686" i="9"/>
  <c r="B687" i="9"/>
  <c r="C687" i="9"/>
  <c r="B688" i="9"/>
  <c r="C688" i="9"/>
  <c r="B689" i="9"/>
  <c r="C689" i="9"/>
  <c r="B690" i="9"/>
  <c r="C690" i="9"/>
  <c r="B691" i="9"/>
  <c r="C691" i="9"/>
  <c r="B692" i="9"/>
  <c r="C692" i="9"/>
  <c r="B693" i="9"/>
  <c r="C693" i="9"/>
  <c r="B694" i="9"/>
  <c r="C694" i="9"/>
  <c r="B695" i="9"/>
  <c r="C695" i="9"/>
  <c r="B696" i="9"/>
  <c r="C696" i="9"/>
  <c r="B697" i="9"/>
  <c r="C697" i="9"/>
  <c r="B698" i="9"/>
  <c r="C698" i="9"/>
  <c r="B699" i="9"/>
  <c r="C699" i="9"/>
  <c r="B700" i="9"/>
  <c r="C700" i="9"/>
  <c r="B701" i="9"/>
  <c r="C701" i="9"/>
  <c r="B702" i="9"/>
  <c r="C702" i="9"/>
  <c r="B703" i="9"/>
  <c r="C703" i="9"/>
  <c r="B704" i="9"/>
  <c r="C704" i="9"/>
  <c r="B705" i="9"/>
  <c r="C705" i="9"/>
  <c r="B706" i="9"/>
  <c r="C706" i="9"/>
  <c r="B707" i="9"/>
  <c r="C707" i="9"/>
  <c r="B708" i="9"/>
  <c r="C708" i="9"/>
  <c r="B709" i="9"/>
  <c r="C709" i="9"/>
  <c r="B710" i="9"/>
  <c r="C710" i="9"/>
  <c r="B711" i="9"/>
  <c r="C711" i="9"/>
  <c r="B712" i="9"/>
  <c r="C712" i="9"/>
  <c r="B713" i="9"/>
  <c r="C713" i="9"/>
  <c r="B714" i="9"/>
  <c r="C714" i="9"/>
  <c r="B715" i="9"/>
  <c r="C715" i="9"/>
  <c r="B716" i="9"/>
  <c r="C716" i="9"/>
  <c r="B717" i="9"/>
  <c r="C717" i="9"/>
  <c r="B718" i="9"/>
  <c r="C718" i="9"/>
  <c r="B719" i="9"/>
  <c r="C719" i="9"/>
  <c r="B720" i="9"/>
  <c r="C720" i="9"/>
  <c r="B721" i="9"/>
  <c r="C721" i="9"/>
  <c r="B722" i="9"/>
  <c r="C722" i="9"/>
  <c r="B723" i="9"/>
  <c r="C723" i="9"/>
  <c r="B724" i="9"/>
  <c r="C724" i="9"/>
  <c r="B725" i="9"/>
  <c r="C725" i="9"/>
  <c r="B726" i="9"/>
  <c r="C726" i="9"/>
  <c r="B727" i="9"/>
  <c r="C727" i="9"/>
  <c r="B728" i="9"/>
  <c r="C728" i="9"/>
  <c r="B729" i="9"/>
  <c r="C729" i="9"/>
  <c r="B730" i="9"/>
  <c r="C730" i="9"/>
  <c r="B731" i="9"/>
  <c r="C731" i="9"/>
  <c r="B732" i="9"/>
  <c r="C732" i="9"/>
  <c r="B733" i="9"/>
  <c r="C733" i="9"/>
  <c r="B734" i="9"/>
  <c r="C734" i="9"/>
  <c r="B735" i="9"/>
  <c r="C735" i="9"/>
  <c r="B736" i="9"/>
  <c r="C736" i="9"/>
  <c r="B737" i="9"/>
  <c r="C737" i="9"/>
  <c r="B738" i="9"/>
  <c r="C738" i="9"/>
  <c r="B739" i="9"/>
  <c r="C739" i="9"/>
  <c r="B740" i="9"/>
  <c r="C740" i="9"/>
  <c r="B741" i="9"/>
  <c r="C741" i="9"/>
  <c r="B742" i="9"/>
  <c r="C742" i="9"/>
  <c r="B743" i="9"/>
  <c r="C743" i="9"/>
  <c r="B744" i="9"/>
  <c r="C744" i="9"/>
  <c r="B745" i="9"/>
  <c r="C745" i="9"/>
  <c r="B746" i="9"/>
  <c r="C746" i="9"/>
  <c r="B747" i="9"/>
  <c r="C747" i="9"/>
  <c r="B748" i="9"/>
  <c r="C748" i="9"/>
  <c r="B749" i="9"/>
  <c r="C749" i="9"/>
  <c r="B750" i="9"/>
  <c r="C750" i="9"/>
  <c r="B751" i="9"/>
  <c r="C751" i="9"/>
  <c r="B752" i="9"/>
  <c r="C752" i="9"/>
  <c r="B753" i="9"/>
  <c r="C753" i="9"/>
  <c r="B754" i="9"/>
  <c r="C754" i="9"/>
  <c r="B755" i="9"/>
  <c r="C755" i="9"/>
  <c r="B756" i="9"/>
  <c r="C756" i="9"/>
  <c r="B757" i="9"/>
  <c r="C757" i="9"/>
  <c r="B758" i="9"/>
  <c r="C758" i="9"/>
  <c r="B759" i="9"/>
  <c r="C759" i="9"/>
  <c r="B760" i="9"/>
  <c r="C760" i="9"/>
  <c r="B761" i="9"/>
  <c r="C761" i="9"/>
  <c r="B762" i="9"/>
  <c r="C762" i="9"/>
  <c r="B763" i="9"/>
  <c r="C763" i="9"/>
  <c r="B764" i="9"/>
  <c r="C764" i="9"/>
  <c r="B765" i="9"/>
  <c r="C765" i="9"/>
  <c r="B766" i="9"/>
  <c r="C766" i="9"/>
  <c r="B767" i="9"/>
  <c r="C767" i="9"/>
  <c r="B768" i="9"/>
  <c r="C768" i="9"/>
  <c r="B769" i="9"/>
  <c r="C769" i="9"/>
  <c r="B770" i="9"/>
  <c r="C770" i="9"/>
  <c r="B771" i="9"/>
  <c r="C771" i="9"/>
  <c r="B772" i="9"/>
  <c r="C772" i="9"/>
  <c r="B773" i="9"/>
  <c r="C773" i="9"/>
  <c r="B774" i="9"/>
  <c r="C774" i="9"/>
  <c r="B775" i="9"/>
  <c r="C775" i="9"/>
  <c r="B776" i="9"/>
  <c r="C776" i="9"/>
  <c r="B777" i="9"/>
  <c r="C777" i="9"/>
  <c r="B778" i="9"/>
  <c r="C778" i="9"/>
  <c r="B779" i="9"/>
  <c r="C779" i="9"/>
  <c r="B780" i="9"/>
  <c r="C780" i="9"/>
  <c r="B781" i="9"/>
  <c r="C781" i="9"/>
  <c r="B782" i="9"/>
  <c r="C782" i="9"/>
  <c r="B783" i="9"/>
  <c r="C783" i="9"/>
  <c r="B784" i="9"/>
  <c r="C784" i="9"/>
  <c r="B785" i="9"/>
  <c r="C785" i="9"/>
  <c r="B786" i="9"/>
  <c r="C786" i="9"/>
  <c r="B787" i="9"/>
  <c r="C787" i="9"/>
  <c r="B788" i="9"/>
  <c r="C788" i="9"/>
  <c r="B789" i="9"/>
  <c r="C789" i="9"/>
  <c r="B790" i="9"/>
  <c r="C790" i="9"/>
  <c r="B791" i="9"/>
  <c r="C791" i="9"/>
  <c r="B792" i="9"/>
  <c r="C792" i="9"/>
  <c r="B793" i="9"/>
  <c r="C793" i="9"/>
  <c r="B794" i="9"/>
  <c r="C794" i="9"/>
  <c r="B795" i="9"/>
  <c r="C795" i="9"/>
  <c r="B796" i="9"/>
  <c r="C796" i="9"/>
  <c r="B797" i="9"/>
  <c r="C797" i="9"/>
  <c r="B798" i="9"/>
  <c r="C798" i="9"/>
  <c r="B799" i="9"/>
  <c r="C799" i="9"/>
  <c r="B800" i="9"/>
  <c r="C800" i="9"/>
  <c r="B801" i="9"/>
  <c r="C801" i="9"/>
  <c r="B802" i="9"/>
  <c r="C802" i="9"/>
  <c r="B803" i="9"/>
  <c r="C803" i="9"/>
  <c r="B804" i="9"/>
  <c r="C804" i="9"/>
  <c r="B805" i="9"/>
  <c r="C805" i="9"/>
  <c r="B806" i="9"/>
  <c r="C806" i="9"/>
  <c r="B807" i="9"/>
  <c r="C807" i="9"/>
  <c r="B808" i="9"/>
  <c r="C808" i="9"/>
  <c r="B809" i="9"/>
  <c r="C809" i="9"/>
  <c r="B810" i="9"/>
  <c r="C810" i="9"/>
  <c r="B811" i="9"/>
  <c r="C811" i="9"/>
  <c r="B812" i="9"/>
  <c r="C812" i="9"/>
  <c r="B813" i="9"/>
  <c r="C813" i="9"/>
  <c r="B814" i="9"/>
  <c r="C814" i="9"/>
  <c r="B815" i="9"/>
  <c r="C815" i="9"/>
  <c r="B816" i="9"/>
  <c r="C816" i="9"/>
  <c r="B817" i="9"/>
  <c r="C817" i="9"/>
  <c r="B818" i="9"/>
  <c r="C818" i="9"/>
  <c r="B819" i="9"/>
  <c r="C819" i="9"/>
  <c r="B820" i="9"/>
  <c r="C820" i="9"/>
  <c r="B821" i="9"/>
  <c r="C821" i="9"/>
  <c r="B822" i="9"/>
  <c r="C822" i="9"/>
  <c r="B823" i="9"/>
  <c r="C823" i="9"/>
  <c r="B824" i="9"/>
  <c r="C824" i="9"/>
  <c r="B825" i="9"/>
  <c r="C825" i="9"/>
  <c r="B826" i="9"/>
  <c r="C826" i="9"/>
  <c r="B827" i="9"/>
  <c r="C827" i="9"/>
  <c r="B828" i="9"/>
  <c r="C828" i="9"/>
  <c r="B829" i="9"/>
  <c r="C829" i="9"/>
  <c r="B830" i="9"/>
  <c r="C830" i="9"/>
  <c r="B831" i="9"/>
  <c r="C831" i="9"/>
  <c r="B832" i="9"/>
  <c r="C832" i="9"/>
  <c r="B833" i="9"/>
  <c r="C833" i="9"/>
  <c r="B834" i="9"/>
  <c r="C834" i="9"/>
  <c r="B835" i="9"/>
  <c r="C835" i="9"/>
  <c r="B836" i="9"/>
  <c r="C836" i="9"/>
  <c r="B837" i="9"/>
  <c r="C837" i="9"/>
  <c r="B838" i="9"/>
  <c r="C838" i="9"/>
  <c r="B839" i="9"/>
  <c r="C839" i="9"/>
  <c r="B840" i="9"/>
  <c r="C840" i="9"/>
  <c r="B841" i="9"/>
  <c r="C841" i="9"/>
  <c r="B842" i="9"/>
  <c r="C842" i="9"/>
  <c r="B843" i="9"/>
  <c r="C843" i="9"/>
  <c r="B844" i="9"/>
  <c r="C844" i="9"/>
  <c r="B845" i="9"/>
  <c r="C845" i="9"/>
  <c r="B846" i="9"/>
  <c r="C846" i="9"/>
  <c r="B847" i="9"/>
  <c r="C847" i="9"/>
  <c r="B848" i="9"/>
  <c r="C848" i="9"/>
  <c r="B849" i="9"/>
  <c r="C849" i="9"/>
  <c r="B850" i="9"/>
  <c r="C850" i="9"/>
  <c r="B851" i="9"/>
  <c r="C851" i="9"/>
  <c r="B852" i="9"/>
  <c r="C852" i="9"/>
  <c r="B853" i="9"/>
  <c r="C853" i="9"/>
  <c r="B854" i="9"/>
  <c r="C854" i="9"/>
  <c r="B855" i="9"/>
  <c r="C855" i="9"/>
  <c r="B856" i="9"/>
  <c r="C856" i="9"/>
  <c r="B857" i="9"/>
  <c r="C857" i="9"/>
  <c r="B858" i="9"/>
  <c r="C858" i="9"/>
  <c r="B859" i="9"/>
  <c r="C859" i="9"/>
  <c r="B860" i="9"/>
  <c r="C860" i="9"/>
  <c r="B861" i="9"/>
  <c r="C861" i="9"/>
  <c r="B862" i="9"/>
  <c r="C862" i="9"/>
  <c r="B863" i="9"/>
  <c r="C863" i="9"/>
  <c r="B864" i="9"/>
  <c r="C864" i="9"/>
  <c r="B865" i="9"/>
  <c r="C865" i="9"/>
  <c r="B866" i="9"/>
  <c r="C866" i="9"/>
  <c r="B867" i="9"/>
  <c r="C867" i="9"/>
  <c r="B868" i="9"/>
  <c r="C868" i="9"/>
  <c r="B869" i="9"/>
  <c r="C869" i="9"/>
  <c r="B870" i="9"/>
  <c r="C870" i="9"/>
  <c r="B871" i="9"/>
  <c r="C871" i="9"/>
  <c r="B872" i="9"/>
  <c r="C872" i="9"/>
  <c r="B873" i="9"/>
  <c r="C873" i="9"/>
  <c r="B874" i="9"/>
  <c r="C874" i="9"/>
  <c r="B875" i="9"/>
  <c r="C875" i="9"/>
  <c r="B876" i="9"/>
  <c r="C876" i="9"/>
  <c r="B877" i="9"/>
  <c r="C877" i="9"/>
  <c r="B878" i="9"/>
  <c r="C878" i="9"/>
  <c r="B879" i="9"/>
  <c r="C879" i="9"/>
  <c r="B880" i="9"/>
  <c r="C880" i="9"/>
  <c r="B881" i="9"/>
  <c r="C881" i="9"/>
  <c r="B882" i="9"/>
  <c r="C882" i="9"/>
  <c r="B883" i="9"/>
  <c r="C883" i="9"/>
  <c r="B884" i="9"/>
  <c r="C884" i="9"/>
  <c r="B885" i="9"/>
  <c r="C885" i="9"/>
  <c r="B886" i="9"/>
  <c r="C886" i="9"/>
  <c r="B887" i="9"/>
  <c r="C887" i="9"/>
  <c r="B888" i="9"/>
  <c r="C888" i="9"/>
  <c r="B889" i="9"/>
  <c r="C889" i="9"/>
  <c r="B890" i="9"/>
  <c r="C890" i="9"/>
  <c r="B891" i="9"/>
  <c r="C891" i="9"/>
  <c r="B892" i="9"/>
  <c r="C892" i="9"/>
  <c r="B893" i="9"/>
  <c r="C893" i="9"/>
  <c r="B894" i="9"/>
  <c r="C894" i="9"/>
  <c r="B895" i="9"/>
  <c r="C895" i="9"/>
  <c r="B896" i="9"/>
  <c r="C896" i="9"/>
  <c r="B897" i="9"/>
  <c r="C897" i="9"/>
  <c r="B898" i="9"/>
  <c r="C898" i="9"/>
  <c r="B899" i="9"/>
  <c r="C899" i="9"/>
  <c r="B900" i="9"/>
  <c r="C900" i="9"/>
  <c r="B901" i="9"/>
  <c r="C901" i="9"/>
  <c r="B902" i="9"/>
  <c r="C902" i="9"/>
  <c r="B903" i="9"/>
  <c r="C903" i="9"/>
  <c r="B904" i="9"/>
  <c r="C904" i="9"/>
  <c r="B905" i="9"/>
  <c r="C905" i="9"/>
  <c r="B906" i="9"/>
  <c r="C906" i="9"/>
  <c r="B907" i="9"/>
  <c r="C907" i="9"/>
  <c r="B908" i="9"/>
  <c r="C908" i="9"/>
  <c r="B909" i="9"/>
  <c r="C909" i="9"/>
  <c r="B910" i="9"/>
  <c r="C910" i="9"/>
  <c r="B911" i="9"/>
  <c r="C911" i="9"/>
  <c r="B912" i="9"/>
  <c r="C912" i="9"/>
  <c r="B913" i="9"/>
  <c r="C913" i="9"/>
  <c r="B914" i="9"/>
  <c r="C914" i="9"/>
  <c r="B915" i="9"/>
  <c r="C915" i="9"/>
  <c r="B916" i="9"/>
  <c r="C916" i="9"/>
  <c r="B917" i="9"/>
  <c r="C917" i="9"/>
  <c r="B918" i="9"/>
  <c r="C918" i="9"/>
  <c r="B919" i="9"/>
  <c r="C919" i="9"/>
  <c r="B920" i="9"/>
  <c r="C920" i="9"/>
  <c r="B921" i="9"/>
  <c r="C921" i="9"/>
  <c r="B922" i="9"/>
  <c r="C922" i="9"/>
  <c r="B923" i="9"/>
  <c r="C923" i="9"/>
  <c r="B924" i="9"/>
  <c r="C924" i="9"/>
  <c r="B925" i="9"/>
  <c r="C925" i="9"/>
  <c r="B926" i="9"/>
  <c r="C926" i="9"/>
  <c r="B927" i="9"/>
  <c r="C927" i="9"/>
  <c r="B928" i="9"/>
  <c r="C928" i="9"/>
  <c r="B929" i="9"/>
  <c r="C929" i="9"/>
  <c r="B930" i="9"/>
  <c r="C930" i="9"/>
  <c r="B931" i="9"/>
  <c r="C931" i="9"/>
  <c r="B932" i="9"/>
  <c r="C932" i="9"/>
  <c r="B933" i="9"/>
  <c r="C933" i="9"/>
  <c r="B934" i="9"/>
  <c r="C934" i="9"/>
  <c r="B935" i="9"/>
  <c r="C935" i="9"/>
  <c r="B936" i="9"/>
  <c r="C936" i="9"/>
  <c r="B937" i="9"/>
  <c r="C937" i="9"/>
  <c r="B938" i="9"/>
  <c r="C938" i="9"/>
  <c r="B939" i="9"/>
  <c r="C939" i="9"/>
  <c r="B940" i="9"/>
  <c r="C940" i="9"/>
  <c r="B941" i="9"/>
  <c r="C941" i="9"/>
  <c r="B942" i="9"/>
  <c r="C942" i="9"/>
  <c r="B943" i="9"/>
  <c r="C943" i="9"/>
  <c r="B944" i="9"/>
  <c r="C944" i="9"/>
  <c r="B945" i="9"/>
  <c r="C945" i="9"/>
  <c r="B946" i="9"/>
  <c r="C946" i="9"/>
  <c r="B947" i="9"/>
  <c r="C947" i="9"/>
  <c r="B948" i="9"/>
  <c r="C948" i="9"/>
  <c r="B949" i="9"/>
  <c r="C949" i="9"/>
  <c r="B950" i="9"/>
  <c r="C950" i="9"/>
  <c r="B951" i="9"/>
  <c r="C951" i="9"/>
  <c r="B952" i="9"/>
  <c r="C952" i="9"/>
  <c r="B953" i="9"/>
  <c r="C953" i="9"/>
  <c r="B954" i="9"/>
  <c r="C954" i="9"/>
  <c r="B955" i="9"/>
  <c r="C955" i="9"/>
  <c r="B956" i="9"/>
  <c r="C956" i="9"/>
  <c r="B957" i="9"/>
  <c r="C957" i="9"/>
  <c r="B958" i="9"/>
  <c r="C958" i="9"/>
  <c r="B959" i="9"/>
  <c r="C959" i="9"/>
  <c r="B960" i="9"/>
  <c r="C960" i="9"/>
  <c r="B961" i="9"/>
  <c r="C961" i="9"/>
  <c r="B962" i="9"/>
  <c r="C962" i="9"/>
  <c r="B963" i="9"/>
  <c r="C963" i="9"/>
  <c r="B964" i="9"/>
  <c r="C964" i="9"/>
  <c r="B965" i="9"/>
  <c r="C965" i="9"/>
  <c r="B966" i="9"/>
  <c r="C966" i="9"/>
  <c r="B967" i="9"/>
  <c r="C967" i="9"/>
  <c r="B968" i="9"/>
  <c r="C968" i="9"/>
  <c r="B969" i="9"/>
  <c r="C969" i="9"/>
  <c r="B970" i="9"/>
  <c r="C970" i="9"/>
  <c r="B971" i="9"/>
  <c r="C971" i="9"/>
  <c r="B972" i="9"/>
  <c r="C972" i="9"/>
  <c r="B973" i="9"/>
  <c r="C973" i="9"/>
  <c r="B974" i="9"/>
  <c r="C974" i="9"/>
  <c r="B975" i="9"/>
  <c r="C975" i="9"/>
  <c r="B976" i="9"/>
  <c r="C976" i="9"/>
  <c r="B977" i="9"/>
  <c r="C977" i="9"/>
  <c r="B978" i="9"/>
  <c r="C978" i="9"/>
  <c r="B979" i="9"/>
  <c r="C979" i="9"/>
  <c r="B980" i="9"/>
  <c r="C980" i="9"/>
  <c r="B981" i="9"/>
  <c r="C981" i="9"/>
  <c r="B982" i="9"/>
  <c r="C982" i="9"/>
  <c r="B983" i="9"/>
  <c r="C983" i="9"/>
  <c r="B984" i="9"/>
  <c r="C984" i="9"/>
  <c r="B985" i="9"/>
  <c r="C985" i="9"/>
  <c r="B986" i="9"/>
  <c r="C986" i="9"/>
  <c r="B987" i="9"/>
  <c r="C987" i="9"/>
  <c r="B988" i="9"/>
  <c r="C988" i="9"/>
  <c r="B989" i="9"/>
  <c r="C989" i="9"/>
  <c r="B990" i="9"/>
  <c r="C990" i="9"/>
  <c r="B991" i="9"/>
  <c r="C991" i="9"/>
  <c r="B992" i="9"/>
  <c r="C992" i="9"/>
  <c r="B993" i="9"/>
  <c r="C993" i="9"/>
  <c r="B994" i="9"/>
  <c r="C994" i="9"/>
  <c r="B995" i="9"/>
  <c r="C995" i="9"/>
  <c r="B996" i="9"/>
  <c r="C996" i="9"/>
  <c r="B997" i="9"/>
  <c r="C997" i="9"/>
  <c r="B998" i="9"/>
  <c r="C998" i="9"/>
  <c r="B999" i="9"/>
  <c r="C999" i="9"/>
  <c r="B1000" i="9"/>
  <c r="C1000" i="9"/>
  <c r="B1001" i="9"/>
  <c r="C1001" i="9"/>
  <c r="B1002" i="9"/>
  <c r="C1002" i="9"/>
  <c r="B1003" i="9"/>
  <c r="C1003" i="9"/>
  <c r="B1004" i="9"/>
  <c r="C1004" i="9"/>
  <c r="B1005" i="9"/>
  <c r="C1005" i="9"/>
  <c r="B1006" i="9"/>
  <c r="C1006" i="9"/>
  <c r="B1007" i="9"/>
  <c r="C1007" i="9"/>
  <c r="B1008" i="9"/>
  <c r="C1008" i="9"/>
  <c r="B1009" i="9"/>
  <c r="C1009" i="9"/>
  <c r="B1010" i="9"/>
  <c r="C1010" i="9"/>
  <c r="B1011" i="9"/>
  <c r="C1011" i="9"/>
  <c r="B1012" i="9"/>
  <c r="C1012" i="9"/>
  <c r="B1013" i="9"/>
  <c r="C1013" i="9"/>
  <c r="B1014" i="9"/>
  <c r="C1014" i="9"/>
  <c r="B1015" i="9"/>
  <c r="C1015" i="9"/>
  <c r="B1016" i="9"/>
  <c r="C1016" i="9"/>
  <c r="B1017" i="9"/>
  <c r="C1017" i="9"/>
  <c r="B1018" i="9"/>
  <c r="C1018" i="9"/>
  <c r="B1019" i="9"/>
  <c r="C1019" i="9"/>
  <c r="B1020" i="9"/>
  <c r="C1020" i="9"/>
  <c r="B1021" i="9"/>
  <c r="C1021" i="9"/>
  <c r="B1022" i="9"/>
  <c r="C1022" i="9"/>
  <c r="B1023" i="9"/>
  <c r="C1023" i="9"/>
  <c r="B1024" i="9"/>
  <c r="C1024" i="9"/>
  <c r="B1025" i="9"/>
  <c r="C1025" i="9"/>
  <c r="B1026" i="9"/>
  <c r="C1026" i="9"/>
  <c r="B1027" i="9"/>
  <c r="C1027" i="9"/>
  <c r="B1028" i="9"/>
  <c r="C1028" i="9"/>
  <c r="B1029" i="9"/>
  <c r="C1029" i="9"/>
  <c r="B1030" i="9"/>
  <c r="C1030" i="9"/>
  <c r="B1031" i="9"/>
  <c r="C1031" i="9"/>
  <c r="B1032" i="9"/>
  <c r="C1032" i="9"/>
  <c r="B1033" i="9"/>
  <c r="C1033" i="9"/>
  <c r="B1034" i="9"/>
  <c r="C1034" i="9"/>
  <c r="B1035" i="9"/>
  <c r="C1035" i="9"/>
  <c r="B1036" i="9"/>
  <c r="C1036" i="9"/>
  <c r="B1037" i="9"/>
  <c r="C1037" i="9"/>
  <c r="B1038" i="9"/>
  <c r="C1038" i="9"/>
  <c r="B1039" i="9"/>
  <c r="C1039" i="9"/>
  <c r="B1040" i="9"/>
  <c r="C1040" i="9"/>
  <c r="B1041" i="9"/>
  <c r="C1041" i="9"/>
  <c r="B1042" i="9"/>
  <c r="C1042" i="9"/>
  <c r="B1043" i="9"/>
  <c r="C1043" i="9"/>
  <c r="B1044" i="9"/>
  <c r="C1044" i="9"/>
  <c r="B1045" i="9"/>
  <c r="C1045" i="9"/>
  <c r="B1046" i="9"/>
  <c r="C1046" i="9"/>
  <c r="B1047" i="9"/>
  <c r="C1047" i="9"/>
  <c r="B1048" i="9"/>
  <c r="C1048" i="9"/>
  <c r="B1049" i="9"/>
  <c r="C1049" i="9"/>
  <c r="B1050" i="9"/>
  <c r="C1050" i="9"/>
  <c r="B1051" i="9"/>
  <c r="C1051" i="9"/>
  <c r="B1052" i="9"/>
  <c r="C1052" i="9"/>
  <c r="B1053" i="9"/>
  <c r="C1053" i="9"/>
  <c r="B1054" i="9"/>
  <c r="C1054" i="9"/>
  <c r="B1055" i="9"/>
  <c r="C1055" i="9"/>
  <c r="B1056" i="9"/>
  <c r="C1056" i="9"/>
  <c r="B1057" i="9"/>
  <c r="C1057" i="9"/>
  <c r="B1058" i="9"/>
  <c r="C1058" i="9"/>
  <c r="B1059" i="9"/>
  <c r="C1059" i="9"/>
  <c r="B1060" i="9"/>
  <c r="C1060" i="9"/>
  <c r="B1061" i="9"/>
  <c r="C1061" i="9"/>
  <c r="B1062" i="9"/>
  <c r="C1062" i="9"/>
  <c r="B1063" i="9"/>
  <c r="C1063" i="9"/>
  <c r="B1064" i="9"/>
  <c r="C1064" i="9"/>
  <c r="B1065" i="9"/>
  <c r="C1065" i="9"/>
  <c r="B1066" i="9"/>
  <c r="C1066" i="9"/>
  <c r="B1067" i="9"/>
  <c r="C1067" i="9"/>
  <c r="B1068" i="9"/>
  <c r="C1068" i="9"/>
  <c r="B1069" i="9"/>
  <c r="C1069" i="9"/>
  <c r="B1070" i="9"/>
  <c r="C1070" i="9"/>
  <c r="B1071" i="9"/>
  <c r="C1071" i="9"/>
  <c r="B1072" i="9"/>
  <c r="C1072" i="9"/>
  <c r="B1073" i="9"/>
  <c r="C1073" i="9"/>
  <c r="B1074" i="9"/>
  <c r="C1074" i="9"/>
  <c r="B1075" i="9"/>
  <c r="C1075" i="9"/>
  <c r="B1076" i="9"/>
  <c r="C1076" i="9"/>
  <c r="B1077" i="9"/>
  <c r="C1077" i="9"/>
  <c r="B1078" i="9"/>
  <c r="C1078" i="9"/>
  <c r="B1079" i="9"/>
  <c r="C1079" i="9"/>
  <c r="B1080" i="9"/>
  <c r="C1080" i="9"/>
  <c r="B1081" i="9"/>
  <c r="C1081" i="9"/>
  <c r="B1082" i="9"/>
  <c r="C1082" i="9"/>
  <c r="B1083" i="9"/>
  <c r="C1083" i="9"/>
  <c r="B1084" i="9"/>
  <c r="C1084" i="9"/>
  <c r="B1085" i="9"/>
  <c r="C1085" i="9"/>
  <c r="B1086" i="9"/>
  <c r="C1086" i="9"/>
  <c r="B1087" i="9"/>
  <c r="C1087" i="9"/>
  <c r="B1088" i="9"/>
  <c r="C1088" i="9"/>
  <c r="B1089" i="9"/>
  <c r="C1089" i="9"/>
  <c r="B1090" i="9"/>
  <c r="C1090" i="9"/>
  <c r="B1091" i="9"/>
  <c r="C1091" i="9"/>
  <c r="B1092" i="9"/>
  <c r="C1092" i="9"/>
  <c r="B1093" i="9"/>
  <c r="C1093" i="9"/>
  <c r="B1094" i="9"/>
  <c r="C1094" i="9"/>
  <c r="B1095" i="9"/>
  <c r="C1095" i="9"/>
  <c r="B1096" i="9"/>
  <c r="C1096" i="9"/>
  <c r="B1097" i="9"/>
  <c r="C1097" i="9"/>
  <c r="B1098" i="9"/>
  <c r="C1098" i="9"/>
  <c r="B1099" i="9"/>
  <c r="C1099" i="9"/>
  <c r="B1100" i="9"/>
  <c r="C1100" i="9"/>
  <c r="B1101" i="9"/>
  <c r="C1101" i="9"/>
  <c r="B1102" i="9"/>
  <c r="C1102" i="9"/>
  <c r="B1103" i="9"/>
  <c r="C1103" i="9"/>
  <c r="B1104" i="9"/>
  <c r="C1104" i="9"/>
  <c r="B1105" i="9"/>
  <c r="C1105" i="9"/>
  <c r="B1106" i="9"/>
  <c r="C1106" i="9"/>
  <c r="B1107" i="9"/>
  <c r="C1107" i="9"/>
  <c r="B1108" i="9"/>
  <c r="C1108" i="9"/>
  <c r="B1109" i="9"/>
  <c r="C1109" i="9"/>
  <c r="B1110" i="9"/>
  <c r="C1110" i="9"/>
  <c r="B1111" i="9"/>
  <c r="C1111" i="9"/>
  <c r="B1112" i="9"/>
  <c r="C1112" i="9"/>
  <c r="B1113" i="9"/>
  <c r="C1113" i="9"/>
  <c r="B1114" i="9"/>
  <c r="C1114" i="9"/>
  <c r="B1115" i="9"/>
  <c r="C1115" i="9"/>
  <c r="B1116" i="9"/>
  <c r="C1116" i="9"/>
  <c r="B1117" i="9"/>
  <c r="C1117" i="9"/>
  <c r="B1118" i="9"/>
  <c r="C1118" i="9"/>
  <c r="B1119" i="9"/>
  <c r="C1119" i="9"/>
  <c r="B1120" i="9"/>
  <c r="C1120" i="9"/>
  <c r="B1121" i="9"/>
  <c r="C1121" i="9"/>
  <c r="B1122" i="9"/>
  <c r="C1122" i="9"/>
  <c r="B1123" i="9"/>
  <c r="C1123" i="9"/>
  <c r="B1124" i="9"/>
  <c r="C1124" i="9"/>
  <c r="B1125" i="9"/>
  <c r="C1125" i="9"/>
  <c r="B1126" i="9"/>
  <c r="C1126" i="9"/>
  <c r="B1127" i="9"/>
  <c r="C1127" i="9"/>
  <c r="B1128" i="9"/>
  <c r="C1128" i="9"/>
  <c r="B1129" i="9"/>
  <c r="C1129" i="9"/>
  <c r="B1130" i="9"/>
  <c r="C1130" i="9"/>
  <c r="B1131" i="9"/>
  <c r="C1131" i="9"/>
  <c r="B1132" i="9"/>
  <c r="C1132" i="9"/>
  <c r="B1133" i="9"/>
  <c r="C1133" i="9"/>
  <c r="B1134" i="9"/>
  <c r="C1134" i="9"/>
  <c r="B1135" i="9"/>
  <c r="C1135" i="9"/>
  <c r="B1136" i="9"/>
  <c r="C1136" i="9"/>
  <c r="B1137" i="9"/>
  <c r="C1137" i="9"/>
  <c r="B1138" i="9"/>
  <c r="C1138" i="9"/>
  <c r="B1139" i="9"/>
  <c r="C1139" i="9"/>
  <c r="B1140" i="9"/>
  <c r="C1140" i="9"/>
  <c r="B1141" i="9"/>
  <c r="C1141" i="9"/>
  <c r="B1142" i="9"/>
  <c r="C1142" i="9"/>
  <c r="B1143" i="9"/>
  <c r="C1143" i="9"/>
  <c r="B1144" i="9"/>
  <c r="C1144" i="9"/>
  <c r="B1145" i="9"/>
  <c r="C1145" i="9"/>
  <c r="B1146" i="9"/>
  <c r="C1146" i="9"/>
  <c r="B1147" i="9"/>
  <c r="C1147" i="9"/>
  <c r="B1148" i="9"/>
  <c r="C1148" i="9"/>
  <c r="B1149" i="9"/>
  <c r="C1149" i="9"/>
  <c r="B1150" i="9"/>
  <c r="C1150" i="9"/>
  <c r="B1151" i="9"/>
  <c r="C1151" i="9"/>
  <c r="B1152" i="9"/>
  <c r="C1152" i="9"/>
  <c r="B1153" i="9"/>
  <c r="C1153" i="9"/>
  <c r="B1154" i="9"/>
  <c r="C1154" i="9"/>
  <c r="B1155" i="9"/>
  <c r="C1155" i="9"/>
  <c r="B1156" i="9"/>
  <c r="C1156" i="9"/>
  <c r="B1157" i="9"/>
  <c r="C1157" i="9"/>
  <c r="B1158" i="9"/>
  <c r="C1158" i="9"/>
  <c r="B1159" i="9"/>
  <c r="C1159" i="9"/>
  <c r="B1160" i="9"/>
  <c r="C1160" i="9"/>
  <c r="B1161" i="9"/>
  <c r="C1161" i="9"/>
  <c r="B1162" i="9"/>
  <c r="C1162" i="9"/>
  <c r="B1163" i="9"/>
  <c r="C1163" i="9"/>
  <c r="B1164" i="9"/>
  <c r="C1164" i="9"/>
  <c r="B1165" i="9"/>
  <c r="C1165" i="9"/>
  <c r="B1166" i="9"/>
  <c r="C1166" i="9"/>
  <c r="B1167" i="9"/>
  <c r="C1167" i="9"/>
  <c r="B1168" i="9"/>
  <c r="C1168" i="9"/>
  <c r="B1169" i="9"/>
  <c r="C1169" i="9"/>
  <c r="B1170" i="9"/>
  <c r="C1170" i="9"/>
  <c r="B1171" i="9"/>
  <c r="C1171" i="9"/>
  <c r="B1172" i="9"/>
  <c r="C1172" i="9"/>
  <c r="B1173" i="9"/>
  <c r="C1173" i="9"/>
  <c r="B1174" i="9"/>
  <c r="C1174" i="9"/>
  <c r="B1175" i="9"/>
  <c r="C1175" i="9"/>
  <c r="B1176" i="9"/>
  <c r="C1176" i="9"/>
  <c r="B1177" i="9"/>
  <c r="C1177" i="9"/>
  <c r="B1178" i="9"/>
  <c r="C1178" i="9"/>
  <c r="B1179" i="9"/>
  <c r="C1179" i="9"/>
  <c r="B1180" i="9"/>
  <c r="C1180" i="9"/>
  <c r="B1181" i="9"/>
  <c r="C1181" i="9"/>
  <c r="B1182" i="9"/>
  <c r="C1182" i="9"/>
  <c r="B1183" i="9"/>
  <c r="C1183" i="9"/>
  <c r="B1184" i="9"/>
  <c r="C1184" i="9"/>
  <c r="B1185" i="9"/>
  <c r="C1185" i="9"/>
  <c r="B1186" i="9"/>
  <c r="C1186" i="9"/>
  <c r="B1187" i="9"/>
  <c r="C1187" i="9"/>
  <c r="B1188" i="9"/>
  <c r="C1188" i="9"/>
  <c r="B1189" i="9"/>
  <c r="C1189" i="9"/>
  <c r="B1190" i="9"/>
  <c r="C1190" i="9"/>
  <c r="B1191" i="9"/>
  <c r="C1191" i="9"/>
  <c r="B1192" i="9"/>
  <c r="C1192" i="9"/>
  <c r="B1193" i="9"/>
  <c r="C1193" i="9"/>
  <c r="B1194" i="9"/>
  <c r="C1194" i="9"/>
  <c r="B1195" i="9"/>
  <c r="C1195" i="9"/>
  <c r="B1196" i="9"/>
  <c r="C1196" i="9"/>
  <c r="B1197" i="9"/>
  <c r="C1197" i="9"/>
  <c r="B1198" i="9"/>
  <c r="C1198" i="9"/>
  <c r="B1199" i="9"/>
  <c r="C1199" i="9"/>
  <c r="B1200" i="9"/>
  <c r="C1200" i="9"/>
  <c r="B1201" i="9"/>
  <c r="C1201" i="9"/>
  <c r="B1202" i="9"/>
  <c r="C1202" i="9"/>
  <c r="B1203" i="9"/>
  <c r="C1203" i="9"/>
  <c r="B1204" i="9"/>
  <c r="C1204" i="9"/>
  <c r="B1205" i="9"/>
  <c r="C1205" i="9"/>
  <c r="B1206" i="9"/>
  <c r="C1206" i="9"/>
  <c r="B1207" i="9"/>
  <c r="C1207" i="9"/>
  <c r="B1208" i="9"/>
  <c r="C1208" i="9"/>
  <c r="B1209" i="9"/>
  <c r="C1209" i="9"/>
  <c r="B1210" i="9"/>
  <c r="C1210" i="9"/>
  <c r="B1211" i="9"/>
  <c r="C1211" i="9"/>
  <c r="B1212" i="9"/>
  <c r="C1212" i="9"/>
  <c r="B1213" i="9"/>
  <c r="C1213" i="9"/>
  <c r="B1214" i="9"/>
  <c r="C1214" i="9"/>
  <c r="B1215" i="9"/>
  <c r="C1215" i="9"/>
  <c r="B1216" i="9"/>
  <c r="C1216" i="9"/>
  <c r="B1217" i="9"/>
  <c r="C1217" i="9"/>
  <c r="B1218" i="9"/>
  <c r="C1218" i="9"/>
  <c r="B1219" i="9"/>
  <c r="C1219" i="9"/>
  <c r="B1220" i="9"/>
  <c r="C1220" i="9"/>
  <c r="B1221" i="9"/>
  <c r="C1221" i="9"/>
  <c r="B1222" i="9"/>
  <c r="C1222" i="9"/>
  <c r="B1223" i="9"/>
  <c r="C1223" i="9"/>
  <c r="B1224" i="9"/>
  <c r="C1224" i="9"/>
  <c r="B1225" i="9"/>
  <c r="C1225" i="9"/>
  <c r="B1226" i="9"/>
  <c r="C1226" i="9"/>
  <c r="B1227" i="9"/>
  <c r="C1227" i="9"/>
  <c r="B1228" i="9"/>
  <c r="C1228" i="9"/>
  <c r="B1229" i="9"/>
  <c r="C1229" i="9"/>
  <c r="B1230" i="9"/>
  <c r="C1230" i="9"/>
  <c r="B1231" i="9"/>
  <c r="C1231" i="9"/>
  <c r="B1232" i="9"/>
  <c r="C1232" i="9"/>
  <c r="B1233" i="9"/>
  <c r="C1233" i="9"/>
  <c r="B1234" i="9"/>
  <c r="C1234" i="9"/>
  <c r="B1235" i="9"/>
  <c r="C1235" i="9"/>
  <c r="B1236" i="9"/>
  <c r="C1236" i="9"/>
  <c r="B1237" i="9"/>
  <c r="C1237" i="9"/>
  <c r="B1238" i="9"/>
  <c r="C1238" i="9"/>
  <c r="B1239" i="9"/>
  <c r="C1239" i="9"/>
  <c r="B1240" i="9"/>
  <c r="C1240" i="9"/>
  <c r="B1241" i="9"/>
  <c r="C1241" i="9"/>
  <c r="B1242" i="9"/>
  <c r="C1242" i="9"/>
  <c r="B1243" i="9"/>
  <c r="C1243" i="9"/>
  <c r="B1244" i="9"/>
  <c r="C1244" i="9"/>
  <c r="B1245" i="9"/>
  <c r="C1245" i="9"/>
  <c r="B1246" i="9"/>
  <c r="C1246" i="9"/>
  <c r="B1247" i="9"/>
  <c r="C1247" i="9"/>
  <c r="B1248" i="9"/>
  <c r="C1248" i="9"/>
  <c r="B1249" i="9"/>
  <c r="C1249" i="9"/>
  <c r="B1250" i="9"/>
  <c r="C1250" i="9"/>
  <c r="B1251" i="9"/>
  <c r="C1251" i="9"/>
  <c r="B1252" i="9"/>
  <c r="C1252" i="9"/>
  <c r="B1253" i="9"/>
  <c r="C1253" i="9"/>
  <c r="B1254" i="9"/>
  <c r="C1254" i="9"/>
  <c r="B1255" i="9"/>
  <c r="C1255" i="9"/>
  <c r="B1256" i="9"/>
  <c r="C1256" i="9"/>
  <c r="B1257" i="9"/>
  <c r="C1257" i="9"/>
  <c r="B1258" i="9"/>
  <c r="C1258" i="9"/>
  <c r="B1259" i="9"/>
  <c r="C1259" i="9"/>
  <c r="B1260" i="9"/>
  <c r="C1260" i="9"/>
  <c r="B1261" i="9"/>
  <c r="C1261" i="9"/>
  <c r="B1262" i="9"/>
  <c r="C1262" i="9"/>
  <c r="B1263" i="9"/>
  <c r="C1263" i="9"/>
  <c r="B1264" i="9"/>
  <c r="C1264" i="9"/>
  <c r="B1265" i="9"/>
  <c r="C1265" i="9"/>
  <c r="B1266" i="9"/>
  <c r="C1266" i="9"/>
  <c r="B1267" i="9"/>
  <c r="C1267" i="9"/>
  <c r="B1268" i="9"/>
  <c r="C1268" i="9"/>
  <c r="B1269" i="9"/>
  <c r="C1269" i="9"/>
  <c r="B1270" i="9"/>
  <c r="C1270" i="9"/>
  <c r="B1271" i="9"/>
  <c r="C1271" i="9"/>
  <c r="B1272" i="9"/>
  <c r="C1272" i="9"/>
  <c r="B1273" i="9"/>
  <c r="C1273" i="9"/>
  <c r="B1274" i="9"/>
  <c r="C1274" i="9"/>
  <c r="B1275" i="9"/>
  <c r="C1275" i="9"/>
  <c r="B1276" i="9"/>
  <c r="C1276" i="9"/>
  <c r="B1277" i="9"/>
  <c r="C1277" i="9"/>
  <c r="B1278" i="9"/>
  <c r="C1278" i="9"/>
  <c r="B1279" i="9"/>
  <c r="C1279" i="9"/>
  <c r="B1280" i="9"/>
  <c r="C1280" i="9"/>
  <c r="B1281" i="9"/>
  <c r="C1281" i="9"/>
  <c r="B1282" i="9"/>
  <c r="C1282" i="9"/>
  <c r="B1283" i="9"/>
  <c r="C1283" i="9"/>
  <c r="B1284" i="9"/>
  <c r="C1284" i="9"/>
  <c r="B1285" i="9"/>
  <c r="C1285" i="9"/>
  <c r="B1286" i="9"/>
  <c r="C1286" i="9"/>
  <c r="B1287" i="9"/>
  <c r="C1287" i="9"/>
  <c r="B1288" i="9"/>
  <c r="C1288" i="9"/>
  <c r="B1289" i="9"/>
  <c r="C1289" i="9"/>
  <c r="B1290" i="9"/>
  <c r="C1290" i="9"/>
  <c r="B1291" i="9"/>
  <c r="C1291" i="9"/>
  <c r="B1292" i="9"/>
  <c r="C1292" i="9"/>
  <c r="B1293" i="9"/>
  <c r="C1293" i="9"/>
  <c r="B1294" i="9"/>
  <c r="C1294" i="9"/>
  <c r="B1295" i="9"/>
  <c r="C1295" i="9"/>
  <c r="B1296" i="9"/>
  <c r="C1296" i="9"/>
  <c r="B1297" i="9"/>
  <c r="C1297" i="9"/>
  <c r="B1298" i="9"/>
  <c r="C1298" i="9"/>
  <c r="B1299" i="9"/>
  <c r="C1299" i="9"/>
  <c r="B1300" i="9"/>
  <c r="C1300" i="9"/>
  <c r="B1301" i="9"/>
  <c r="C1301" i="9"/>
  <c r="B1302" i="9"/>
  <c r="C1302" i="9"/>
  <c r="B1303" i="9"/>
  <c r="C1303" i="9"/>
  <c r="B1304" i="9"/>
  <c r="C1304" i="9"/>
  <c r="B1305" i="9"/>
  <c r="C1305" i="9"/>
  <c r="B1306" i="9"/>
  <c r="C1306" i="9"/>
  <c r="B1307" i="9"/>
  <c r="C1307" i="9"/>
  <c r="B1308" i="9"/>
  <c r="C1308" i="9"/>
  <c r="B1309" i="9"/>
  <c r="C1309" i="9"/>
  <c r="B1310" i="9"/>
  <c r="C1310" i="9"/>
  <c r="B1311" i="9"/>
  <c r="C1311" i="9"/>
  <c r="B1312" i="9"/>
  <c r="C1312" i="9"/>
  <c r="B1313" i="9"/>
  <c r="C1313" i="9"/>
  <c r="B1314" i="9"/>
  <c r="C1314" i="9"/>
  <c r="B1315" i="9"/>
  <c r="C1315" i="9"/>
  <c r="B1316" i="9"/>
  <c r="C1316" i="9"/>
  <c r="B1317" i="9"/>
  <c r="C1317" i="9"/>
  <c r="B1318" i="9"/>
  <c r="C1318" i="9"/>
  <c r="B1319" i="9"/>
  <c r="C1319" i="9"/>
  <c r="B1320" i="9"/>
  <c r="C1320" i="9"/>
  <c r="B1321" i="9"/>
  <c r="C1321" i="9"/>
  <c r="B1322" i="9"/>
  <c r="C1322" i="9"/>
  <c r="B1323" i="9"/>
  <c r="C1323" i="9"/>
  <c r="B1324" i="9"/>
  <c r="C1324" i="9"/>
  <c r="B1325" i="9"/>
  <c r="C1325" i="9"/>
  <c r="C5" i="9"/>
  <c r="B5" i="9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S28" i="7" s="1"/>
  <c r="K29" i="7"/>
  <c r="S29" i="7" s="1"/>
  <c r="K30" i="7"/>
  <c r="S30" i="7" s="1"/>
  <c r="K31" i="7"/>
  <c r="K32" i="7"/>
  <c r="S32" i="7" s="1"/>
  <c r="K33" i="7"/>
  <c r="S33" i="7" s="1"/>
  <c r="K34" i="7"/>
  <c r="S34" i="7" s="1"/>
  <c r="K35" i="7"/>
  <c r="K36" i="7"/>
  <c r="S36" i="7" s="1"/>
  <c r="K37" i="7"/>
  <c r="S37" i="7" s="1"/>
  <c r="K38" i="7"/>
  <c r="S38" i="7" s="1"/>
  <c r="K39" i="7"/>
  <c r="K40" i="7"/>
  <c r="S40" i="7" s="1"/>
  <c r="K41" i="7"/>
  <c r="S41" i="7" s="1"/>
  <c r="K42" i="7"/>
  <c r="S42" i="7" s="1"/>
  <c r="K43" i="7"/>
  <c r="K44" i="7"/>
  <c r="S44" i="7" s="1"/>
  <c r="K45" i="7"/>
  <c r="S45" i="7" s="1"/>
  <c r="K46" i="7"/>
  <c r="S46" i="7" s="1"/>
  <c r="K47" i="7"/>
  <c r="K48" i="7"/>
  <c r="S48" i="7" s="1"/>
  <c r="K49" i="7"/>
  <c r="S49" i="7" s="1"/>
  <c r="K50" i="7"/>
  <c r="S50" i="7" s="1"/>
  <c r="K51" i="7"/>
  <c r="K52" i="7"/>
  <c r="S52" i="7" s="1"/>
  <c r="K53" i="7"/>
  <c r="S53" i="7" s="1"/>
  <c r="K54" i="7"/>
  <c r="S54" i="7" s="1"/>
  <c r="K55" i="7"/>
  <c r="K56" i="7"/>
  <c r="S56" i="7" s="1"/>
  <c r="K57" i="7"/>
  <c r="S57" i="7" s="1"/>
  <c r="K58" i="7"/>
  <c r="S58" i="7" s="1"/>
  <c r="K59" i="7"/>
  <c r="K60" i="7"/>
  <c r="S60" i="7" s="1"/>
  <c r="K61" i="7"/>
  <c r="S61" i="7" s="1"/>
  <c r="K62" i="7"/>
  <c r="S62" i="7" s="1"/>
  <c r="K63" i="7"/>
  <c r="K64" i="7"/>
  <c r="S64" i="7" s="1"/>
  <c r="K65" i="7"/>
  <c r="S65" i="7" s="1"/>
  <c r="K66" i="7"/>
  <c r="S66" i="7" s="1"/>
  <c r="K67" i="7"/>
  <c r="K68" i="7"/>
  <c r="S68" i="7" s="1"/>
  <c r="K69" i="7"/>
  <c r="S69" i="7" s="1"/>
  <c r="K70" i="7"/>
  <c r="S70" i="7" s="1"/>
  <c r="K71" i="7"/>
  <c r="K72" i="7"/>
  <c r="S72" i="7" s="1"/>
  <c r="K73" i="7"/>
  <c r="S73" i="7" s="1"/>
  <c r="K74" i="7"/>
  <c r="S74" i="7" s="1"/>
  <c r="K75" i="7"/>
  <c r="K76" i="7"/>
  <c r="S76" i="7" s="1"/>
  <c r="K77" i="7"/>
  <c r="S77" i="7" s="1"/>
  <c r="K78" i="7"/>
  <c r="S78" i="7" s="1"/>
  <c r="K79" i="7"/>
  <c r="K80" i="7"/>
  <c r="S80" i="7" s="1"/>
  <c r="K81" i="7"/>
  <c r="S81" i="7" s="1"/>
  <c r="K82" i="7"/>
  <c r="S82" i="7" s="1"/>
  <c r="K83" i="7"/>
  <c r="K84" i="7"/>
  <c r="S84" i="7" s="1"/>
  <c r="K85" i="7"/>
  <c r="S85" i="7" s="1"/>
  <c r="K86" i="7"/>
  <c r="S86" i="7" s="1"/>
  <c r="K87" i="7"/>
  <c r="K88" i="7"/>
  <c r="S88" i="7" s="1"/>
  <c r="K89" i="7"/>
  <c r="S89" i="7" s="1"/>
  <c r="K90" i="7"/>
  <c r="S90" i="7" s="1"/>
  <c r="K91" i="7"/>
  <c r="K92" i="7"/>
  <c r="S92" i="7" s="1"/>
  <c r="K93" i="7"/>
  <c r="S93" i="7" s="1"/>
  <c r="K94" i="7"/>
  <c r="S94" i="7" s="1"/>
  <c r="K95" i="7"/>
  <c r="K96" i="7"/>
  <c r="S96" i="7" s="1"/>
  <c r="K97" i="7"/>
  <c r="S97" i="7" s="1"/>
  <c r="K98" i="7"/>
  <c r="S98" i="7" s="1"/>
  <c r="K99" i="7"/>
  <c r="K100" i="7"/>
  <c r="S100" i="7" s="1"/>
  <c r="K101" i="7"/>
  <c r="S101" i="7" s="1"/>
  <c r="K102" i="7"/>
  <c r="S102" i="7" s="1"/>
  <c r="K103" i="7"/>
  <c r="K104" i="7"/>
  <c r="S104" i="7" s="1"/>
  <c r="K105" i="7"/>
  <c r="S105" i="7" s="1"/>
  <c r="K106" i="7"/>
  <c r="S106" i="7" s="1"/>
  <c r="K107" i="7"/>
  <c r="K108" i="7"/>
  <c r="S108" i="7" s="1"/>
  <c r="K109" i="7"/>
  <c r="S109" i="7" s="1"/>
  <c r="K110" i="7"/>
  <c r="S110" i="7" s="1"/>
  <c r="K111" i="7"/>
  <c r="K112" i="7"/>
  <c r="S112" i="7" s="1"/>
  <c r="K113" i="7"/>
  <c r="S113" i="7" s="1"/>
  <c r="K114" i="7"/>
  <c r="S114" i="7" s="1"/>
  <c r="K115" i="7"/>
  <c r="K116" i="7"/>
  <c r="S116" i="7" s="1"/>
  <c r="K117" i="7"/>
  <c r="S117" i="7" s="1"/>
  <c r="K118" i="7"/>
  <c r="S118" i="7" s="1"/>
  <c r="K119" i="7"/>
  <c r="K120" i="7"/>
  <c r="S120" i="7" s="1"/>
  <c r="K121" i="7"/>
  <c r="S121" i="7" s="1"/>
  <c r="K122" i="7"/>
  <c r="S122" i="7" s="1"/>
  <c r="K123" i="7"/>
  <c r="K124" i="7"/>
  <c r="S124" i="7" s="1"/>
  <c r="K125" i="7"/>
  <c r="S125" i="7" s="1"/>
  <c r="K126" i="7"/>
  <c r="S126" i="7" s="1"/>
  <c r="K127" i="7"/>
  <c r="K128" i="7"/>
  <c r="S128" i="7" s="1"/>
  <c r="K129" i="7"/>
  <c r="S129" i="7" s="1"/>
  <c r="K130" i="7"/>
  <c r="S130" i="7" s="1"/>
  <c r="K131" i="7"/>
  <c r="K132" i="7"/>
  <c r="S132" i="7" s="1"/>
  <c r="K133" i="7"/>
  <c r="S133" i="7" s="1"/>
  <c r="K134" i="7"/>
  <c r="S134" i="7" s="1"/>
  <c r="K135" i="7"/>
  <c r="K136" i="7"/>
  <c r="S136" i="7" s="1"/>
  <c r="K137" i="7"/>
  <c r="S137" i="7" s="1"/>
  <c r="K138" i="7"/>
  <c r="S138" i="7" s="1"/>
  <c r="K139" i="7"/>
  <c r="K140" i="7"/>
  <c r="S140" i="7" s="1"/>
  <c r="K141" i="7"/>
  <c r="S141" i="7" s="1"/>
  <c r="K142" i="7"/>
  <c r="S142" i="7" s="1"/>
  <c r="K143" i="7"/>
  <c r="K144" i="7"/>
  <c r="S144" i="7" s="1"/>
  <c r="K145" i="7"/>
  <c r="S145" i="7" s="1"/>
  <c r="K146" i="7"/>
  <c r="S146" i="7" s="1"/>
  <c r="K147" i="7"/>
  <c r="K148" i="7"/>
  <c r="S148" i="7" s="1"/>
  <c r="K149" i="7"/>
  <c r="S149" i="7" s="1"/>
  <c r="K150" i="7"/>
  <c r="S150" i="7" s="1"/>
  <c r="K151" i="7"/>
  <c r="K152" i="7"/>
  <c r="S152" i="7" s="1"/>
  <c r="K153" i="7"/>
  <c r="S153" i="7" s="1"/>
  <c r="K154" i="7"/>
  <c r="S154" i="7" s="1"/>
  <c r="K155" i="7"/>
  <c r="K156" i="7"/>
  <c r="S156" i="7" s="1"/>
  <c r="K157" i="7"/>
  <c r="S157" i="7" s="1"/>
  <c r="K158" i="7"/>
  <c r="S158" i="7" s="1"/>
  <c r="K159" i="7"/>
  <c r="K160" i="7"/>
  <c r="S160" i="7" s="1"/>
  <c r="K161" i="7"/>
  <c r="S161" i="7" s="1"/>
  <c r="K162" i="7"/>
  <c r="S162" i="7" s="1"/>
  <c r="K163" i="7"/>
  <c r="K164" i="7"/>
  <c r="S164" i="7" s="1"/>
  <c r="K165" i="7"/>
  <c r="S165" i="7" s="1"/>
  <c r="K166" i="7"/>
  <c r="S166" i="7" s="1"/>
  <c r="K167" i="7"/>
  <c r="K168" i="7"/>
  <c r="S168" i="7" s="1"/>
  <c r="K169" i="7"/>
  <c r="S169" i="7" s="1"/>
  <c r="K170" i="7"/>
  <c r="S170" i="7" s="1"/>
  <c r="K171" i="7"/>
  <c r="K172" i="7"/>
  <c r="S172" i="7" s="1"/>
  <c r="K173" i="7"/>
  <c r="S173" i="7" s="1"/>
  <c r="K174" i="7"/>
  <c r="S174" i="7" s="1"/>
  <c r="K175" i="7"/>
  <c r="K176" i="7"/>
  <c r="S176" i="7" s="1"/>
  <c r="K177" i="7"/>
  <c r="S177" i="7" s="1"/>
  <c r="K178" i="7"/>
  <c r="S178" i="7" s="1"/>
  <c r="K179" i="7"/>
  <c r="K180" i="7"/>
  <c r="S180" i="7" s="1"/>
  <c r="K181" i="7"/>
  <c r="S181" i="7" s="1"/>
  <c r="K182" i="7"/>
  <c r="S182" i="7" s="1"/>
  <c r="K183" i="7"/>
  <c r="K184" i="7"/>
  <c r="S184" i="7" s="1"/>
  <c r="K185" i="7"/>
  <c r="S185" i="7" s="1"/>
  <c r="K186" i="7"/>
  <c r="S186" i="7" s="1"/>
  <c r="K187" i="7"/>
  <c r="K188" i="7"/>
  <c r="S188" i="7" s="1"/>
  <c r="K189" i="7"/>
  <c r="S189" i="7" s="1"/>
  <c r="K190" i="7"/>
  <c r="S190" i="7" s="1"/>
  <c r="K191" i="7"/>
  <c r="K192" i="7"/>
  <c r="S192" i="7" s="1"/>
  <c r="K193" i="7"/>
  <c r="S193" i="7" s="1"/>
  <c r="K194" i="7"/>
  <c r="S194" i="7" s="1"/>
  <c r="K195" i="7"/>
  <c r="K196" i="7"/>
  <c r="S196" i="7" s="1"/>
  <c r="K197" i="7"/>
  <c r="S197" i="7" s="1"/>
  <c r="K198" i="7"/>
  <c r="S198" i="7" s="1"/>
  <c r="K199" i="7"/>
  <c r="K200" i="7"/>
  <c r="S200" i="7" s="1"/>
  <c r="K201" i="7"/>
  <c r="S201" i="7" s="1"/>
  <c r="K202" i="7"/>
  <c r="S202" i="7" s="1"/>
  <c r="K203" i="7"/>
  <c r="K204" i="7"/>
  <c r="S204" i="7" s="1"/>
  <c r="K205" i="7"/>
  <c r="S205" i="7" s="1"/>
  <c r="K206" i="7"/>
  <c r="S206" i="7" s="1"/>
  <c r="K207" i="7"/>
  <c r="K208" i="7"/>
  <c r="S208" i="7" s="1"/>
  <c r="K209" i="7"/>
  <c r="S209" i="7" s="1"/>
  <c r="K210" i="7"/>
  <c r="S210" i="7" s="1"/>
  <c r="K211" i="7"/>
  <c r="K212" i="7"/>
  <c r="S212" i="7" s="1"/>
  <c r="K213" i="7"/>
  <c r="S213" i="7" s="1"/>
  <c r="K214" i="7"/>
  <c r="S214" i="7" s="1"/>
  <c r="K215" i="7"/>
  <c r="K216" i="7"/>
  <c r="S216" i="7" s="1"/>
  <c r="K217" i="7"/>
  <c r="S217" i="7" s="1"/>
  <c r="K218" i="7"/>
  <c r="S218" i="7" s="1"/>
  <c r="K219" i="7"/>
  <c r="K220" i="7"/>
  <c r="S220" i="7" s="1"/>
  <c r="K221" i="7"/>
  <c r="S221" i="7" s="1"/>
  <c r="K222" i="7"/>
  <c r="S222" i="7" s="1"/>
  <c r="K223" i="7"/>
  <c r="K224" i="7"/>
  <c r="S224" i="7" s="1"/>
  <c r="K225" i="7"/>
  <c r="S225" i="7" s="1"/>
  <c r="K226" i="7"/>
  <c r="S226" i="7" s="1"/>
  <c r="K227" i="7"/>
  <c r="K228" i="7"/>
  <c r="S228" i="7" s="1"/>
  <c r="K229" i="7"/>
  <c r="S229" i="7" s="1"/>
  <c r="K230" i="7"/>
  <c r="S230" i="7" s="1"/>
  <c r="K231" i="7"/>
  <c r="K232" i="7"/>
  <c r="S232" i="7" s="1"/>
  <c r="K233" i="7"/>
  <c r="S233" i="7" s="1"/>
  <c r="K234" i="7"/>
  <c r="S234" i="7" s="1"/>
  <c r="K235" i="7"/>
  <c r="K236" i="7"/>
  <c r="S236" i="7" s="1"/>
  <c r="K237" i="7"/>
  <c r="S237" i="7" s="1"/>
  <c r="K238" i="7"/>
  <c r="S238" i="7" s="1"/>
  <c r="K239" i="7"/>
  <c r="K240" i="7"/>
  <c r="S240" i="7" s="1"/>
  <c r="K241" i="7"/>
  <c r="S241" i="7" s="1"/>
  <c r="K242" i="7"/>
  <c r="S242" i="7" s="1"/>
  <c r="K243" i="7"/>
  <c r="K244" i="7"/>
  <c r="S244" i="7" s="1"/>
  <c r="K245" i="7"/>
  <c r="S245" i="7" s="1"/>
  <c r="K246" i="7"/>
  <c r="S246" i="7" s="1"/>
  <c r="K247" i="7"/>
  <c r="K248" i="7"/>
  <c r="S248" i="7" s="1"/>
  <c r="K249" i="7"/>
  <c r="S249" i="7" s="1"/>
  <c r="K250" i="7"/>
  <c r="S250" i="7" s="1"/>
  <c r="K251" i="7"/>
  <c r="K252" i="7"/>
  <c r="S252" i="7" s="1"/>
  <c r="K253" i="7"/>
  <c r="S253" i="7" s="1"/>
  <c r="K254" i="7"/>
  <c r="S254" i="7" s="1"/>
  <c r="K255" i="7"/>
  <c r="K256" i="7"/>
  <c r="S256" i="7" s="1"/>
  <c r="K257" i="7"/>
  <c r="S257" i="7" s="1"/>
  <c r="K258" i="7"/>
  <c r="S258" i="7" s="1"/>
  <c r="K259" i="7"/>
  <c r="K260" i="7"/>
  <c r="S260" i="7" s="1"/>
  <c r="K261" i="7"/>
  <c r="S261" i="7" s="1"/>
  <c r="K262" i="7"/>
  <c r="S262" i="7" s="1"/>
  <c r="K263" i="7"/>
  <c r="K264" i="7"/>
  <c r="S264" i="7" s="1"/>
  <c r="K265" i="7"/>
  <c r="S265" i="7" s="1"/>
  <c r="K266" i="7"/>
  <c r="S266" i="7" s="1"/>
  <c r="K267" i="7"/>
  <c r="K268" i="7"/>
  <c r="S268" i="7" s="1"/>
  <c r="K269" i="7"/>
  <c r="S269" i="7" s="1"/>
  <c r="K270" i="7"/>
  <c r="S270" i="7" s="1"/>
  <c r="K271" i="7"/>
  <c r="K272" i="7"/>
  <c r="S272" i="7" s="1"/>
  <c r="K273" i="7"/>
  <c r="S273" i="7" s="1"/>
  <c r="K274" i="7"/>
  <c r="S274" i="7" s="1"/>
  <c r="K275" i="7"/>
  <c r="K276" i="7"/>
  <c r="S276" i="7" s="1"/>
  <c r="K277" i="7"/>
  <c r="S277" i="7" s="1"/>
  <c r="K278" i="7"/>
  <c r="S278" i="7" s="1"/>
  <c r="K279" i="7"/>
  <c r="K280" i="7"/>
  <c r="S280" i="7" s="1"/>
  <c r="K281" i="7"/>
  <c r="S281" i="7" s="1"/>
  <c r="K282" i="7"/>
  <c r="S282" i="7" s="1"/>
  <c r="K283" i="7"/>
  <c r="K284" i="7"/>
  <c r="S284" i="7" s="1"/>
  <c r="K285" i="7"/>
  <c r="S285" i="7" s="1"/>
  <c r="K286" i="7"/>
  <c r="S286" i="7" s="1"/>
  <c r="K287" i="7"/>
  <c r="K288" i="7"/>
  <c r="S288" i="7" s="1"/>
  <c r="K289" i="7"/>
  <c r="S289" i="7" s="1"/>
  <c r="K290" i="7"/>
  <c r="S290" i="7" s="1"/>
  <c r="K291" i="7"/>
  <c r="K292" i="7"/>
  <c r="S292" i="7" s="1"/>
  <c r="K293" i="7"/>
  <c r="S293" i="7" s="1"/>
  <c r="K294" i="7"/>
  <c r="S294" i="7" s="1"/>
  <c r="K295" i="7"/>
  <c r="K296" i="7"/>
  <c r="S296" i="7" s="1"/>
  <c r="K297" i="7"/>
  <c r="S297" i="7" s="1"/>
  <c r="K298" i="7"/>
  <c r="S298" i="7" s="1"/>
  <c r="K299" i="7"/>
  <c r="K300" i="7"/>
  <c r="S300" i="7" s="1"/>
  <c r="K301" i="7"/>
  <c r="S301" i="7" s="1"/>
  <c r="K302" i="7"/>
  <c r="S302" i="7" s="1"/>
  <c r="K303" i="7"/>
  <c r="K304" i="7"/>
  <c r="S304" i="7" s="1"/>
  <c r="K305" i="7"/>
  <c r="S305" i="7" s="1"/>
  <c r="K306" i="7"/>
  <c r="S306" i="7" s="1"/>
  <c r="K307" i="7"/>
  <c r="K308" i="7"/>
  <c r="S308" i="7" s="1"/>
  <c r="K309" i="7"/>
  <c r="S309" i="7" s="1"/>
  <c r="K310" i="7"/>
  <c r="S310" i="7" s="1"/>
  <c r="K311" i="7"/>
  <c r="K312" i="7"/>
  <c r="S312" i="7" s="1"/>
  <c r="K313" i="7"/>
  <c r="S313" i="7" s="1"/>
  <c r="K314" i="7"/>
  <c r="S314" i="7" s="1"/>
  <c r="K315" i="7"/>
  <c r="K316" i="7"/>
  <c r="S316" i="7" s="1"/>
  <c r="K317" i="7"/>
  <c r="S317" i="7" s="1"/>
  <c r="K318" i="7"/>
  <c r="S318" i="7" s="1"/>
  <c r="K319" i="7"/>
  <c r="K320" i="7"/>
  <c r="S320" i="7" s="1"/>
  <c r="K321" i="7"/>
  <c r="S321" i="7" s="1"/>
  <c r="K322" i="7"/>
  <c r="S322" i="7" s="1"/>
  <c r="K323" i="7"/>
  <c r="K324" i="7"/>
  <c r="S324" i="7" s="1"/>
  <c r="K325" i="7"/>
  <c r="S325" i="7" s="1"/>
  <c r="K326" i="7"/>
  <c r="S326" i="7" s="1"/>
  <c r="K327" i="7"/>
  <c r="K328" i="7"/>
  <c r="S328" i="7" s="1"/>
  <c r="K329" i="7"/>
  <c r="S329" i="7" s="1"/>
  <c r="K330" i="7"/>
  <c r="S330" i="7" s="1"/>
  <c r="K331" i="7"/>
  <c r="K332" i="7"/>
  <c r="S332" i="7" s="1"/>
  <c r="K333" i="7"/>
  <c r="S333" i="7" s="1"/>
  <c r="K334" i="7"/>
  <c r="S334" i="7" s="1"/>
  <c r="K335" i="7"/>
  <c r="K336" i="7"/>
  <c r="S336" i="7" s="1"/>
  <c r="K337" i="7"/>
  <c r="S337" i="7" s="1"/>
  <c r="K338" i="7"/>
  <c r="S338" i="7" s="1"/>
  <c r="K339" i="7"/>
  <c r="K340" i="7"/>
  <c r="S340" i="7" s="1"/>
  <c r="K341" i="7"/>
  <c r="S341" i="7" s="1"/>
  <c r="K342" i="7"/>
  <c r="S342" i="7" s="1"/>
  <c r="K343" i="7"/>
  <c r="K344" i="7"/>
  <c r="S344" i="7" s="1"/>
  <c r="K345" i="7"/>
  <c r="S345" i="7" s="1"/>
  <c r="K346" i="7"/>
  <c r="S346" i="7" s="1"/>
  <c r="K347" i="7"/>
  <c r="K348" i="7"/>
  <c r="S348" i="7" s="1"/>
  <c r="K349" i="7"/>
  <c r="S349" i="7" s="1"/>
  <c r="K350" i="7"/>
  <c r="S350" i="7" s="1"/>
  <c r="K351" i="7"/>
  <c r="K352" i="7"/>
  <c r="S352" i="7" s="1"/>
  <c r="K353" i="7"/>
  <c r="S353" i="7" s="1"/>
  <c r="K354" i="7"/>
  <c r="S354" i="7" s="1"/>
  <c r="K355" i="7"/>
  <c r="K356" i="7"/>
  <c r="S356" i="7" s="1"/>
  <c r="K357" i="7"/>
  <c r="S357" i="7" s="1"/>
  <c r="K358" i="7"/>
  <c r="S358" i="7" s="1"/>
  <c r="K359" i="7"/>
  <c r="K360" i="7"/>
  <c r="S360" i="7" s="1"/>
  <c r="K361" i="7"/>
  <c r="S361" i="7" s="1"/>
  <c r="K362" i="7"/>
  <c r="S362" i="7" s="1"/>
  <c r="K363" i="7"/>
  <c r="K364" i="7"/>
  <c r="S364" i="7" s="1"/>
  <c r="K365" i="7"/>
  <c r="S365" i="7" s="1"/>
  <c r="K366" i="7"/>
  <c r="S366" i="7" s="1"/>
  <c r="K367" i="7"/>
  <c r="K368" i="7"/>
  <c r="S368" i="7" s="1"/>
  <c r="K369" i="7"/>
  <c r="S369" i="7" s="1"/>
  <c r="K370" i="7"/>
  <c r="S370" i="7" s="1"/>
  <c r="K371" i="7"/>
  <c r="K372" i="7"/>
  <c r="S372" i="7" s="1"/>
  <c r="K373" i="7"/>
  <c r="S373" i="7" s="1"/>
  <c r="K374" i="7"/>
  <c r="S374" i="7" s="1"/>
  <c r="K375" i="7"/>
  <c r="K376" i="7"/>
  <c r="S376" i="7" s="1"/>
  <c r="K377" i="7"/>
  <c r="S377" i="7" s="1"/>
  <c r="K378" i="7"/>
  <c r="S378" i="7" s="1"/>
  <c r="K379" i="7"/>
  <c r="K380" i="7"/>
  <c r="S380" i="7" s="1"/>
  <c r="K381" i="7"/>
  <c r="S381" i="7" s="1"/>
  <c r="K382" i="7"/>
  <c r="S382" i="7" s="1"/>
  <c r="K383" i="7"/>
  <c r="K384" i="7"/>
  <c r="S384" i="7" s="1"/>
  <c r="K385" i="7"/>
  <c r="S385" i="7" s="1"/>
  <c r="K386" i="7"/>
  <c r="S386" i="7" s="1"/>
  <c r="K387" i="7"/>
  <c r="K388" i="7"/>
  <c r="S388" i="7" s="1"/>
  <c r="K389" i="7"/>
  <c r="S389" i="7" s="1"/>
  <c r="K390" i="7"/>
  <c r="S390" i="7" s="1"/>
  <c r="K391" i="7"/>
  <c r="K392" i="7"/>
  <c r="S392" i="7" s="1"/>
  <c r="K393" i="7"/>
  <c r="S393" i="7" s="1"/>
  <c r="K394" i="7"/>
  <c r="S394" i="7" s="1"/>
  <c r="K395" i="7"/>
  <c r="K396" i="7"/>
  <c r="S396" i="7" s="1"/>
  <c r="K397" i="7"/>
  <c r="S397" i="7" s="1"/>
  <c r="K398" i="7"/>
  <c r="S398" i="7" s="1"/>
  <c r="K399" i="7"/>
  <c r="K400" i="7"/>
  <c r="S400" i="7" s="1"/>
  <c r="K401" i="7"/>
  <c r="S401" i="7" s="1"/>
  <c r="K402" i="7"/>
  <c r="S402" i="7" s="1"/>
  <c r="K403" i="7"/>
  <c r="K404" i="7"/>
  <c r="S404" i="7" s="1"/>
  <c r="K405" i="7"/>
  <c r="S405" i="7" s="1"/>
  <c r="K406" i="7"/>
  <c r="S406" i="7" s="1"/>
  <c r="K407" i="7"/>
  <c r="K408" i="7"/>
  <c r="S408" i="7" s="1"/>
  <c r="K409" i="7"/>
  <c r="S409" i="7" s="1"/>
  <c r="K410" i="7"/>
  <c r="S410" i="7" s="1"/>
  <c r="K411" i="7"/>
  <c r="K412" i="7"/>
  <c r="S412" i="7" s="1"/>
  <c r="K413" i="7"/>
  <c r="S413" i="7" s="1"/>
  <c r="K414" i="7"/>
  <c r="S414" i="7" s="1"/>
  <c r="K415" i="7"/>
  <c r="K416" i="7"/>
  <c r="S416" i="7" s="1"/>
  <c r="K417" i="7"/>
  <c r="S417" i="7" s="1"/>
  <c r="K418" i="7"/>
  <c r="S418" i="7" s="1"/>
  <c r="K419" i="7"/>
  <c r="K420" i="7"/>
  <c r="S420" i="7" s="1"/>
  <c r="K421" i="7"/>
  <c r="S421" i="7" s="1"/>
  <c r="K422" i="7"/>
  <c r="S422" i="7" s="1"/>
  <c r="K423" i="7"/>
  <c r="K424" i="7"/>
  <c r="S424" i="7" s="1"/>
  <c r="K425" i="7"/>
  <c r="S425" i="7" s="1"/>
  <c r="K426" i="7"/>
  <c r="S426" i="7" s="1"/>
  <c r="K427" i="7"/>
  <c r="K428" i="7"/>
  <c r="S428" i="7" s="1"/>
  <c r="K429" i="7"/>
  <c r="S429" i="7" s="1"/>
  <c r="K430" i="7"/>
  <c r="S430" i="7" s="1"/>
  <c r="K431" i="7"/>
  <c r="K432" i="7"/>
  <c r="S432" i="7" s="1"/>
  <c r="K433" i="7"/>
  <c r="S433" i="7" s="1"/>
  <c r="K434" i="7"/>
  <c r="S434" i="7" s="1"/>
  <c r="K435" i="7"/>
  <c r="K436" i="7"/>
  <c r="S436" i="7" s="1"/>
  <c r="K437" i="7"/>
  <c r="S437" i="7" s="1"/>
  <c r="K438" i="7"/>
  <c r="S438" i="7" s="1"/>
  <c r="K439" i="7"/>
  <c r="K440" i="7"/>
  <c r="S440" i="7" s="1"/>
  <c r="K441" i="7"/>
  <c r="S441" i="7" s="1"/>
  <c r="K442" i="7"/>
  <c r="S442" i="7" s="1"/>
  <c r="K443" i="7"/>
  <c r="K444" i="7"/>
  <c r="S444" i="7" s="1"/>
  <c r="K445" i="7"/>
  <c r="S445" i="7" s="1"/>
  <c r="K446" i="7"/>
  <c r="S446" i="7" s="1"/>
  <c r="K447" i="7"/>
  <c r="K448" i="7"/>
  <c r="S448" i="7" s="1"/>
  <c r="K449" i="7"/>
  <c r="S449" i="7" s="1"/>
  <c r="K450" i="7"/>
  <c r="S450" i="7" s="1"/>
  <c r="K451" i="7"/>
  <c r="K452" i="7"/>
  <c r="S452" i="7" s="1"/>
  <c r="K453" i="7"/>
  <c r="S453" i="7" s="1"/>
  <c r="K454" i="7"/>
  <c r="S454" i="7" s="1"/>
  <c r="K455" i="7"/>
  <c r="K456" i="7"/>
  <c r="S456" i="7" s="1"/>
  <c r="K457" i="7"/>
  <c r="S457" i="7" s="1"/>
  <c r="K458" i="7"/>
  <c r="S458" i="7" s="1"/>
  <c r="K459" i="7"/>
  <c r="K460" i="7"/>
  <c r="S460" i="7" s="1"/>
  <c r="K461" i="7"/>
  <c r="S461" i="7" s="1"/>
  <c r="K462" i="7"/>
  <c r="S462" i="7" s="1"/>
  <c r="K463" i="7"/>
  <c r="K464" i="7"/>
  <c r="S464" i="7" s="1"/>
  <c r="K465" i="7"/>
  <c r="S465" i="7" s="1"/>
  <c r="K466" i="7"/>
  <c r="S466" i="7" s="1"/>
  <c r="K467" i="7"/>
  <c r="K468" i="7"/>
  <c r="S468" i="7" s="1"/>
  <c r="K469" i="7"/>
  <c r="S469" i="7" s="1"/>
  <c r="K470" i="7"/>
  <c r="S470" i="7" s="1"/>
  <c r="K471" i="7"/>
  <c r="K472" i="7"/>
  <c r="S472" i="7" s="1"/>
  <c r="K473" i="7"/>
  <c r="S473" i="7" s="1"/>
  <c r="K474" i="7"/>
  <c r="S474" i="7" s="1"/>
  <c r="K475" i="7"/>
  <c r="K476" i="7"/>
  <c r="S476" i="7" s="1"/>
  <c r="K477" i="7"/>
  <c r="S477" i="7" s="1"/>
  <c r="K478" i="7"/>
  <c r="S478" i="7" s="1"/>
  <c r="K479" i="7"/>
  <c r="K480" i="7"/>
  <c r="S480" i="7" s="1"/>
  <c r="K481" i="7"/>
  <c r="S481" i="7" s="1"/>
  <c r="K482" i="7"/>
  <c r="S482" i="7" s="1"/>
  <c r="K483" i="7"/>
  <c r="K484" i="7"/>
  <c r="S484" i="7" s="1"/>
  <c r="K485" i="7"/>
  <c r="S485" i="7" s="1"/>
  <c r="K486" i="7"/>
  <c r="S486" i="7" s="1"/>
  <c r="K487" i="7"/>
  <c r="K488" i="7"/>
  <c r="S488" i="7" s="1"/>
  <c r="K489" i="7"/>
  <c r="S489" i="7" s="1"/>
  <c r="K490" i="7"/>
  <c r="S490" i="7" s="1"/>
  <c r="K491" i="7"/>
  <c r="S491" i="7" s="1"/>
  <c r="K492" i="7"/>
  <c r="S492" i="7" s="1"/>
  <c r="K493" i="7"/>
  <c r="S493" i="7" s="1"/>
  <c r="K494" i="7"/>
  <c r="S494" i="7" s="1"/>
  <c r="K495" i="7"/>
  <c r="S495" i="7" s="1"/>
  <c r="K496" i="7"/>
  <c r="S496" i="7" s="1"/>
  <c r="K497" i="7"/>
  <c r="S497" i="7" s="1"/>
  <c r="K498" i="7"/>
  <c r="S498" i="7" s="1"/>
  <c r="K499" i="7"/>
  <c r="S499" i="7" s="1"/>
  <c r="K500" i="7"/>
  <c r="S500" i="7" s="1"/>
  <c r="K501" i="7"/>
  <c r="S501" i="7" s="1"/>
  <c r="K502" i="7"/>
  <c r="S502" i="7" s="1"/>
  <c r="K503" i="7"/>
  <c r="S503" i="7" s="1"/>
  <c r="K504" i="7"/>
  <c r="S504" i="7" s="1"/>
  <c r="K505" i="7"/>
  <c r="S505" i="7" s="1"/>
  <c r="K506" i="7"/>
  <c r="S506" i="7" s="1"/>
  <c r="K507" i="7"/>
  <c r="S507" i="7" s="1"/>
  <c r="K508" i="7"/>
  <c r="S508" i="7" s="1"/>
  <c r="K509" i="7"/>
  <c r="S509" i="7" s="1"/>
  <c r="K510" i="7"/>
  <c r="S510" i="7" s="1"/>
  <c r="K511" i="7"/>
  <c r="S511" i="7" s="1"/>
  <c r="K512" i="7"/>
  <c r="S512" i="7" s="1"/>
  <c r="K513" i="7"/>
  <c r="S513" i="7" s="1"/>
  <c r="K514" i="7"/>
  <c r="S514" i="7" s="1"/>
  <c r="K515" i="7"/>
  <c r="S515" i="7" s="1"/>
  <c r="K516" i="7"/>
  <c r="S516" i="7" s="1"/>
  <c r="K517" i="7"/>
  <c r="S517" i="7" s="1"/>
  <c r="K518" i="7"/>
  <c r="S518" i="7" s="1"/>
  <c r="K519" i="7"/>
  <c r="S519" i="7" s="1"/>
  <c r="K520" i="7"/>
  <c r="S520" i="7" s="1"/>
  <c r="K521" i="7"/>
  <c r="S521" i="7" s="1"/>
  <c r="K522" i="7"/>
  <c r="S522" i="7" s="1"/>
  <c r="K523" i="7"/>
  <c r="S523" i="7" s="1"/>
  <c r="K524" i="7"/>
  <c r="S524" i="7" s="1"/>
  <c r="K525" i="7"/>
  <c r="S525" i="7" s="1"/>
  <c r="K526" i="7"/>
  <c r="S526" i="7" s="1"/>
  <c r="K527" i="7"/>
  <c r="S527" i="7" s="1"/>
  <c r="K528" i="7"/>
  <c r="S528" i="7" s="1"/>
  <c r="K529" i="7"/>
  <c r="S529" i="7" s="1"/>
  <c r="K530" i="7"/>
  <c r="S530" i="7" s="1"/>
  <c r="K531" i="7"/>
  <c r="S531" i="7" s="1"/>
  <c r="K532" i="7"/>
  <c r="S532" i="7" s="1"/>
  <c r="K533" i="7"/>
  <c r="S533" i="7" s="1"/>
  <c r="K534" i="7"/>
  <c r="S534" i="7" s="1"/>
  <c r="K535" i="7"/>
  <c r="S535" i="7" s="1"/>
  <c r="K536" i="7"/>
  <c r="S536" i="7" s="1"/>
  <c r="K537" i="7"/>
  <c r="S537" i="7" s="1"/>
  <c r="K538" i="7"/>
  <c r="S538" i="7" s="1"/>
  <c r="K539" i="7"/>
  <c r="S539" i="7" s="1"/>
  <c r="K540" i="7"/>
  <c r="S540" i="7" s="1"/>
  <c r="K541" i="7"/>
  <c r="S541" i="7" s="1"/>
  <c r="K542" i="7"/>
  <c r="S542" i="7" s="1"/>
  <c r="K543" i="7"/>
  <c r="S543" i="7" s="1"/>
  <c r="K544" i="7"/>
  <c r="S544" i="7" s="1"/>
  <c r="K545" i="7"/>
  <c r="S545" i="7" s="1"/>
  <c r="K546" i="7"/>
  <c r="S546" i="7" s="1"/>
  <c r="K547" i="7"/>
  <c r="S547" i="7" s="1"/>
  <c r="K548" i="7"/>
  <c r="S548" i="7" s="1"/>
  <c r="K549" i="7"/>
  <c r="S549" i="7" s="1"/>
  <c r="K550" i="7"/>
  <c r="S550" i="7" s="1"/>
  <c r="K551" i="7"/>
  <c r="S551" i="7" s="1"/>
  <c r="K552" i="7"/>
  <c r="S552" i="7" s="1"/>
  <c r="K553" i="7"/>
  <c r="S553" i="7" s="1"/>
  <c r="K554" i="7"/>
  <c r="S554" i="7" s="1"/>
  <c r="K555" i="7"/>
  <c r="S555" i="7" s="1"/>
  <c r="K556" i="7"/>
  <c r="S556" i="7" s="1"/>
  <c r="K557" i="7"/>
  <c r="S557" i="7" s="1"/>
  <c r="K558" i="7"/>
  <c r="S558" i="7" s="1"/>
  <c r="K559" i="7"/>
  <c r="S559" i="7" s="1"/>
  <c r="K560" i="7"/>
  <c r="S560" i="7" s="1"/>
  <c r="K561" i="7"/>
  <c r="S561" i="7" s="1"/>
  <c r="K562" i="7"/>
  <c r="S562" i="7" s="1"/>
  <c r="K563" i="7"/>
  <c r="S563" i="7" s="1"/>
  <c r="K564" i="7"/>
  <c r="S564" i="7" s="1"/>
  <c r="K565" i="7"/>
  <c r="S565" i="7" s="1"/>
  <c r="K566" i="7"/>
  <c r="S566" i="7" s="1"/>
  <c r="K567" i="7"/>
  <c r="S567" i="7" s="1"/>
  <c r="K568" i="7"/>
  <c r="S568" i="7" s="1"/>
  <c r="K569" i="7"/>
  <c r="S569" i="7" s="1"/>
  <c r="K570" i="7"/>
  <c r="S570" i="7" s="1"/>
  <c r="K571" i="7"/>
  <c r="S571" i="7" s="1"/>
  <c r="K572" i="7"/>
  <c r="S572" i="7" s="1"/>
  <c r="K573" i="7"/>
  <c r="S573" i="7" s="1"/>
  <c r="K574" i="7"/>
  <c r="S574" i="7" s="1"/>
  <c r="K575" i="7"/>
  <c r="S575" i="7" s="1"/>
  <c r="K576" i="7"/>
  <c r="S576" i="7" s="1"/>
  <c r="K577" i="7"/>
  <c r="S577" i="7" s="1"/>
  <c r="K578" i="7"/>
  <c r="S578" i="7" s="1"/>
  <c r="K579" i="7"/>
  <c r="S579" i="7" s="1"/>
  <c r="K580" i="7"/>
  <c r="S580" i="7" s="1"/>
  <c r="K581" i="7"/>
  <c r="S581" i="7" s="1"/>
  <c r="K582" i="7"/>
  <c r="S582" i="7" s="1"/>
  <c r="K583" i="7"/>
  <c r="S583" i="7" s="1"/>
  <c r="K584" i="7"/>
  <c r="S584" i="7" s="1"/>
  <c r="K585" i="7"/>
  <c r="S585" i="7" s="1"/>
  <c r="K586" i="7"/>
  <c r="S586" i="7" s="1"/>
  <c r="K587" i="7"/>
  <c r="S587" i="7" s="1"/>
  <c r="K588" i="7"/>
  <c r="S588" i="7" s="1"/>
  <c r="K589" i="7"/>
  <c r="S589" i="7" s="1"/>
  <c r="K590" i="7"/>
  <c r="S590" i="7" s="1"/>
  <c r="K591" i="7"/>
  <c r="S591" i="7" s="1"/>
  <c r="K592" i="7"/>
  <c r="S592" i="7" s="1"/>
  <c r="K593" i="7"/>
  <c r="S593" i="7" s="1"/>
  <c r="K594" i="7"/>
  <c r="S594" i="7" s="1"/>
  <c r="K595" i="7"/>
  <c r="S595" i="7" s="1"/>
  <c r="K596" i="7"/>
  <c r="S596" i="7" s="1"/>
  <c r="K597" i="7"/>
  <c r="S597" i="7" s="1"/>
  <c r="K598" i="7"/>
  <c r="S598" i="7" s="1"/>
  <c r="K599" i="7"/>
  <c r="S599" i="7" s="1"/>
  <c r="K600" i="7"/>
  <c r="S600" i="7" s="1"/>
  <c r="K601" i="7"/>
  <c r="S601" i="7" s="1"/>
  <c r="K602" i="7"/>
  <c r="S602" i="7" s="1"/>
  <c r="K603" i="7"/>
  <c r="S603" i="7" s="1"/>
  <c r="K604" i="7"/>
  <c r="S604" i="7" s="1"/>
  <c r="K605" i="7"/>
  <c r="S605" i="7" s="1"/>
  <c r="K606" i="7"/>
  <c r="S606" i="7" s="1"/>
  <c r="K607" i="7"/>
  <c r="S607" i="7" s="1"/>
  <c r="K608" i="7"/>
  <c r="S608" i="7" s="1"/>
  <c r="K609" i="7"/>
  <c r="S609" i="7" s="1"/>
  <c r="K610" i="7"/>
  <c r="S610" i="7" s="1"/>
  <c r="K611" i="7"/>
  <c r="S611" i="7" s="1"/>
  <c r="K612" i="7"/>
  <c r="S612" i="7" s="1"/>
  <c r="K613" i="7"/>
  <c r="S613" i="7" s="1"/>
  <c r="K614" i="7"/>
  <c r="S614" i="7" s="1"/>
  <c r="K615" i="7"/>
  <c r="S615" i="7" s="1"/>
  <c r="K616" i="7"/>
  <c r="S616" i="7" s="1"/>
  <c r="K617" i="7"/>
  <c r="S617" i="7" s="1"/>
  <c r="K618" i="7"/>
  <c r="S618" i="7" s="1"/>
  <c r="K619" i="7"/>
  <c r="S619" i="7" s="1"/>
  <c r="K620" i="7"/>
  <c r="S620" i="7" s="1"/>
  <c r="K621" i="7"/>
  <c r="S621" i="7" s="1"/>
  <c r="K622" i="7"/>
  <c r="S622" i="7" s="1"/>
  <c r="K623" i="7"/>
  <c r="S623" i="7" s="1"/>
  <c r="K624" i="7"/>
  <c r="S624" i="7" s="1"/>
  <c r="K625" i="7"/>
  <c r="S625" i="7" s="1"/>
  <c r="K626" i="7"/>
  <c r="S626" i="7" s="1"/>
  <c r="K627" i="7"/>
  <c r="S627" i="7" s="1"/>
  <c r="K628" i="7"/>
  <c r="S628" i="7" s="1"/>
  <c r="K629" i="7"/>
  <c r="S629" i="7" s="1"/>
  <c r="K630" i="7"/>
  <c r="S630" i="7" s="1"/>
  <c r="K631" i="7"/>
  <c r="S631" i="7" s="1"/>
  <c r="K632" i="7"/>
  <c r="S632" i="7" s="1"/>
  <c r="K633" i="7"/>
  <c r="S633" i="7" s="1"/>
  <c r="K634" i="7"/>
  <c r="S634" i="7" s="1"/>
  <c r="K635" i="7"/>
  <c r="S635" i="7" s="1"/>
  <c r="K636" i="7"/>
  <c r="S636" i="7" s="1"/>
  <c r="K637" i="7"/>
  <c r="S637" i="7" s="1"/>
  <c r="K638" i="7"/>
  <c r="S638" i="7" s="1"/>
  <c r="K639" i="7"/>
  <c r="S639" i="7" s="1"/>
  <c r="K640" i="7"/>
  <c r="S640" i="7" s="1"/>
  <c r="K641" i="7"/>
  <c r="S641" i="7" s="1"/>
  <c r="K642" i="7"/>
  <c r="S642" i="7" s="1"/>
  <c r="K643" i="7"/>
  <c r="S643" i="7" s="1"/>
  <c r="K644" i="7"/>
  <c r="S644" i="7" s="1"/>
  <c r="K645" i="7"/>
  <c r="S645" i="7" s="1"/>
  <c r="K646" i="7"/>
  <c r="S646" i="7" s="1"/>
  <c r="K647" i="7"/>
  <c r="S647" i="7" s="1"/>
  <c r="K648" i="7"/>
  <c r="S648" i="7" s="1"/>
  <c r="K649" i="7"/>
  <c r="S649" i="7" s="1"/>
  <c r="K650" i="7"/>
  <c r="S650" i="7" s="1"/>
  <c r="K651" i="7"/>
  <c r="S651" i="7" s="1"/>
  <c r="K652" i="7"/>
  <c r="S652" i="7" s="1"/>
  <c r="K653" i="7"/>
  <c r="S653" i="7" s="1"/>
  <c r="K654" i="7"/>
  <c r="S654" i="7" s="1"/>
  <c r="K655" i="7"/>
  <c r="S655" i="7" s="1"/>
  <c r="K656" i="7"/>
  <c r="S656" i="7" s="1"/>
  <c r="K657" i="7"/>
  <c r="S657" i="7" s="1"/>
  <c r="K658" i="7"/>
  <c r="S658" i="7" s="1"/>
  <c r="K659" i="7"/>
  <c r="S659" i="7" s="1"/>
  <c r="K660" i="7"/>
  <c r="S660" i="7" s="1"/>
  <c r="K661" i="7"/>
  <c r="S661" i="7" s="1"/>
  <c r="K662" i="7"/>
  <c r="S662" i="7" s="1"/>
  <c r="K663" i="7"/>
  <c r="S663" i="7" s="1"/>
  <c r="K664" i="7"/>
  <c r="S664" i="7" s="1"/>
  <c r="K665" i="7"/>
  <c r="S665" i="7" s="1"/>
  <c r="K666" i="7"/>
  <c r="S666" i="7" s="1"/>
  <c r="K667" i="7"/>
  <c r="S667" i="7" s="1"/>
  <c r="K668" i="7"/>
  <c r="S668" i="7" s="1"/>
  <c r="K669" i="7"/>
  <c r="S669" i="7" s="1"/>
  <c r="K670" i="7"/>
  <c r="S670" i="7" s="1"/>
  <c r="K671" i="7"/>
  <c r="S671" i="7" s="1"/>
  <c r="K672" i="7"/>
  <c r="S672" i="7" s="1"/>
  <c r="K673" i="7"/>
  <c r="S673" i="7" s="1"/>
  <c r="K674" i="7"/>
  <c r="S674" i="7" s="1"/>
  <c r="K675" i="7"/>
  <c r="S675" i="7" s="1"/>
  <c r="K676" i="7"/>
  <c r="S676" i="7" s="1"/>
  <c r="K677" i="7"/>
  <c r="S677" i="7" s="1"/>
  <c r="K678" i="7"/>
  <c r="S678" i="7" s="1"/>
  <c r="K679" i="7"/>
  <c r="S679" i="7" s="1"/>
  <c r="K680" i="7"/>
  <c r="S680" i="7" s="1"/>
  <c r="K681" i="7"/>
  <c r="S681" i="7" s="1"/>
  <c r="K682" i="7"/>
  <c r="S682" i="7" s="1"/>
  <c r="K683" i="7"/>
  <c r="S683" i="7" s="1"/>
  <c r="K684" i="7"/>
  <c r="S684" i="7" s="1"/>
  <c r="K685" i="7"/>
  <c r="S685" i="7" s="1"/>
  <c r="K686" i="7"/>
  <c r="S686" i="7" s="1"/>
  <c r="K687" i="7"/>
  <c r="S687" i="7" s="1"/>
  <c r="K688" i="7"/>
  <c r="S688" i="7" s="1"/>
  <c r="K689" i="7"/>
  <c r="S689" i="7" s="1"/>
  <c r="K690" i="7"/>
  <c r="S690" i="7" s="1"/>
  <c r="K691" i="7"/>
  <c r="S691" i="7" s="1"/>
  <c r="K692" i="7"/>
  <c r="S692" i="7" s="1"/>
  <c r="K693" i="7"/>
  <c r="S693" i="7" s="1"/>
  <c r="K694" i="7"/>
  <c r="S694" i="7" s="1"/>
  <c r="K695" i="7"/>
  <c r="S695" i="7" s="1"/>
  <c r="K696" i="7"/>
  <c r="S696" i="7" s="1"/>
  <c r="K697" i="7"/>
  <c r="S697" i="7" s="1"/>
  <c r="K698" i="7"/>
  <c r="S698" i="7" s="1"/>
  <c r="K699" i="7"/>
  <c r="S699" i="7" s="1"/>
  <c r="K700" i="7"/>
  <c r="S700" i="7" s="1"/>
  <c r="K701" i="7"/>
  <c r="S701" i="7" s="1"/>
  <c r="K702" i="7"/>
  <c r="S702" i="7" s="1"/>
  <c r="K703" i="7"/>
  <c r="S703" i="7" s="1"/>
  <c r="K704" i="7"/>
  <c r="S704" i="7" s="1"/>
  <c r="K705" i="7"/>
  <c r="S705" i="7" s="1"/>
  <c r="K706" i="7"/>
  <c r="S706" i="7" s="1"/>
  <c r="K707" i="7"/>
  <c r="S707" i="7" s="1"/>
  <c r="K708" i="7"/>
  <c r="S708" i="7" s="1"/>
  <c r="K709" i="7"/>
  <c r="S709" i="7" s="1"/>
  <c r="K710" i="7"/>
  <c r="S710" i="7" s="1"/>
  <c r="K711" i="7"/>
  <c r="S711" i="7" s="1"/>
  <c r="K712" i="7"/>
  <c r="S712" i="7" s="1"/>
  <c r="K713" i="7"/>
  <c r="S713" i="7" s="1"/>
  <c r="K714" i="7"/>
  <c r="S714" i="7" s="1"/>
  <c r="K715" i="7"/>
  <c r="S715" i="7" s="1"/>
  <c r="K716" i="7"/>
  <c r="S716" i="7" s="1"/>
  <c r="K717" i="7"/>
  <c r="S717" i="7" s="1"/>
  <c r="K718" i="7"/>
  <c r="S718" i="7" s="1"/>
  <c r="K6" i="7"/>
  <c r="S6" i="7" s="1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Q28" i="7" s="1"/>
  <c r="J28" i="7"/>
  <c r="I29" i="7"/>
  <c r="Q29" i="7" s="1"/>
  <c r="J29" i="7"/>
  <c r="R29" i="7" s="1"/>
  <c r="I30" i="7"/>
  <c r="Q30" i="7" s="1"/>
  <c r="J30" i="7"/>
  <c r="I31" i="7"/>
  <c r="Q31" i="7" s="1"/>
  <c r="J31" i="7"/>
  <c r="R31" i="7" s="1"/>
  <c r="I32" i="7"/>
  <c r="Q32" i="7" s="1"/>
  <c r="J32" i="7"/>
  <c r="I33" i="7"/>
  <c r="Q33" i="7" s="1"/>
  <c r="J33" i="7"/>
  <c r="R33" i="7" s="1"/>
  <c r="I34" i="7"/>
  <c r="Q34" i="7" s="1"/>
  <c r="J34" i="7"/>
  <c r="I35" i="7"/>
  <c r="Q35" i="7" s="1"/>
  <c r="J35" i="7"/>
  <c r="R35" i="7" s="1"/>
  <c r="I36" i="7"/>
  <c r="Q36" i="7" s="1"/>
  <c r="J36" i="7"/>
  <c r="I37" i="7"/>
  <c r="Q37" i="7" s="1"/>
  <c r="J37" i="7"/>
  <c r="R37" i="7" s="1"/>
  <c r="I38" i="7"/>
  <c r="Q38" i="7" s="1"/>
  <c r="J38" i="7"/>
  <c r="I39" i="7"/>
  <c r="Q39" i="7" s="1"/>
  <c r="J39" i="7"/>
  <c r="R39" i="7" s="1"/>
  <c r="I40" i="7"/>
  <c r="Q40" i="7" s="1"/>
  <c r="J40" i="7"/>
  <c r="I41" i="7"/>
  <c r="Q41" i="7" s="1"/>
  <c r="J41" i="7"/>
  <c r="R41" i="7" s="1"/>
  <c r="I42" i="7"/>
  <c r="Q42" i="7" s="1"/>
  <c r="J42" i="7"/>
  <c r="I43" i="7"/>
  <c r="Q43" i="7" s="1"/>
  <c r="J43" i="7"/>
  <c r="R43" i="7" s="1"/>
  <c r="I44" i="7"/>
  <c r="Q44" i="7" s="1"/>
  <c r="J44" i="7"/>
  <c r="I45" i="7"/>
  <c r="Q45" i="7" s="1"/>
  <c r="J45" i="7"/>
  <c r="R45" i="7" s="1"/>
  <c r="I46" i="7"/>
  <c r="Q46" i="7" s="1"/>
  <c r="J46" i="7"/>
  <c r="I47" i="7"/>
  <c r="Q47" i="7" s="1"/>
  <c r="J47" i="7"/>
  <c r="R47" i="7" s="1"/>
  <c r="I48" i="7"/>
  <c r="Q48" i="7" s="1"/>
  <c r="J48" i="7"/>
  <c r="I49" i="7"/>
  <c r="Q49" i="7" s="1"/>
  <c r="J49" i="7"/>
  <c r="R49" i="7" s="1"/>
  <c r="I50" i="7"/>
  <c r="Q50" i="7" s="1"/>
  <c r="J50" i="7"/>
  <c r="I51" i="7"/>
  <c r="Q51" i="7" s="1"/>
  <c r="J51" i="7"/>
  <c r="R51" i="7" s="1"/>
  <c r="I52" i="7"/>
  <c r="Q52" i="7" s="1"/>
  <c r="J52" i="7"/>
  <c r="I53" i="7"/>
  <c r="Q53" i="7" s="1"/>
  <c r="J53" i="7"/>
  <c r="R53" i="7" s="1"/>
  <c r="I54" i="7"/>
  <c r="Q54" i="7" s="1"/>
  <c r="J54" i="7"/>
  <c r="I55" i="7"/>
  <c r="Q55" i="7" s="1"/>
  <c r="J55" i="7"/>
  <c r="R55" i="7" s="1"/>
  <c r="I56" i="7"/>
  <c r="Q56" i="7" s="1"/>
  <c r="J56" i="7"/>
  <c r="I57" i="7"/>
  <c r="Q57" i="7" s="1"/>
  <c r="J57" i="7"/>
  <c r="R57" i="7" s="1"/>
  <c r="I58" i="7"/>
  <c r="Q58" i="7" s="1"/>
  <c r="J58" i="7"/>
  <c r="I59" i="7"/>
  <c r="Q59" i="7" s="1"/>
  <c r="J59" i="7"/>
  <c r="R59" i="7" s="1"/>
  <c r="I60" i="7"/>
  <c r="Q60" i="7" s="1"/>
  <c r="J60" i="7"/>
  <c r="I61" i="7"/>
  <c r="Q61" i="7" s="1"/>
  <c r="J61" i="7"/>
  <c r="R61" i="7" s="1"/>
  <c r="I62" i="7"/>
  <c r="Q62" i="7" s="1"/>
  <c r="J62" i="7"/>
  <c r="I63" i="7"/>
  <c r="Q63" i="7" s="1"/>
  <c r="J63" i="7"/>
  <c r="R63" i="7" s="1"/>
  <c r="I64" i="7"/>
  <c r="Q64" i="7" s="1"/>
  <c r="J64" i="7"/>
  <c r="I65" i="7"/>
  <c r="Q65" i="7" s="1"/>
  <c r="J65" i="7"/>
  <c r="R65" i="7" s="1"/>
  <c r="I66" i="7"/>
  <c r="Q66" i="7" s="1"/>
  <c r="J66" i="7"/>
  <c r="I67" i="7"/>
  <c r="Q67" i="7" s="1"/>
  <c r="J67" i="7"/>
  <c r="R67" i="7" s="1"/>
  <c r="I68" i="7"/>
  <c r="Q68" i="7" s="1"/>
  <c r="J68" i="7"/>
  <c r="I69" i="7"/>
  <c r="Q69" i="7" s="1"/>
  <c r="J69" i="7"/>
  <c r="R69" i="7" s="1"/>
  <c r="I70" i="7"/>
  <c r="Q70" i="7" s="1"/>
  <c r="J70" i="7"/>
  <c r="I71" i="7"/>
  <c r="Q71" i="7" s="1"/>
  <c r="J71" i="7"/>
  <c r="R71" i="7" s="1"/>
  <c r="I72" i="7"/>
  <c r="Q72" i="7" s="1"/>
  <c r="J72" i="7"/>
  <c r="I73" i="7"/>
  <c r="Q73" i="7" s="1"/>
  <c r="J73" i="7"/>
  <c r="R73" i="7" s="1"/>
  <c r="I74" i="7"/>
  <c r="Q74" i="7" s="1"/>
  <c r="J74" i="7"/>
  <c r="I75" i="7"/>
  <c r="Q75" i="7" s="1"/>
  <c r="J75" i="7"/>
  <c r="R75" i="7" s="1"/>
  <c r="I76" i="7"/>
  <c r="Q76" i="7" s="1"/>
  <c r="J76" i="7"/>
  <c r="I77" i="7"/>
  <c r="Q77" i="7" s="1"/>
  <c r="J77" i="7"/>
  <c r="R77" i="7" s="1"/>
  <c r="I78" i="7"/>
  <c r="Q78" i="7" s="1"/>
  <c r="J78" i="7"/>
  <c r="I79" i="7"/>
  <c r="Q79" i="7" s="1"/>
  <c r="J79" i="7"/>
  <c r="R79" i="7" s="1"/>
  <c r="I80" i="7"/>
  <c r="Q80" i="7" s="1"/>
  <c r="J80" i="7"/>
  <c r="I81" i="7"/>
  <c r="Q81" i="7" s="1"/>
  <c r="J81" i="7"/>
  <c r="R81" i="7" s="1"/>
  <c r="I82" i="7"/>
  <c r="Q82" i="7" s="1"/>
  <c r="J82" i="7"/>
  <c r="I83" i="7"/>
  <c r="Q83" i="7" s="1"/>
  <c r="J83" i="7"/>
  <c r="R83" i="7" s="1"/>
  <c r="I84" i="7"/>
  <c r="Q84" i="7" s="1"/>
  <c r="J84" i="7"/>
  <c r="I85" i="7"/>
  <c r="Q85" i="7" s="1"/>
  <c r="J85" i="7"/>
  <c r="R85" i="7" s="1"/>
  <c r="I86" i="7"/>
  <c r="Q86" i="7" s="1"/>
  <c r="J86" i="7"/>
  <c r="I87" i="7"/>
  <c r="Q87" i="7" s="1"/>
  <c r="J87" i="7"/>
  <c r="R87" i="7" s="1"/>
  <c r="I88" i="7"/>
  <c r="Q88" i="7" s="1"/>
  <c r="J88" i="7"/>
  <c r="I89" i="7"/>
  <c r="Q89" i="7" s="1"/>
  <c r="J89" i="7"/>
  <c r="R89" i="7" s="1"/>
  <c r="I90" i="7"/>
  <c r="Q90" i="7" s="1"/>
  <c r="J90" i="7"/>
  <c r="I91" i="7"/>
  <c r="Q91" i="7" s="1"/>
  <c r="J91" i="7"/>
  <c r="R91" i="7" s="1"/>
  <c r="I92" i="7"/>
  <c r="Q92" i="7" s="1"/>
  <c r="J92" i="7"/>
  <c r="I93" i="7"/>
  <c r="Q93" i="7" s="1"/>
  <c r="J93" i="7"/>
  <c r="R93" i="7" s="1"/>
  <c r="I94" i="7"/>
  <c r="Q94" i="7" s="1"/>
  <c r="J94" i="7"/>
  <c r="I95" i="7"/>
  <c r="Q95" i="7" s="1"/>
  <c r="J95" i="7"/>
  <c r="R95" i="7" s="1"/>
  <c r="I96" i="7"/>
  <c r="Q96" i="7" s="1"/>
  <c r="J96" i="7"/>
  <c r="I97" i="7"/>
  <c r="Q97" i="7" s="1"/>
  <c r="J97" i="7"/>
  <c r="R97" i="7" s="1"/>
  <c r="I98" i="7"/>
  <c r="Q98" i="7" s="1"/>
  <c r="J98" i="7"/>
  <c r="I99" i="7"/>
  <c r="Q99" i="7" s="1"/>
  <c r="J99" i="7"/>
  <c r="R99" i="7" s="1"/>
  <c r="I100" i="7"/>
  <c r="Q100" i="7" s="1"/>
  <c r="J100" i="7"/>
  <c r="I101" i="7"/>
  <c r="Q101" i="7" s="1"/>
  <c r="J101" i="7"/>
  <c r="R101" i="7" s="1"/>
  <c r="I102" i="7"/>
  <c r="Q102" i="7" s="1"/>
  <c r="J102" i="7"/>
  <c r="I103" i="7"/>
  <c r="Q103" i="7" s="1"/>
  <c r="J103" i="7"/>
  <c r="R103" i="7" s="1"/>
  <c r="I104" i="7"/>
  <c r="Q104" i="7" s="1"/>
  <c r="J104" i="7"/>
  <c r="I105" i="7"/>
  <c r="Q105" i="7" s="1"/>
  <c r="J105" i="7"/>
  <c r="R105" i="7" s="1"/>
  <c r="I106" i="7"/>
  <c r="Q106" i="7" s="1"/>
  <c r="J106" i="7"/>
  <c r="I107" i="7"/>
  <c r="Q107" i="7" s="1"/>
  <c r="J107" i="7"/>
  <c r="R107" i="7" s="1"/>
  <c r="I108" i="7"/>
  <c r="Q108" i="7" s="1"/>
  <c r="J108" i="7"/>
  <c r="I109" i="7"/>
  <c r="Q109" i="7" s="1"/>
  <c r="J109" i="7"/>
  <c r="R109" i="7" s="1"/>
  <c r="I110" i="7"/>
  <c r="Q110" i="7" s="1"/>
  <c r="J110" i="7"/>
  <c r="I111" i="7"/>
  <c r="Q111" i="7" s="1"/>
  <c r="J111" i="7"/>
  <c r="R111" i="7" s="1"/>
  <c r="I112" i="7"/>
  <c r="Q112" i="7" s="1"/>
  <c r="J112" i="7"/>
  <c r="I113" i="7"/>
  <c r="Q113" i="7" s="1"/>
  <c r="J113" i="7"/>
  <c r="R113" i="7" s="1"/>
  <c r="I114" i="7"/>
  <c r="Q114" i="7" s="1"/>
  <c r="J114" i="7"/>
  <c r="I115" i="7"/>
  <c r="Q115" i="7" s="1"/>
  <c r="J115" i="7"/>
  <c r="R115" i="7" s="1"/>
  <c r="I116" i="7"/>
  <c r="Q116" i="7" s="1"/>
  <c r="J116" i="7"/>
  <c r="I117" i="7"/>
  <c r="Q117" i="7" s="1"/>
  <c r="J117" i="7"/>
  <c r="R117" i="7" s="1"/>
  <c r="I118" i="7"/>
  <c r="Q118" i="7" s="1"/>
  <c r="J118" i="7"/>
  <c r="I119" i="7"/>
  <c r="Q119" i="7" s="1"/>
  <c r="J119" i="7"/>
  <c r="R119" i="7" s="1"/>
  <c r="I120" i="7"/>
  <c r="Q120" i="7" s="1"/>
  <c r="J120" i="7"/>
  <c r="I121" i="7"/>
  <c r="Q121" i="7" s="1"/>
  <c r="J121" i="7"/>
  <c r="R121" i="7" s="1"/>
  <c r="I122" i="7"/>
  <c r="Q122" i="7" s="1"/>
  <c r="J122" i="7"/>
  <c r="I123" i="7"/>
  <c r="Q123" i="7" s="1"/>
  <c r="J123" i="7"/>
  <c r="R123" i="7" s="1"/>
  <c r="I124" i="7"/>
  <c r="Q124" i="7" s="1"/>
  <c r="J124" i="7"/>
  <c r="I125" i="7"/>
  <c r="Q125" i="7" s="1"/>
  <c r="J125" i="7"/>
  <c r="R125" i="7" s="1"/>
  <c r="I126" i="7"/>
  <c r="Q126" i="7" s="1"/>
  <c r="J126" i="7"/>
  <c r="I127" i="7"/>
  <c r="Q127" i="7" s="1"/>
  <c r="J127" i="7"/>
  <c r="R127" i="7" s="1"/>
  <c r="I128" i="7"/>
  <c r="Q128" i="7" s="1"/>
  <c r="J128" i="7"/>
  <c r="I129" i="7"/>
  <c r="Q129" i="7" s="1"/>
  <c r="J129" i="7"/>
  <c r="R129" i="7" s="1"/>
  <c r="I130" i="7"/>
  <c r="Q130" i="7" s="1"/>
  <c r="J130" i="7"/>
  <c r="I131" i="7"/>
  <c r="Q131" i="7" s="1"/>
  <c r="J131" i="7"/>
  <c r="R131" i="7" s="1"/>
  <c r="I132" i="7"/>
  <c r="Q132" i="7" s="1"/>
  <c r="J132" i="7"/>
  <c r="I133" i="7"/>
  <c r="Q133" i="7" s="1"/>
  <c r="J133" i="7"/>
  <c r="R133" i="7" s="1"/>
  <c r="I134" i="7"/>
  <c r="Q134" i="7" s="1"/>
  <c r="J134" i="7"/>
  <c r="I135" i="7"/>
  <c r="Q135" i="7" s="1"/>
  <c r="J135" i="7"/>
  <c r="R135" i="7" s="1"/>
  <c r="I136" i="7"/>
  <c r="Q136" i="7" s="1"/>
  <c r="J136" i="7"/>
  <c r="I137" i="7"/>
  <c r="Q137" i="7" s="1"/>
  <c r="J137" i="7"/>
  <c r="R137" i="7" s="1"/>
  <c r="I138" i="7"/>
  <c r="Q138" i="7" s="1"/>
  <c r="J138" i="7"/>
  <c r="I139" i="7"/>
  <c r="Q139" i="7" s="1"/>
  <c r="J139" i="7"/>
  <c r="R139" i="7" s="1"/>
  <c r="I140" i="7"/>
  <c r="Q140" i="7" s="1"/>
  <c r="J140" i="7"/>
  <c r="I141" i="7"/>
  <c r="Q141" i="7" s="1"/>
  <c r="J141" i="7"/>
  <c r="R141" i="7" s="1"/>
  <c r="I142" i="7"/>
  <c r="Q142" i="7" s="1"/>
  <c r="J142" i="7"/>
  <c r="I143" i="7"/>
  <c r="Q143" i="7" s="1"/>
  <c r="J143" i="7"/>
  <c r="R143" i="7" s="1"/>
  <c r="I144" i="7"/>
  <c r="Q144" i="7" s="1"/>
  <c r="J144" i="7"/>
  <c r="I145" i="7"/>
  <c r="Q145" i="7" s="1"/>
  <c r="J145" i="7"/>
  <c r="R145" i="7" s="1"/>
  <c r="I146" i="7"/>
  <c r="Q146" i="7" s="1"/>
  <c r="J146" i="7"/>
  <c r="I147" i="7"/>
  <c r="Q147" i="7" s="1"/>
  <c r="J147" i="7"/>
  <c r="R147" i="7" s="1"/>
  <c r="I148" i="7"/>
  <c r="Q148" i="7" s="1"/>
  <c r="J148" i="7"/>
  <c r="I149" i="7"/>
  <c r="Q149" i="7" s="1"/>
  <c r="J149" i="7"/>
  <c r="R149" i="7" s="1"/>
  <c r="I150" i="7"/>
  <c r="Q150" i="7" s="1"/>
  <c r="J150" i="7"/>
  <c r="I151" i="7"/>
  <c r="Q151" i="7" s="1"/>
  <c r="J151" i="7"/>
  <c r="R151" i="7" s="1"/>
  <c r="I152" i="7"/>
  <c r="Q152" i="7" s="1"/>
  <c r="J152" i="7"/>
  <c r="I153" i="7"/>
  <c r="Q153" i="7" s="1"/>
  <c r="J153" i="7"/>
  <c r="R153" i="7" s="1"/>
  <c r="I154" i="7"/>
  <c r="Q154" i="7" s="1"/>
  <c r="J154" i="7"/>
  <c r="I155" i="7"/>
  <c r="Q155" i="7" s="1"/>
  <c r="J155" i="7"/>
  <c r="R155" i="7" s="1"/>
  <c r="I156" i="7"/>
  <c r="Q156" i="7" s="1"/>
  <c r="J156" i="7"/>
  <c r="I157" i="7"/>
  <c r="Q157" i="7" s="1"/>
  <c r="J157" i="7"/>
  <c r="R157" i="7" s="1"/>
  <c r="I158" i="7"/>
  <c r="Q158" i="7" s="1"/>
  <c r="J158" i="7"/>
  <c r="I159" i="7"/>
  <c r="Q159" i="7" s="1"/>
  <c r="J159" i="7"/>
  <c r="R159" i="7" s="1"/>
  <c r="I160" i="7"/>
  <c r="Q160" i="7" s="1"/>
  <c r="J160" i="7"/>
  <c r="I161" i="7"/>
  <c r="Q161" i="7" s="1"/>
  <c r="J161" i="7"/>
  <c r="R161" i="7" s="1"/>
  <c r="I162" i="7"/>
  <c r="Q162" i="7" s="1"/>
  <c r="J162" i="7"/>
  <c r="I163" i="7"/>
  <c r="Q163" i="7" s="1"/>
  <c r="J163" i="7"/>
  <c r="R163" i="7" s="1"/>
  <c r="I164" i="7"/>
  <c r="Q164" i="7" s="1"/>
  <c r="J164" i="7"/>
  <c r="I165" i="7"/>
  <c r="Q165" i="7" s="1"/>
  <c r="J165" i="7"/>
  <c r="R165" i="7" s="1"/>
  <c r="I166" i="7"/>
  <c r="Q166" i="7" s="1"/>
  <c r="J166" i="7"/>
  <c r="I167" i="7"/>
  <c r="Q167" i="7" s="1"/>
  <c r="J167" i="7"/>
  <c r="R167" i="7" s="1"/>
  <c r="I168" i="7"/>
  <c r="Q168" i="7" s="1"/>
  <c r="J168" i="7"/>
  <c r="I169" i="7"/>
  <c r="Q169" i="7" s="1"/>
  <c r="J169" i="7"/>
  <c r="R169" i="7" s="1"/>
  <c r="I170" i="7"/>
  <c r="Q170" i="7" s="1"/>
  <c r="J170" i="7"/>
  <c r="I171" i="7"/>
  <c r="Q171" i="7" s="1"/>
  <c r="J171" i="7"/>
  <c r="R171" i="7" s="1"/>
  <c r="I172" i="7"/>
  <c r="Q172" i="7" s="1"/>
  <c r="J172" i="7"/>
  <c r="I173" i="7"/>
  <c r="Q173" i="7" s="1"/>
  <c r="J173" i="7"/>
  <c r="R173" i="7" s="1"/>
  <c r="I174" i="7"/>
  <c r="Q174" i="7" s="1"/>
  <c r="J174" i="7"/>
  <c r="I175" i="7"/>
  <c r="Q175" i="7" s="1"/>
  <c r="J175" i="7"/>
  <c r="R175" i="7" s="1"/>
  <c r="I176" i="7"/>
  <c r="Q176" i="7" s="1"/>
  <c r="J176" i="7"/>
  <c r="I177" i="7"/>
  <c r="Q177" i="7" s="1"/>
  <c r="J177" i="7"/>
  <c r="R177" i="7" s="1"/>
  <c r="I178" i="7"/>
  <c r="Q178" i="7" s="1"/>
  <c r="J178" i="7"/>
  <c r="I179" i="7"/>
  <c r="Q179" i="7" s="1"/>
  <c r="J179" i="7"/>
  <c r="R179" i="7" s="1"/>
  <c r="I180" i="7"/>
  <c r="Q180" i="7" s="1"/>
  <c r="J180" i="7"/>
  <c r="I181" i="7"/>
  <c r="Q181" i="7" s="1"/>
  <c r="J181" i="7"/>
  <c r="R181" i="7" s="1"/>
  <c r="I182" i="7"/>
  <c r="Q182" i="7" s="1"/>
  <c r="J182" i="7"/>
  <c r="I183" i="7"/>
  <c r="Q183" i="7" s="1"/>
  <c r="J183" i="7"/>
  <c r="R183" i="7" s="1"/>
  <c r="I184" i="7"/>
  <c r="Q184" i="7" s="1"/>
  <c r="J184" i="7"/>
  <c r="I185" i="7"/>
  <c r="Q185" i="7" s="1"/>
  <c r="J185" i="7"/>
  <c r="R185" i="7" s="1"/>
  <c r="I186" i="7"/>
  <c r="Q186" i="7" s="1"/>
  <c r="J186" i="7"/>
  <c r="I187" i="7"/>
  <c r="Q187" i="7" s="1"/>
  <c r="J187" i="7"/>
  <c r="R187" i="7" s="1"/>
  <c r="I188" i="7"/>
  <c r="Q188" i="7" s="1"/>
  <c r="J188" i="7"/>
  <c r="I189" i="7"/>
  <c r="Q189" i="7" s="1"/>
  <c r="J189" i="7"/>
  <c r="R189" i="7" s="1"/>
  <c r="I190" i="7"/>
  <c r="Q190" i="7" s="1"/>
  <c r="J190" i="7"/>
  <c r="I191" i="7"/>
  <c r="Q191" i="7" s="1"/>
  <c r="J191" i="7"/>
  <c r="R191" i="7" s="1"/>
  <c r="I192" i="7"/>
  <c r="Q192" i="7" s="1"/>
  <c r="J192" i="7"/>
  <c r="I193" i="7"/>
  <c r="Q193" i="7" s="1"/>
  <c r="J193" i="7"/>
  <c r="R193" i="7" s="1"/>
  <c r="I194" i="7"/>
  <c r="Q194" i="7" s="1"/>
  <c r="J194" i="7"/>
  <c r="I195" i="7"/>
  <c r="Q195" i="7" s="1"/>
  <c r="J195" i="7"/>
  <c r="R195" i="7" s="1"/>
  <c r="I196" i="7"/>
  <c r="Q196" i="7" s="1"/>
  <c r="J196" i="7"/>
  <c r="I197" i="7"/>
  <c r="Q197" i="7" s="1"/>
  <c r="J197" i="7"/>
  <c r="R197" i="7" s="1"/>
  <c r="I198" i="7"/>
  <c r="Q198" i="7" s="1"/>
  <c r="J198" i="7"/>
  <c r="I199" i="7"/>
  <c r="Q199" i="7" s="1"/>
  <c r="J199" i="7"/>
  <c r="R199" i="7" s="1"/>
  <c r="I200" i="7"/>
  <c r="Q200" i="7" s="1"/>
  <c r="J200" i="7"/>
  <c r="I201" i="7"/>
  <c r="Q201" i="7" s="1"/>
  <c r="J201" i="7"/>
  <c r="R201" i="7" s="1"/>
  <c r="I202" i="7"/>
  <c r="Q202" i="7" s="1"/>
  <c r="J202" i="7"/>
  <c r="I203" i="7"/>
  <c r="Q203" i="7" s="1"/>
  <c r="J203" i="7"/>
  <c r="R203" i="7" s="1"/>
  <c r="I204" i="7"/>
  <c r="Q204" i="7" s="1"/>
  <c r="J204" i="7"/>
  <c r="I205" i="7"/>
  <c r="Q205" i="7" s="1"/>
  <c r="J205" i="7"/>
  <c r="R205" i="7" s="1"/>
  <c r="I206" i="7"/>
  <c r="Q206" i="7" s="1"/>
  <c r="J206" i="7"/>
  <c r="I207" i="7"/>
  <c r="Q207" i="7" s="1"/>
  <c r="J207" i="7"/>
  <c r="R207" i="7" s="1"/>
  <c r="I208" i="7"/>
  <c r="Q208" i="7" s="1"/>
  <c r="J208" i="7"/>
  <c r="I209" i="7"/>
  <c r="Q209" i="7" s="1"/>
  <c r="J209" i="7"/>
  <c r="R209" i="7" s="1"/>
  <c r="I210" i="7"/>
  <c r="Q210" i="7" s="1"/>
  <c r="J210" i="7"/>
  <c r="I211" i="7"/>
  <c r="Q211" i="7" s="1"/>
  <c r="J211" i="7"/>
  <c r="R211" i="7" s="1"/>
  <c r="I212" i="7"/>
  <c r="Q212" i="7" s="1"/>
  <c r="J212" i="7"/>
  <c r="I213" i="7"/>
  <c r="Q213" i="7" s="1"/>
  <c r="J213" i="7"/>
  <c r="R213" i="7" s="1"/>
  <c r="I214" i="7"/>
  <c r="Q214" i="7" s="1"/>
  <c r="J214" i="7"/>
  <c r="I215" i="7"/>
  <c r="Q215" i="7" s="1"/>
  <c r="J215" i="7"/>
  <c r="R215" i="7" s="1"/>
  <c r="I216" i="7"/>
  <c r="Q216" i="7" s="1"/>
  <c r="J216" i="7"/>
  <c r="I217" i="7"/>
  <c r="Q217" i="7" s="1"/>
  <c r="J217" i="7"/>
  <c r="R217" i="7" s="1"/>
  <c r="I218" i="7"/>
  <c r="Q218" i="7" s="1"/>
  <c r="J218" i="7"/>
  <c r="I219" i="7"/>
  <c r="Q219" i="7" s="1"/>
  <c r="J219" i="7"/>
  <c r="R219" i="7" s="1"/>
  <c r="I220" i="7"/>
  <c r="Q220" i="7" s="1"/>
  <c r="J220" i="7"/>
  <c r="I221" i="7"/>
  <c r="Q221" i="7" s="1"/>
  <c r="J221" i="7"/>
  <c r="R221" i="7" s="1"/>
  <c r="I222" i="7"/>
  <c r="Q222" i="7" s="1"/>
  <c r="J222" i="7"/>
  <c r="I223" i="7"/>
  <c r="Q223" i="7" s="1"/>
  <c r="J223" i="7"/>
  <c r="R223" i="7" s="1"/>
  <c r="I224" i="7"/>
  <c r="Q224" i="7" s="1"/>
  <c r="J224" i="7"/>
  <c r="I225" i="7"/>
  <c r="Q225" i="7" s="1"/>
  <c r="J225" i="7"/>
  <c r="R225" i="7" s="1"/>
  <c r="I226" i="7"/>
  <c r="Q226" i="7" s="1"/>
  <c r="J226" i="7"/>
  <c r="I227" i="7"/>
  <c r="Q227" i="7" s="1"/>
  <c r="J227" i="7"/>
  <c r="R227" i="7" s="1"/>
  <c r="I228" i="7"/>
  <c r="Q228" i="7" s="1"/>
  <c r="J228" i="7"/>
  <c r="I229" i="7"/>
  <c r="Q229" i="7" s="1"/>
  <c r="J229" i="7"/>
  <c r="R229" i="7" s="1"/>
  <c r="I230" i="7"/>
  <c r="Q230" i="7" s="1"/>
  <c r="J230" i="7"/>
  <c r="I231" i="7"/>
  <c r="Q231" i="7" s="1"/>
  <c r="J231" i="7"/>
  <c r="R231" i="7" s="1"/>
  <c r="I232" i="7"/>
  <c r="Q232" i="7" s="1"/>
  <c r="J232" i="7"/>
  <c r="I233" i="7"/>
  <c r="Q233" i="7" s="1"/>
  <c r="J233" i="7"/>
  <c r="R233" i="7" s="1"/>
  <c r="I234" i="7"/>
  <c r="Q234" i="7" s="1"/>
  <c r="J234" i="7"/>
  <c r="I235" i="7"/>
  <c r="Q235" i="7" s="1"/>
  <c r="J235" i="7"/>
  <c r="R235" i="7" s="1"/>
  <c r="I236" i="7"/>
  <c r="Q236" i="7" s="1"/>
  <c r="J236" i="7"/>
  <c r="I237" i="7"/>
  <c r="Q237" i="7" s="1"/>
  <c r="J237" i="7"/>
  <c r="R237" i="7" s="1"/>
  <c r="I238" i="7"/>
  <c r="Q238" i="7" s="1"/>
  <c r="J238" i="7"/>
  <c r="I239" i="7"/>
  <c r="Q239" i="7" s="1"/>
  <c r="J239" i="7"/>
  <c r="R239" i="7" s="1"/>
  <c r="I240" i="7"/>
  <c r="Q240" i="7" s="1"/>
  <c r="J240" i="7"/>
  <c r="I241" i="7"/>
  <c r="Q241" i="7" s="1"/>
  <c r="J241" i="7"/>
  <c r="R241" i="7" s="1"/>
  <c r="I242" i="7"/>
  <c r="Q242" i="7" s="1"/>
  <c r="J242" i="7"/>
  <c r="I243" i="7"/>
  <c r="Q243" i="7" s="1"/>
  <c r="J243" i="7"/>
  <c r="R243" i="7" s="1"/>
  <c r="I244" i="7"/>
  <c r="Q244" i="7" s="1"/>
  <c r="J244" i="7"/>
  <c r="I245" i="7"/>
  <c r="Q245" i="7" s="1"/>
  <c r="J245" i="7"/>
  <c r="R245" i="7" s="1"/>
  <c r="I246" i="7"/>
  <c r="Q246" i="7" s="1"/>
  <c r="J246" i="7"/>
  <c r="I247" i="7"/>
  <c r="Q247" i="7" s="1"/>
  <c r="J247" i="7"/>
  <c r="R247" i="7" s="1"/>
  <c r="I248" i="7"/>
  <c r="Q248" i="7" s="1"/>
  <c r="J248" i="7"/>
  <c r="I249" i="7"/>
  <c r="Q249" i="7" s="1"/>
  <c r="J249" i="7"/>
  <c r="R249" i="7" s="1"/>
  <c r="I250" i="7"/>
  <c r="Q250" i="7" s="1"/>
  <c r="J250" i="7"/>
  <c r="I251" i="7"/>
  <c r="Q251" i="7" s="1"/>
  <c r="J251" i="7"/>
  <c r="R251" i="7" s="1"/>
  <c r="I252" i="7"/>
  <c r="Q252" i="7" s="1"/>
  <c r="J252" i="7"/>
  <c r="I253" i="7"/>
  <c r="Q253" i="7" s="1"/>
  <c r="J253" i="7"/>
  <c r="R253" i="7" s="1"/>
  <c r="I254" i="7"/>
  <c r="Q254" i="7" s="1"/>
  <c r="J254" i="7"/>
  <c r="I255" i="7"/>
  <c r="Q255" i="7" s="1"/>
  <c r="J255" i="7"/>
  <c r="R255" i="7" s="1"/>
  <c r="I256" i="7"/>
  <c r="Q256" i="7" s="1"/>
  <c r="J256" i="7"/>
  <c r="I257" i="7"/>
  <c r="Q257" i="7" s="1"/>
  <c r="J257" i="7"/>
  <c r="R257" i="7" s="1"/>
  <c r="I258" i="7"/>
  <c r="Q258" i="7" s="1"/>
  <c r="J258" i="7"/>
  <c r="I259" i="7"/>
  <c r="Q259" i="7" s="1"/>
  <c r="J259" i="7"/>
  <c r="R259" i="7" s="1"/>
  <c r="I260" i="7"/>
  <c r="Q260" i="7" s="1"/>
  <c r="J260" i="7"/>
  <c r="I261" i="7"/>
  <c r="Q261" i="7" s="1"/>
  <c r="J261" i="7"/>
  <c r="R261" i="7" s="1"/>
  <c r="I262" i="7"/>
  <c r="Q262" i="7" s="1"/>
  <c r="J262" i="7"/>
  <c r="I263" i="7"/>
  <c r="Q263" i="7" s="1"/>
  <c r="J263" i="7"/>
  <c r="R263" i="7" s="1"/>
  <c r="I264" i="7"/>
  <c r="Q264" i="7" s="1"/>
  <c r="J264" i="7"/>
  <c r="I265" i="7"/>
  <c r="Q265" i="7" s="1"/>
  <c r="J265" i="7"/>
  <c r="R265" i="7" s="1"/>
  <c r="I266" i="7"/>
  <c r="Q266" i="7" s="1"/>
  <c r="J266" i="7"/>
  <c r="I267" i="7"/>
  <c r="Q267" i="7" s="1"/>
  <c r="J267" i="7"/>
  <c r="R267" i="7" s="1"/>
  <c r="I268" i="7"/>
  <c r="Q268" i="7" s="1"/>
  <c r="J268" i="7"/>
  <c r="I269" i="7"/>
  <c r="Q269" i="7" s="1"/>
  <c r="J269" i="7"/>
  <c r="R269" i="7" s="1"/>
  <c r="I270" i="7"/>
  <c r="Q270" i="7" s="1"/>
  <c r="J270" i="7"/>
  <c r="I271" i="7"/>
  <c r="Q271" i="7" s="1"/>
  <c r="J271" i="7"/>
  <c r="R271" i="7" s="1"/>
  <c r="I272" i="7"/>
  <c r="Q272" i="7" s="1"/>
  <c r="J272" i="7"/>
  <c r="I273" i="7"/>
  <c r="Q273" i="7" s="1"/>
  <c r="J273" i="7"/>
  <c r="R273" i="7" s="1"/>
  <c r="I274" i="7"/>
  <c r="Q274" i="7" s="1"/>
  <c r="J274" i="7"/>
  <c r="I275" i="7"/>
  <c r="Q275" i="7" s="1"/>
  <c r="J275" i="7"/>
  <c r="R275" i="7" s="1"/>
  <c r="I276" i="7"/>
  <c r="Q276" i="7" s="1"/>
  <c r="J276" i="7"/>
  <c r="I277" i="7"/>
  <c r="Q277" i="7" s="1"/>
  <c r="J277" i="7"/>
  <c r="R277" i="7" s="1"/>
  <c r="I278" i="7"/>
  <c r="Q278" i="7" s="1"/>
  <c r="J278" i="7"/>
  <c r="I279" i="7"/>
  <c r="Q279" i="7" s="1"/>
  <c r="J279" i="7"/>
  <c r="R279" i="7" s="1"/>
  <c r="I280" i="7"/>
  <c r="Q280" i="7" s="1"/>
  <c r="J280" i="7"/>
  <c r="I281" i="7"/>
  <c r="Q281" i="7" s="1"/>
  <c r="J281" i="7"/>
  <c r="R281" i="7" s="1"/>
  <c r="I282" i="7"/>
  <c r="Q282" i="7" s="1"/>
  <c r="J282" i="7"/>
  <c r="I283" i="7"/>
  <c r="Q283" i="7" s="1"/>
  <c r="J283" i="7"/>
  <c r="R283" i="7" s="1"/>
  <c r="I284" i="7"/>
  <c r="Q284" i="7" s="1"/>
  <c r="J284" i="7"/>
  <c r="I285" i="7"/>
  <c r="Q285" i="7" s="1"/>
  <c r="J285" i="7"/>
  <c r="R285" i="7" s="1"/>
  <c r="I286" i="7"/>
  <c r="Q286" i="7" s="1"/>
  <c r="J286" i="7"/>
  <c r="I287" i="7"/>
  <c r="Q287" i="7" s="1"/>
  <c r="J287" i="7"/>
  <c r="R287" i="7" s="1"/>
  <c r="I288" i="7"/>
  <c r="Q288" i="7" s="1"/>
  <c r="J288" i="7"/>
  <c r="I289" i="7"/>
  <c r="Q289" i="7" s="1"/>
  <c r="J289" i="7"/>
  <c r="R289" i="7" s="1"/>
  <c r="I290" i="7"/>
  <c r="Q290" i="7" s="1"/>
  <c r="J290" i="7"/>
  <c r="I291" i="7"/>
  <c r="Q291" i="7" s="1"/>
  <c r="J291" i="7"/>
  <c r="R291" i="7" s="1"/>
  <c r="I292" i="7"/>
  <c r="Q292" i="7" s="1"/>
  <c r="J292" i="7"/>
  <c r="I293" i="7"/>
  <c r="Q293" i="7" s="1"/>
  <c r="J293" i="7"/>
  <c r="R293" i="7" s="1"/>
  <c r="I294" i="7"/>
  <c r="Q294" i="7" s="1"/>
  <c r="J294" i="7"/>
  <c r="I295" i="7"/>
  <c r="Q295" i="7" s="1"/>
  <c r="J295" i="7"/>
  <c r="R295" i="7" s="1"/>
  <c r="I296" i="7"/>
  <c r="Q296" i="7" s="1"/>
  <c r="J296" i="7"/>
  <c r="I297" i="7"/>
  <c r="Q297" i="7" s="1"/>
  <c r="J297" i="7"/>
  <c r="R297" i="7" s="1"/>
  <c r="I298" i="7"/>
  <c r="Q298" i="7" s="1"/>
  <c r="J298" i="7"/>
  <c r="I299" i="7"/>
  <c r="Q299" i="7" s="1"/>
  <c r="J299" i="7"/>
  <c r="R299" i="7" s="1"/>
  <c r="I300" i="7"/>
  <c r="Q300" i="7" s="1"/>
  <c r="J300" i="7"/>
  <c r="I301" i="7"/>
  <c r="Q301" i="7" s="1"/>
  <c r="J301" i="7"/>
  <c r="R301" i="7" s="1"/>
  <c r="I302" i="7"/>
  <c r="Q302" i="7" s="1"/>
  <c r="J302" i="7"/>
  <c r="I303" i="7"/>
  <c r="Q303" i="7" s="1"/>
  <c r="J303" i="7"/>
  <c r="R303" i="7" s="1"/>
  <c r="I304" i="7"/>
  <c r="Q304" i="7" s="1"/>
  <c r="J304" i="7"/>
  <c r="I305" i="7"/>
  <c r="Q305" i="7" s="1"/>
  <c r="J305" i="7"/>
  <c r="R305" i="7" s="1"/>
  <c r="I306" i="7"/>
  <c r="Q306" i="7" s="1"/>
  <c r="J306" i="7"/>
  <c r="I307" i="7"/>
  <c r="Q307" i="7" s="1"/>
  <c r="J307" i="7"/>
  <c r="R307" i="7" s="1"/>
  <c r="I308" i="7"/>
  <c r="Q308" i="7" s="1"/>
  <c r="J308" i="7"/>
  <c r="I309" i="7"/>
  <c r="Q309" i="7" s="1"/>
  <c r="J309" i="7"/>
  <c r="R309" i="7" s="1"/>
  <c r="I310" i="7"/>
  <c r="Q310" i="7" s="1"/>
  <c r="J310" i="7"/>
  <c r="I311" i="7"/>
  <c r="Q311" i="7" s="1"/>
  <c r="J311" i="7"/>
  <c r="R311" i="7" s="1"/>
  <c r="I312" i="7"/>
  <c r="Q312" i="7" s="1"/>
  <c r="J312" i="7"/>
  <c r="I313" i="7"/>
  <c r="Q313" i="7" s="1"/>
  <c r="J313" i="7"/>
  <c r="R313" i="7" s="1"/>
  <c r="I314" i="7"/>
  <c r="Q314" i="7" s="1"/>
  <c r="J314" i="7"/>
  <c r="R314" i="7" s="1"/>
  <c r="I315" i="7"/>
  <c r="Q315" i="7" s="1"/>
  <c r="J315" i="7"/>
  <c r="R315" i="7" s="1"/>
  <c r="I316" i="7"/>
  <c r="Q316" i="7" s="1"/>
  <c r="J316" i="7"/>
  <c r="I317" i="7"/>
  <c r="Q317" i="7" s="1"/>
  <c r="J317" i="7"/>
  <c r="R317" i="7" s="1"/>
  <c r="I318" i="7"/>
  <c r="Q318" i="7" s="1"/>
  <c r="J318" i="7"/>
  <c r="R318" i="7" s="1"/>
  <c r="I319" i="7"/>
  <c r="Q319" i="7" s="1"/>
  <c r="J319" i="7"/>
  <c r="R319" i="7" s="1"/>
  <c r="I320" i="7"/>
  <c r="Q320" i="7" s="1"/>
  <c r="J320" i="7"/>
  <c r="I321" i="7"/>
  <c r="Q321" i="7" s="1"/>
  <c r="J321" i="7"/>
  <c r="R321" i="7" s="1"/>
  <c r="I322" i="7"/>
  <c r="Q322" i="7" s="1"/>
  <c r="J322" i="7"/>
  <c r="R322" i="7" s="1"/>
  <c r="I323" i="7"/>
  <c r="Q323" i="7" s="1"/>
  <c r="J323" i="7"/>
  <c r="R323" i="7" s="1"/>
  <c r="I324" i="7"/>
  <c r="Q324" i="7" s="1"/>
  <c r="J324" i="7"/>
  <c r="I325" i="7"/>
  <c r="Q325" i="7" s="1"/>
  <c r="J325" i="7"/>
  <c r="R325" i="7" s="1"/>
  <c r="I326" i="7"/>
  <c r="Q326" i="7" s="1"/>
  <c r="J326" i="7"/>
  <c r="R326" i="7" s="1"/>
  <c r="I327" i="7"/>
  <c r="Q327" i="7" s="1"/>
  <c r="J327" i="7"/>
  <c r="R327" i="7" s="1"/>
  <c r="I328" i="7"/>
  <c r="Q328" i="7" s="1"/>
  <c r="J328" i="7"/>
  <c r="I329" i="7"/>
  <c r="Q329" i="7" s="1"/>
  <c r="J329" i="7"/>
  <c r="R329" i="7" s="1"/>
  <c r="I330" i="7"/>
  <c r="Q330" i="7" s="1"/>
  <c r="J330" i="7"/>
  <c r="R330" i="7" s="1"/>
  <c r="I331" i="7"/>
  <c r="Q331" i="7" s="1"/>
  <c r="J331" i="7"/>
  <c r="R331" i="7" s="1"/>
  <c r="I332" i="7"/>
  <c r="Q332" i="7" s="1"/>
  <c r="J332" i="7"/>
  <c r="I333" i="7"/>
  <c r="Q333" i="7" s="1"/>
  <c r="J333" i="7"/>
  <c r="R333" i="7" s="1"/>
  <c r="I334" i="7"/>
  <c r="Q334" i="7" s="1"/>
  <c r="J334" i="7"/>
  <c r="R334" i="7" s="1"/>
  <c r="I335" i="7"/>
  <c r="Q335" i="7" s="1"/>
  <c r="J335" i="7"/>
  <c r="R335" i="7" s="1"/>
  <c r="I336" i="7"/>
  <c r="Q336" i="7" s="1"/>
  <c r="J336" i="7"/>
  <c r="I337" i="7"/>
  <c r="Q337" i="7" s="1"/>
  <c r="J337" i="7"/>
  <c r="R337" i="7" s="1"/>
  <c r="I338" i="7"/>
  <c r="Q338" i="7" s="1"/>
  <c r="J338" i="7"/>
  <c r="R338" i="7" s="1"/>
  <c r="I339" i="7"/>
  <c r="Q339" i="7" s="1"/>
  <c r="J339" i="7"/>
  <c r="R339" i="7" s="1"/>
  <c r="I340" i="7"/>
  <c r="Q340" i="7" s="1"/>
  <c r="J340" i="7"/>
  <c r="I341" i="7"/>
  <c r="Q341" i="7" s="1"/>
  <c r="J341" i="7"/>
  <c r="R341" i="7" s="1"/>
  <c r="I342" i="7"/>
  <c r="Q342" i="7" s="1"/>
  <c r="J342" i="7"/>
  <c r="R342" i="7" s="1"/>
  <c r="I343" i="7"/>
  <c r="Q343" i="7" s="1"/>
  <c r="J343" i="7"/>
  <c r="R343" i="7" s="1"/>
  <c r="I344" i="7"/>
  <c r="Q344" i="7" s="1"/>
  <c r="J344" i="7"/>
  <c r="I345" i="7"/>
  <c r="Q345" i="7" s="1"/>
  <c r="J345" i="7"/>
  <c r="R345" i="7" s="1"/>
  <c r="I346" i="7"/>
  <c r="Q346" i="7" s="1"/>
  <c r="J346" i="7"/>
  <c r="R346" i="7" s="1"/>
  <c r="I347" i="7"/>
  <c r="Q347" i="7" s="1"/>
  <c r="J347" i="7"/>
  <c r="R347" i="7" s="1"/>
  <c r="I348" i="7"/>
  <c r="Q348" i="7" s="1"/>
  <c r="J348" i="7"/>
  <c r="I349" i="7"/>
  <c r="Q349" i="7" s="1"/>
  <c r="J349" i="7"/>
  <c r="R349" i="7" s="1"/>
  <c r="I350" i="7"/>
  <c r="Q350" i="7" s="1"/>
  <c r="J350" i="7"/>
  <c r="R350" i="7" s="1"/>
  <c r="I351" i="7"/>
  <c r="Q351" i="7" s="1"/>
  <c r="J351" i="7"/>
  <c r="R351" i="7" s="1"/>
  <c r="I352" i="7"/>
  <c r="Q352" i="7" s="1"/>
  <c r="J352" i="7"/>
  <c r="I353" i="7"/>
  <c r="Q353" i="7" s="1"/>
  <c r="J353" i="7"/>
  <c r="R353" i="7" s="1"/>
  <c r="I354" i="7"/>
  <c r="Q354" i="7" s="1"/>
  <c r="J354" i="7"/>
  <c r="R354" i="7" s="1"/>
  <c r="I355" i="7"/>
  <c r="Q355" i="7" s="1"/>
  <c r="J355" i="7"/>
  <c r="R355" i="7" s="1"/>
  <c r="I356" i="7"/>
  <c r="Q356" i="7" s="1"/>
  <c r="J356" i="7"/>
  <c r="I357" i="7"/>
  <c r="Q357" i="7" s="1"/>
  <c r="J357" i="7"/>
  <c r="R357" i="7" s="1"/>
  <c r="I358" i="7"/>
  <c r="Q358" i="7" s="1"/>
  <c r="J358" i="7"/>
  <c r="R358" i="7" s="1"/>
  <c r="I359" i="7"/>
  <c r="Q359" i="7" s="1"/>
  <c r="J359" i="7"/>
  <c r="R359" i="7" s="1"/>
  <c r="I360" i="7"/>
  <c r="Q360" i="7" s="1"/>
  <c r="J360" i="7"/>
  <c r="I361" i="7"/>
  <c r="Q361" i="7" s="1"/>
  <c r="J361" i="7"/>
  <c r="R361" i="7" s="1"/>
  <c r="I362" i="7"/>
  <c r="Q362" i="7" s="1"/>
  <c r="J362" i="7"/>
  <c r="R362" i="7" s="1"/>
  <c r="I363" i="7"/>
  <c r="Q363" i="7" s="1"/>
  <c r="J363" i="7"/>
  <c r="R363" i="7" s="1"/>
  <c r="I364" i="7"/>
  <c r="Q364" i="7" s="1"/>
  <c r="J364" i="7"/>
  <c r="I365" i="7"/>
  <c r="Q365" i="7" s="1"/>
  <c r="J365" i="7"/>
  <c r="R365" i="7" s="1"/>
  <c r="I366" i="7"/>
  <c r="Q366" i="7" s="1"/>
  <c r="J366" i="7"/>
  <c r="R366" i="7" s="1"/>
  <c r="I367" i="7"/>
  <c r="Q367" i="7" s="1"/>
  <c r="J367" i="7"/>
  <c r="R367" i="7" s="1"/>
  <c r="I368" i="7"/>
  <c r="Q368" i="7" s="1"/>
  <c r="J368" i="7"/>
  <c r="I369" i="7"/>
  <c r="Q369" i="7" s="1"/>
  <c r="J369" i="7"/>
  <c r="R369" i="7" s="1"/>
  <c r="I370" i="7"/>
  <c r="Q370" i="7" s="1"/>
  <c r="J370" i="7"/>
  <c r="R370" i="7" s="1"/>
  <c r="I371" i="7"/>
  <c r="Q371" i="7" s="1"/>
  <c r="J371" i="7"/>
  <c r="R371" i="7" s="1"/>
  <c r="I372" i="7"/>
  <c r="Q372" i="7" s="1"/>
  <c r="J372" i="7"/>
  <c r="I373" i="7"/>
  <c r="Q373" i="7" s="1"/>
  <c r="J373" i="7"/>
  <c r="R373" i="7" s="1"/>
  <c r="I374" i="7"/>
  <c r="Q374" i="7" s="1"/>
  <c r="J374" i="7"/>
  <c r="R374" i="7" s="1"/>
  <c r="I375" i="7"/>
  <c r="Q375" i="7" s="1"/>
  <c r="J375" i="7"/>
  <c r="R375" i="7" s="1"/>
  <c r="I376" i="7"/>
  <c r="Q376" i="7" s="1"/>
  <c r="J376" i="7"/>
  <c r="I377" i="7"/>
  <c r="Q377" i="7" s="1"/>
  <c r="J377" i="7"/>
  <c r="R377" i="7" s="1"/>
  <c r="I378" i="7"/>
  <c r="Q378" i="7" s="1"/>
  <c r="J378" i="7"/>
  <c r="R378" i="7" s="1"/>
  <c r="I379" i="7"/>
  <c r="Q379" i="7" s="1"/>
  <c r="J379" i="7"/>
  <c r="R379" i="7" s="1"/>
  <c r="I380" i="7"/>
  <c r="Q380" i="7" s="1"/>
  <c r="J380" i="7"/>
  <c r="I381" i="7"/>
  <c r="Q381" i="7" s="1"/>
  <c r="J381" i="7"/>
  <c r="R381" i="7" s="1"/>
  <c r="I382" i="7"/>
  <c r="Q382" i="7" s="1"/>
  <c r="J382" i="7"/>
  <c r="R382" i="7" s="1"/>
  <c r="I383" i="7"/>
  <c r="Q383" i="7" s="1"/>
  <c r="J383" i="7"/>
  <c r="R383" i="7" s="1"/>
  <c r="I384" i="7"/>
  <c r="Q384" i="7" s="1"/>
  <c r="J384" i="7"/>
  <c r="I385" i="7"/>
  <c r="Q385" i="7" s="1"/>
  <c r="J385" i="7"/>
  <c r="R385" i="7" s="1"/>
  <c r="I386" i="7"/>
  <c r="Q386" i="7" s="1"/>
  <c r="J386" i="7"/>
  <c r="R386" i="7" s="1"/>
  <c r="I387" i="7"/>
  <c r="Q387" i="7" s="1"/>
  <c r="J387" i="7"/>
  <c r="R387" i="7" s="1"/>
  <c r="I388" i="7"/>
  <c r="Q388" i="7" s="1"/>
  <c r="J388" i="7"/>
  <c r="I389" i="7"/>
  <c r="Q389" i="7" s="1"/>
  <c r="J389" i="7"/>
  <c r="R389" i="7" s="1"/>
  <c r="I390" i="7"/>
  <c r="Q390" i="7" s="1"/>
  <c r="J390" i="7"/>
  <c r="R390" i="7" s="1"/>
  <c r="I391" i="7"/>
  <c r="Q391" i="7" s="1"/>
  <c r="J391" i="7"/>
  <c r="R391" i="7" s="1"/>
  <c r="I392" i="7"/>
  <c r="Q392" i="7" s="1"/>
  <c r="J392" i="7"/>
  <c r="R392" i="7" s="1"/>
  <c r="I393" i="7"/>
  <c r="Q393" i="7" s="1"/>
  <c r="J393" i="7"/>
  <c r="R393" i="7" s="1"/>
  <c r="I394" i="7"/>
  <c r="Q394" i="7" s="1"/>
  <c r="J394" i="7"/>
  <c r="R394" i="7" s="1"/>
  <c r="I395" i="7"/>
  <c r="Q395" i="7" s="1"/>
  <c r="J395" i="7"/>
  <c r="R395" i="7" s="1"/>
  <c r="I396" i="7"/>
  <c r="Q396" i="7" s="1"/>
  <c r="J396" i="7"/>
  <c r="R396" i="7" s="1"/>
  <c r="I397" i="7"/>
  <c r="Q397" i="7" s="1"/>
  <c r="J397" i="7"/>
  <c r="R397" i="7" s="1"/>
  <c r="I398" i="7"/>
  <c r="Q398" i="7" s="1"/>
  <c r="J398" i="7"/>
  <c r="R398" i="7" s="1"/>
  <c r="I399" i="7"/>
  <c r="Q399" i="7" s="1"/>
  <c r="J399" i="7"/>
  <c r="R399" i="7" s="1"/>
  <c r="I400" i="7"/>
  <c r="Q400" i="7" s="1"/>
  <c r="J400" i="7"/>
  <c r="R400" i="7" s="1"/>
  <c r="I401" i="7"/>
  <c r="Q401" i="7" s="1"/>
  <c r="J401" i="7"/>
  <c r="R401" i="7" s="1"/>
  <c r="I402" i="7"/>
  <c r="Q402" i="7" s="1"/>
  <c r="J402" i="7"/>
  <c r="R402" i="7" s="1"/>
  <c r="I403" i="7"/>
  <c r="Q403" i="7" s="1"/>
  <c r="J403" i="7"/>
  <c r="R403" i="7" s="1"/>
  <c r="I404" i="7"/>
  <c r="Q404" i="7" s="1"/>
  <c r="J404" i="7"/>
  <c r="R404" i="7" s="1"/>
  <c r="I405" i="7"/>
  <c r="Q405" i="7" s="1"/>
  <c r="J405" i="7"/>
  <c r="R405" i="7" s="1"/>
  <c r="I406" i="7"/>
  <c r="Q406" i="7" s="1"/>
  <c r="J406" i="7"/>
  <c r="R406" i="7" s="1"/>
  <c r="I407" i="7"/>
  <c r="Q407" i="7" s="1"/>
  <c r="J407" i="7"/>
  <c r="R407" i="7" s="1"/>
  <c r="I408" i="7"/>
  <c r="Q408" i="7" s="1"/>
  <c r="J408" i="7"/>
  <c r="R408" i="7" s="1"/>
  <c r="I409" i="7"/>
  <c r="Q409" i="7" s="1"/>
  <c r="J409" i="7"/>
  <c r="R409" i="7" s="1"/>
  <c r="I410" i="7"/>
  <c r="Q410" i="7" s="1"/>
  <c r="J410" i="7"/>
  <c r="R410" i="7" s="1"/>
  <c r="I411" i="7"/>
  <c r="Q411" i="7" s="1"/>
  <c r="J411" i="7"/>
  <c r="R411" i="7" s="1"/>
  <c r="I412" i="7"/>
  <c r="Q412" i="7" s="1"/>
  <c r="J412" i="7"/>
  <c r="R412" i="7" s="1"/>
  <c r="I413" i="7"/>
  <c r="Q413" i="7" s="1"/>
  <c r="J413" i="7"/>
  <c r="R413" i="7" s="1"/>
  <c r="I414" i="7"/>
  <c r="Q414" i="7" s="1"/>
  <c r="J414" i="7"/>
  <c r="R414" i="7" s="1"/>
  <c r="I415" i="7"/>
  <c r="Q415" i="7" s="1"/>
  <c r="J415" i="7"/>
  <c r="R415" i="7" s="1"/>
  <c r="I416" i="7"/>
  <c r="Q416" i="7" s="1"/>
  <c r="J416" i="7"/>
  <c r="R416" i="7" s="1"/>
  <c r="I417" i="7"/>
  <c r="Q417" i="7" s="1"/>
  <c r="J417" i="7"/>
  <c r="R417" i="7" s="1"/>
  <c r="I418" i="7"/>
  <c r="Q418" i="7" s="1"/>
  <c r="J418" i="7"/>
  <c r="R418" i="7" s="1"/>
  <c r="I419" i="7"/>
  <c r="Q419" i="7" s="1"/>
  <c r="J419" i="7"/>
  <c r="R419" i="7" s="1"/>
  <c r="I420" i="7"/>
  <c r="Q420" i="7" s="1"/>
  <c r="J420" i="7"/>
  <c r="R420" i="7" s="1"/>
  <c r="I421" i="7"/>
  <c r="Q421" i="7" s="1"/>
  <c r="J421" i="7"/>
  <c r="R421" i="7" s="1"/>
  <c r="I422" i="7"/>
  <c r="Q422" i="7" s="1"/>
  <c r="J422" i="7"/>
  <c r="R422" i="7" s="1"/>
  <c r="I423" i="7"/>
  <c r="Q423" i="7" s="1"/>
  <c r="J423" i="7"/>
  <c r="R423" i="7" s="1"/>
  <c r="I424" i="7"/>
  <c r="Q424" i="7" s="1"/>
  <c r="J424" i="7"/>
  <c r="R424" i="7" s="1"/>
  <c r="I425" i="7"/>
  <c r="Q425" i="7" s="1"/>
  <c r="J425" i="7"/>
  <c r="R425" i="7" s="1"/>
  <c r="I426" i="7"/>
  <c r="Q426" i="7" s="1"/>
  <c r="J426" i="7"/>
  <c r="R426" i="7" s="1"/>
  <c r="I427" i="7"/>
  <c r="Q427" i="7" s="1"/>
  <c r="J427" i="7"/>
  <c r="R427" i="7" s="1"/>
  <c r="I428" i="7"/>
  <c r="Q428" i="7" s="1"/>
  <c r="J428" i="7"/>
  <c r="R428" i="7" s="1"/>
  <c r="I429" i="7"/>
  <c r="Q429" i="7" s="1"/>
  <c r="J429" i="7"/>
  <c r="R429" i="7" s="1"/>
  <c r="I430" i="7"/>
  <c r="Q430" i="7" s="1"/>
  <c r="J430" i="7"/>
  <c r="R430" i="7" s="1"/>
  <c r="I431" i="7"/>
  <c r="Q431" i="7" s="1"/>
  <c r="J431" i="7"/>
  <c r="R431" i="7" s="1"/>
  <c r="I432" i="7"/>
  <c r="Q432" i="7" s="1"/>
  <c r="J432" i="7"/>
  <c r="R432" i="7" s="1"/>
  <c r="I433" i="7"/>
  <c r="Q433" i="7" s="1"/>
  <c r="J433" i="7"/>
  <c r="R433" i="7" s="1"/>
  <c r="I434" i="7"/>
  <c r="Q434" i="7" s="1"/>
  <c r="J434" i="7"/>
  <c r="R434" i="7" s="1"/>
  <c r="I435" i="7"/>
  <c r="Q435" i="7" s="1"/>
  <c r="J435" i="7"/>
  <c r="R435" i="7" s="1"/>
  <c r="I436" i="7"/>
  <c r="Q436" i="7" s="1"/>
  <c r="J436" i="7"/>
  <c r="R436" i="7" s="1"/>
  <c r="I437" i="7"/>
  <c r="Q437" i="7" s="1"/>
  <c r="J437" i="7"/>
  <c r="R437" i="7" s="1"/>
  <c r="I438" i="7"/>
  <c r="Q438" i="7" s="1"/>
  <c r="J438" i="7"/>
  <c r="R438" i="7" s="1"/>
  <c r="I439" i="7"/>
  <c r="Q439" i="7" s="1"/>
  <c r="J439" i="7"/>
  <c r="R439" i="7" s="1"/>
  <c r="I440" i="7"/>
  <c r="Q440" i="7" s="1"/>
  <c r="J440" i="7"/>
  <c r="R440" i="7" s="1"/>
  <c r="I441" i="7"/>
  <c r="Q441" i="7" s="1"/>
  <c r="J441" i="7"/>
  <c r="R441" i="7" s="1"/>
  <c r="I442" i="7"/>
  <c r="Q442" i="7" s="1"/>
  <c r="J442" i="7"/>
  <c r="R442" i="7" s="1"/>
  <c r="I443" i="7"/>
  <c r="Q443" i="7" s="1"/>
  <c r="J443" i="7"/>
  <c r="R443" i="7" s="1"/>
  <c r="I444" i="7"/>
  <c r="Q444" i="7" s="1"/>
  <c r="J444" i="7"/>
  <c r="R444" i="7" s="1"/>
  <c r="I445" i="7"/>
  <c r="Q445" i="7" s="1"/>
  <c r="J445" i="7"/>
  <c r="R445" i="7" s="1"/>
  <c r="I446" i="7"/>
  <c r="Q446" i="7" s="1"/>
  <c r="J446" i="7"/>
  <c r="R446" i="7" s="1"/>
  <c r="I447" i="7"/>
  <c r="Q447" i="7" s="1"/>
  <c r="J447" i="7"/>
  <c r="R447" i="7" s="1"/>
  <c r="I448" i="7"/>
  <c r="Q448" i="7" s="1"/>
  <c r="J448" i="7"/>
  <c r="R448" i="7" s="1"/>
  <c r="I449" i="7"/>
  <c r="Q449" i="7" s="1"/>
  <c r="J449" i="7"/>
  <c r="R449" i="7" s="1"/>
  <c r="I450" i="7"/>
  <c r="Q450" i="7" s="1"/>
  <c r="J450" i="7"/>
  <c r="R450" i="7" s="1"/>
  <c r="I451" i="7"/>
  <c r="Q451" i="7" s="1"/>
  <c r="J451" i="7"/>
  <c r="R451" i="7" s="1"/>
  <c r="I452" i="7"/>
  <c r="Q452" i="7" s="1"/>
  <c r="J452" i="7"/>
  <c r="R452" i="7" s="1"/>
  <c r="I453" i="7"/>
  <c r="Q453" i="7" s="1"/>
  <c r="J453" i="7"/>
  <c r="R453" i="7" s="1"/>
  <c r="I454" i="7"/>
  <c r="Q454" i="7" s="1"/>
  <c r="J454" i="7"/>
  <c r="R454" i="7" s="1"/>
  <c r="I455" i="7"/>
  <c r="Q455" i="7" s="1"/>
  <c r="J455" i="7"/>
  <c r="R455" i="7" s="1"/>
  <c r="I456" i="7"/>
  <c r="Q456" i="7" s="1"/>
  <c r="J456" i="7"/>
  <c r="R456" i="7" s="1"/>
  <c r="I457" i="7"/>
  <c r="Q457" i="7" s="1"/>
  <c r="J457" i="7"/>
  <c r="R457" i="7" s="1"/>
  <c r="I458" i="7"/>
  <c r="Q458" i="7" s="1"/>
  <c r="J458" i="7"/>
  <c r="R458" i="7" s="1"/>
  <c r="I459" i="7"/>
  <c r="Q459" i="7" s="1"/>
  <c r="J459" i="7"/>
  <c r="R459" i="7" s="1"/>
  <c r="I460" i="7"/>
  <c r="Q460" i="7" s="1"/>
  <c r="J460" i="7"/>
  <c r="R460" i="7" s="1"/>
  <c r="I461" i="7"/>
  <c r="Q461" i="7" s="1"/>
  <c r="J461" i="7"/>
  <c r="R461" i="7" s="1"/>
  <c r="I462" i="7"/>
  <c r="Q462" i="7" s="1"/>
  <c r="J462" i="7"/>
  <c r="R462" i="7" s="1"/>
  <c r="I463" i="7"/>
  <c r="Q463" i="7" s="1"/>
  <c r="J463" i="7"/>
  <c r="R463" i="7" s="1"/>
  <c r="I464" i="7"/>
  <c r="Q464" i="7" s="1"/>
  <c r="J464" i="7"/>
  <c r="R464" i="7" s="1"/>
  <c r="I465" i="7"/>
  <c r="Q465" i="7" s="1"/>
  <c r="J465" i="7"/>
  <c r="R465" i="7" s="1"/>
  <c r="I466" i="7"/>
  <c r="Q466" i="7" s="1"/>
  <c r="J466" i="7"/>
  <c r="R466" i="7" s="1"/>
  <c r="I467" i="7"/>
  <c r="Q467" i="7" s="1"/>
  <c r="J467" i="7"/>
  <c r="R467" i="7" s="1"/>
  <c r="I468" i="7"/>
  <c r="Q468" i="7" s="1"/>
  <c r="J468" i="7"/>
  <c r="R468" i="7" s="1"/>
  <c r="I469" i="7"/>
  <c r="Q469" i="7" s="1"/>
  <c r="J469" i="7"/>
  <c r="R469" i="7" s="1"/>
  <c r="I470" i="7"/>
  <c r="Q470" i="7" s="1"/>
  <c r="J470" i="7"/>
  <c r="R470" i="7" s="1"/>
  <c r="I471" i="7"/>
  <c r="Q471" i="7" s="1"/>
  <c r="J471" i="7"/>
  <c r="R471" i="7" s="1"/>
  <c r="I472" i="7"/>
  <c r="Q472" i="7" s="1"/>
  <c r="J472" i="7"/>
  <c r="R472" i="7" s="1"/>
  <c r="I473" i="7"/>
  <c r="Q473" i="7" s="1"/>
  <c r="J473" i="7"/>
  <c r="R473" i="7" s="1"/>
  <c r="I474" i="7"/>
  <c r="Q474" i="7" s="1"/>
  <c r="J474" i="7"/>
  <c r="R474" i="7" s="1"/>
  <c r="I475" i="7"/>
  <c r="Q475" i="7" s="1"/>
  <c r="J475" i="7"/>
  <c r="R475" i="7" s="1"/>
  <c r="I476" i="7"/>
  <c r="Q476" i="7" s="1"/>
  <c r="J476" i="7"/>
  <c r="R476" i="7" s="1"/>
  <c r="I477" i="7"/>
  <c r="Q477" i="7" s="1"/>
  <c r="J477" i="7"/>
  <c r="R477" i="7" s="1"/>
  <c r="I478" i="7"/>
  <c r="Q478" i="7" s="1"/>
  <c r="J478" i="7"/>
  <c r="R478" i="7" s="1"/>
  <c r="I479" i="7"/>
  <c r="Q479" i="7" s="1"/>
  <c r="J479" i="7"/>
  <c r="R479" i="7" s="1"/>
  <c r="I480" i="7"/>
  <c r="Q480" i="7" s="1"/>
  <c r="J480" i="7"/>
  <c r="R480" i="7" s="1"/>
  <c r="I481" i="7"/>
  <c r="Q481" i="7" s="1"/>
  <c r="J481" i="7"/>
  <c r="R481" i="7" s="1"/>
  <c r="I482" i="7"/>
  <c r="Q482" i="7" s="1"/>
  <c r="J482" i="7"/>
  <c r="R482" i="7" s="1"/>
  <c r="I483" i="7"/>
  <c r="Q483" i="7" s="1"/>
  <c r="J483" i="7"/>
  <c r="R483" i="7" s="1"/>
  <c r="I484" i="7"/>
  <c r="Q484" i="7" s="1"/>
  <c r="J484" i="7"/>
  <c r="R484" i="7" s="1"/>
  <c r="I485" i="7"/>
  <c r="Q485" i="7" s="1"/>
  <c r="J485" i="7"/>
  <c r="R485" i="7" s="1"/>
  <c r="I486" i="7"/>
  <c r="Q486" i="7" s="1"/>
  <c r="J486" i="7"/>
  <c r="R486" i="7" s="1"/>
  <c r="I487" i="7"/>
  <c r="Q487" i="7" s="1"/>
  <c r="J487" i="7"/>
  <c r="R487" i="7" s="1"/>
  <c r="I488" i="7"/>
  <c r="Q488" i="7" s="1"/>
  <c r="J488" i="7"/>
  <c r="R488" i="7" s="1"/>
  <c r="I489" i="7"/>
  <c r="Q489" i="7" s="1"/>
  <c r="J489" i="7"/>
  <c r="R489" i="7" s="1"/>
  <c r="I490" i="7"/>
  <c r="Q490" i="7" s="1"/>
  <c r="J490" i="7"/>
  <c r="R490" i="7" s="1"/>
  <c r="I491" i="7"/>
  <c r="Q491" i="7" s="1"/>
  <c r="J491" i="7"/>
  <c r="R491" i="7" s="1"/>
  <c r="I492" i="7"/>
  <c r="Q492" i="7" s="1"/>
  <c r="J492" i="7"/>
  <c r="R492" i="7" s="1"/>
  <c r="I493" i="7"/>
  <c r="Q493" i="7" s="1"/>
  <c r="J493" i="7"/>
  <c r="R493" i="7" s="1"/>
  <c r="I494" i="7"/>
  <c r="Q494" i="7" s="1"/>
  <c r="J494" i="7"/>
  <c r="R494" i="7" s="1"/>
  <c r="I495" i="7"/>
  <c r="Q495" i="7" s="1"/>
  <c r="J495" i="7"/>
  <c r="R495" i="7" s="1"/>
  <c r="I496" i="7"/>
  <c r="Q496" i="7" s="1"/>
  <c r="J496" i="7"/>
  <c r="R496" i="7" s="1"/>
  <c r="I497" i="7"/>
  <c r="Q497" i="7" s="1"/>
  <c r="J497" i="7"/>
  <c r="R497" i="7" s="1"/>
  <c r="I498" i="7"/>
  <c r="Q498" i="7" s="1"/>
  <c r="J498" i="7"/>
  <c r="R498" i="7" s="1"/>
  <c r="I499" i="7"/>
  <c r="Q499" i="7" s="1"/>
  <c r="J499" i="7"/>
  <c r="R499" i="7" s="1"/>
  <c r="I500" i="7"/>
  <c r="Q500" i="7" s="1"/>
  <c r="J500" i="7"/>
  <c r="R500" i="7" s="1"/>
  <c r="I501" i="7"/>
  <c r="Q501" i="7" s="1"/>
  <c r="J501" i="7"/>
  <c r="R501" i="7" s="1"/>
  <c r="I502" i="7"/>
  <c r="Q502" i="7" s="1"/>
  <c r="J502" i="7"/>
  <c r="R502" i="7" s="1"/>
  <c r="I503" i="7"/>
  <c r="Q503" i="7" s="1"/>
  <c r="J503" i="7"/>
  <c r="R503" i="7" s="1"/>
  <c r="I504" i="7"/>
  <c r="Q504" i="7" s="1"/>
  <c r="J504" i="7"/>
  <c r="R504" i="7" s="1"/>
  <c r="I505" i="7"/>
  <c r="Q505" i="7" s="1"/>
  <c r="J505" i="7"/>
  <c r="R505" i="7" s="1"/>
  <c r="I506" i="7"/>
  <c r="Q506" i="7" s="1"/>
  <c r="J506" i="7"/>
  <c r="R506" i="7" s="1"/>
  <c r="I507" i="7"/>
  <c r="Q507" i="7" s="1"/>
  <c r="J507" i="7"/>
  <c r="R507" i="7" s="1"/>
  <c r="I508" i="7"/>
  <c r="Q508" i="7" s="1"/>
  <c r="J508" i="7"/>
  <c r="R508" i="7" s="1"/>
  <c r="I509" i="7"/>
  <c r="Q509" i="7" s="1"/>
  <c r="J509" i="7"/>
  <c r="R509" i="7" s="1"/>
  <c r="I510" i="7"/>
  <c r="Q510" i="7" s="1"/>
  <c r="J510" i="7"/>
  <c r="R510" i="7" s="1"/>
  <c r="I511" i="7"/>
  <c r="Q511" i="7" s="1"/>
  <c r="J511" i="7"/>
  <c r="R511" i="7" s="1"/>
  <c r="I512" i="7"/>
  <c r="Q512" i="7" s="1"/>
  <c r="J512" i="7"/>
  <c r="R512" i="7" s="1"/>
  <c r="I513" i="7"/>
  <c r="Q513" i="7" s="1"/>
  <c r="J513" i="7"/>
  <c r="R513" i="7" s="1"/>
  <c r="I514" i="7"/>
  <c r="Q514" i="7" s="1"/>
  <c r="J514" i="7"/>
  <c r="R514" i="7" s="1"/>
  <c r="I515" i="7"/>
  <c r="Q515" i="7" s="1"/>
  <c r="J515" i="7"/>
  <c r="R515" i="7" s="1"/>
  <c r="I516" i="7"/>
  <c r="Q516" i="7" s="1"/>
  <c r="J516" i="7"/>
  <c r="R516" i="7" s="1"/>
  <c r="I517" i="7"/>
  <c r="Q517" i="7" s="1"/>
  <c r="J517" i="7"/>
  <c r="R517" i="7" s="1"/>
  <c r="I518" i="7"/>
  <c r="Q518" i="7" s="1"/>
  <c r="J518" i="7"/>
  <c r="R518" i="7" s="1"/>
  <c r="I519" i="7"/>
  <c r="Q519" i="7" s="1"/>
  <c r="J519" i="7"/>
  <c r="R519" i="7" s="1"/>
  <c r="I520" i="7"/>
  <c r="Q520" i="7" s="1"/>
  <c r="J520" i="7"/>
  <c r="R520" i="7" s="1"/>
  <c r="I521" i="7"/>
  <c r="Q521" i="7" s="1"/>
  <c r="J521" i="7"/>
  <c r="R521" i="7" s="1"/>
  <c r="I522" i="7"/>
  <c r="Q522" i="7" s="1"/>
  <c r="J522" i="7"/>
  <c r="R522" i="7" s="1"/>
  <c r="I523" i="7"/>
  <c r="Q523" i="7" s="1"/>
  <c r="J523" i="7"/>
  <c r="R523" i="7" s="1"/>
  <c r="I524" i="7"/>
  <c r="Q524" i="7" s="1"/>
  <c r="J524" i="7"/>
  <c r="R524" i="7" s="1"/>
  <c r="I525" i="7"/>
  <c r="Q525" i="7" s="1"/>
  <c r="J525" i="7"/>
  <c r="R525" i="7" s="1"/>
  <c r="I526" i="7"/>
  <c r="Q526" i="7" s="1"/>
  <c r="J526" i="7"/>
  <c r="R526" i="7" s="1"/>
  <c r="I527" i="7"/>
  <c r="Q527" i="7" s="1"/>
  <c r="J527" i="7"/>
  <c r="R527" i="7" s="1"/>
  <c r="I528" i="7"/>
  <c r="Q528" i="7" s="1"/>
  <c r="J528" i="7"/>
  <c r="R528" i="7" s="1"/>
  <c r="I529" i="7"/>
  <c r="Q529" i="7" s="1"/>
  <c r="J529" i="7"/>
  <c r="R529" i="7" s="1"/>
  <c r="I530" i="7"/>
  <c r="Q530" i="7" s="1"/>
  <c r="J530" i="7"/>
  <c r="R530" i="7" s="1"/>
  <c r="I531" i="7"/>
  <c r="Q531" i="7" s="1"/>
  <c r="J531" i="7"/>
  <c r="R531" i="7" s="1"/>
  <c r="I532" i="7"/>
  <c r="Q532" i="7" s="1"/>
  <c r="J532" i="7"/>
  <c r="R532" i="7" s="1"/>
  <c r="I533" i="7"/>
  <c r="Q533" i="7" s="1"/>
  <c r="J533" i="7"/>
  <c r="R533" i="7" s="1"/>
  <c r="I534" i="7"/>
  <c r="Q534" i="7" s="1"/>
  <c r="J534" i="7"/>
  <c r="R534" i="7" s="1"/>
  <c r="I535" i="7"/>
  <c r="Q535" i="7" s="1"/>
  <c r="J535" i="7"/>
  <c r="R535" i="7" s="1"/>
  <c r="I536" i="7"/>
  <c r="Q536" i="7" s="1"/>
  <c r="J536" i="7"/>
  <c r="R536" i="7" s="1"/>
  <c r="I537" i="7"/>
  <c r="Q537" i="7" s="1"/>
  <c r="J537" i="7"/>
  <c r="R537" i="7" s="1"/>
  <c r="I538" i="7"/>
  <c r="Q538" i="7" s="1"/>
  <c r="J538" i="7"/>
  <c r="R538" i="7" s="1"/>
  <c r="I539" i="7"/>
  <c r="Q539" i="7" s="1"/>
  <c r="J539" i="7"/>
  <c r="R539" i="7" s="1"/>
  <c r="I540" i="7"/>
  <c r="Q540" i="7" s="1"/>
  <c r="J540" i="7"/>
  <c r="R540" i="7" s="1"/>
  <c r="I541" i="7"/>
  <c r="Q541" i="7" s="1"/>
  <c r="J541" i="7"/>
  <c r="R541" i="7" s="1"/>
  <c r="I542" i="7"/>
  <c r="Q542" i="7" s="1"/>
  <c r="J542" i="7"/>
  <c r="R542" i="7" s="1"/>
  <c r="I543" i="7"/>
  <c r="Q543" i="7" s="1"/>
  <c r="J543" i="7"/>
  <c r="R543" i="7" s="1"/>
  <c r="I544" i="7"/>
  <c r="Q544" i="7" s="1"/>
  <c r="J544" i="7"/>
  <c r="R544" i="7" s="1"/>
  <c r="I545" i="7"/>
  <c r="Q545" i="7" s="1"/>
  <c r="J545" i="7"/>
  <c r="R545" i="7" s="1"/>
  <c r="I546" i="7"/>
  <c r="Q546" i="7" s="1"/>
  <c r="J546" i="7"/>
  <c r="R546" i="7" s="1"/>
  <c r="I547" i="7"/>
  <c r="Q547" i="7" s="1"/>
  <c r="J547" i="7"/>
  <c r="R547" i="7" s="1"/>
  <c r="I548" i="7"/>
  <c r="Q548" i="7" s="1"/>
  <c r="J548" i="7"/>
  <c r="R548" i="7" s="1"/>
  <c r="I549" i="7"/>
  <c r="Q549" i="7" s="1"/>
  <c r="J549" i="7"/>
  <c r="R549" i="7" s="1"/>
  <c r="I550" i="7"/>
  <c r="Q550" i="7" s="1"/>
  <c r="J550" i="7"/>
  <c r="R550" i="7" s="1"/>
  <c r="I551" i="7"/>
  <c r="Q551" i="7" s="1"/>
  <c r="J551" i="7"/>
  <c r="R551" i="7" s="1"/>
  <c r="I552" i="7"/>
  <c r="Q552" i="7" s="1"/>
  <c r="J552" i="7"/>
  <c r="R552" i="7" s="1"/>
  <c r="I553" i="7"/>
  <c r="Q553" i="7" s="1"/>
  <c r="J553" i="7"/>
  <c r="R553" i="7" s="1"/>
  <c r="I554" i="7"/>
  <c r="Q554" i="7" s="1"/>
  <c r="J554" i="7"/>
  <c r="R554" i="7" s="1"/>
  <c r="I555" i="7"/>
  <c r="Q555" i="7" s="1"/>
  <c r="J555" i="7"/>
  <c r="R555" i="7" s="1"/>
  <c r="I556" i="7"/>
  <c r="Q556" i="7" s="1"/>
  <c r="J556" i="7"/>
  <c r="R556" i="7" s="1"/>
  <c r="I557" i="7"/>
  <c r="Q557" i="7" s="1"/>
  <c r="J557" i="7"/>
  <c r="R557" i="7" s="1"/>
  <c r="I558" i="7"/>
  <c r="Q558" i="7" s="1"/>
  <c r="J558" i="7"/>
  <c r="R558" i="7" s="1"/>
  <c r="I559" i="7"/>
  <c r="Q559" i="7" s="1"/>
  <c r="J559" i="7"/>
  <c r="R559" i="7" s="1"/>
  <c r="I560" i="7"/>
  <c r="Q560" i="7" s="1"/>
  <c r="J560" i="7"/>
  <c r="R560" i="7" s="1"/>
  <c r="I561" i="7"/>
  <c r="Q561" i="7" s="1"/>
  <c r="J561" i="7"/>
  <c r="R561" i="7" s="1"/>
  <c r="I562" i="7"/>
  <c r="Q562" i="7" s="1"/>
  <c r="J562" i="7"/>
  <c r="R562" i="7" s="1"/>
  <c r="I563" i="7"/>
  <c r="Q563" i="7" s="1"/>
  <c r="J563" i="7"/>
  <c r="R563" i="7" s="1"/>
  <c r="I564" i="7"/>
  <c r="Q564" i="7" s="1"/>
  <c r="J564" i="7"/>
  <c r="R564" i="7" s="1"/>
  <c r="I565" i="7"/>
  <c r="Q565" i="7" s="1"/>
  <c r="J565" i="7"/>
  <c r="R565" i="7" s="1"/>
  <c r="I566" i="7"/>
  <c r="Q566" i="7" s="1"/>
  <c r="J566" i="7"/>
  <c r="R566" i="7" s="1"/>
  <c r="I567" i="7"/>
  <c r="Q567" i="7" s="1"/>
  <c r="J567" i="7"/>
  <c r="R567" i="7" s="1"/>
  <c r="I568" i="7"/>
  <c r="Q568" i="7" s="1"/>
  <c r="J568" i="7"/>
  <c r="R568" i="7" s="1"/>
  <c r="I569" i="7"/>
  <c r="Q569" i="7" s="1"/>
  <c r="J569" i="7"/>
  <c r="R569" i="7" s="1"/>
  <c r="I570" i="7"/>
  <c r="Q570" i="7" s="1"/>
  <c r="J570" i="7"/>
  <c r="R570" i="7" s="1"/>
  <c r="I571" i="7"/>
  <c r="Q571" i="7" s="1"/>
  <c r="J571" i="7"/>
  <c r="R571" i="7" s="1"/>
  <c r="I572" i="7"/>
  <c r="Q572" i="7" s="1"/>
  <c r="J572" i="7"/>
  <c r="R572" i="7" s="1"/>
  <c r="I573" i="7"/>
  <c r="Q573" i="7" s="1"/>
  <c r="J573" i="7"/>
  <c r="R573" i="7" s="1"/>
  <c r="I574" i="7"/>
  <c r="Q574" i="7" s="1"/>
  <c r="J574" i="7"/>
  <c r="R574" i="7" s="1"/>
  <c r="I575" i="7"/>
  <c r="Q575" i="7" s="1"/>
  <c r="J575" i="7"/>
  <c r="R575" i="7" s="1"/>
  <c r="I576" i="7"/>
  <c r="Q576" i="7" s="1"/>
  <c r="J576" i="7"/>
  <c r="R576" i="7" s="1"/>
  <c r="I577" i="7"/>
  <c r="Q577" i="7" s="1"/>
  <c r="J577" i="7"/>
  <c r="R577" i="7" s="1"/>
  <c r="I578" i="7"/>
  <c r="Q578" i="7" s="1"/>
  <c r="J578" i="7"/>
  <c r="R578" i="7" s="1"/>
  <c r="I579" i="7"/>
  <c r="Q579" i="7" s="1"/>
  <c r="J579" i="7"/>
  <c r="R579" i="7" s="1"/>
  <c r="I580" i="7"/>
  <c r="Q580" i="7" s="1"/>
  <c r="J580" i="7"/>
  <c r="R580" i="7" s="1"/>
  <c r="I581" i="7"/>
  <c r="Q581" i="7" s="1"/>
  <c r="J581" i="7"/>
  <c r="R581" i="7" s="1"/>
  <c r="I582" i="7"/>
  <c r="Q582" i="7" s="1"/>
  <c r="J582" i="7"/>
  <c r="R582" i="7" s="1"/>
  <c r="I583" i="7"/>
  <c r="Q583" i="7" s="1"/>
  <c r="J583" i="7"/>
  <c r="R583" i="7" s="1"/>
  <c r="I584" i="7"/>
  <c r="Q584" i="7" s="1"/>
  <c r="J584" i="7"/>
  <c r="R584" i="7" s="1"/>
  <c r="I585" i="7"/>
  <c r="Q585" i="7" s="1"/>
  <c r="J585" i="7"/>
  <c r="R585" i="7" s="1"/>
  <c r="I586" i="7"/>
  <c r="Q586" i="7" s="1"/>
  <c r="J586" i="7"/>
  <c r="R586" i="7" s="1"/>
  <c r="I587" i="7"/>
  <c r="Q587" i="7" s="1"/>
  <c r="J587" i="7"/>
  <c r="R587" i="7" s="1"/>
  <c r="I588" i="7"/>
  <c r="Q588" i="7" s="1"/>
  <c r="J588" i="7"/>
  <c r="R588" i="7" s="1"/>
  <c r="I589" i="7"/>
  <c r="Q589" i="7" s="1"/>
  <c r="J589" i="7"/>
  <c r="R589" i="7" s="1"/>
  <c r="I590" i="7"/>
  <c r="Q590" i="7" s="1"/>
  <c r="J590" i="7"/>
  <c r="R590" i="7" s="1"/>
  <c r="I591" i="7"/>
  <c r="Q591" i="7" s="1"/>
  <c r="J591" i="7"/>
  <c r="R591" i="7" s="1"/>
  <c r="I592" i="7"/>
  <c r="Q592" i="7" s="1"/>
  <c r="J592" i="7"/>
  <c r="R592" i="7" s="1"/>
  <c r="I593" i="7"/>
  <c r="Q593" i="7" s="1"/>
  <c r="J593" i="7"/>
  <c r="R593" i="7" s="1"/>
  <c r="I594" i="7"/>
  <c r="Q594" i="7" s="1"/>
  <c r="J594" i="7"/>
  <c r="R594" i="7" s="1"/>
  <c r="I595" i="7"/>
  <c r="Q595" i="7" s="1"/>
  <c r="J595" i="7"/>
  <c r="R595" i="7" s="1"/>
  <c r="I596" i="7"/>
  <c r="Q596" i="7" s="1"/>
  <c r="J596" i="7"/>
  <c r="R596" i="7" s="1"/>
  <c r="I597" i="7"/>
  <c r="Q597" i="7" s="1"/>
  <c r="J597" i="7"/>
  <c r="R597" i="7" s="1"/>
  <c r="I598" i="7"/>
  <c r="Q598" i="7" s="1"/>
  <c r="J598" i="7"/>
  <c r="R598" i="7" s="1"/>
  <c r="I599" i="7"/>
  <c r="Q599" i="7" s="1"/>
  <c r="J599" i="7"/>
  <c r="R599" i="7" s="1"/>
  <c r="I600" i="7"/>
  <c r="Q600" i="7" s="1"/>
  <c r="J600" i="7"/>
  <c r="R600" i="7" s="1"/>
  <c r="I601" i="7"/>
  <c r="Q601" i="7" s="1"/>
  <c r="J601" i="7"/>
  <c r="R601" i="7" s="1"/>
  <c r="I602" i="7"/>
  <c r="Q602" i="7" s="1"/>
  <c r="J602" i="7"/>
  <c r="R602" i="7" s="1"/>
  <c r="I603" i="7"/>
  <c r="Q603" i="7" s="1"/>
  <c r="J603" i="7"/>
  <c r="R603" i="7" s="1"/>
  <c r="I604" i="7"/>
  <c r="Q604" i="7" s="1"/>
  <c r="J604" i="7"/>
  <c r="R604" i="7" s="1"/>
  <c r="I605" i="7"/>
  <c r="Q605" i="7" s="1"/>
  <c r="J605" i="7"/>
  <c r="R605" i="7" s="1"/>
  <c r="I606" i="7"/>
  <c r="Q606" i="7" s="1"/>
  <c r="J606" i="7"/>
  <c r="R606" i="7" s="1"/>
  <c r="I607" i="7"/>
  <c r="Q607" i="7" s="1"/>
  <c r="J607" i="7"/>
  <c r="R607" i="7" s="1"/>
  <c r="I608" i="7"/>
  <c r="Q608" i="7" s="1"/>
  <c r="J608" i="7"/>
  <c r="R608" i="7" s="1"/>
  <c r="I609" i="7"/>
  <c r="Q609" i="7" s="1"/>
  <c r="J609" i="7"/>
  <c r="R609" i="7" s="1"/>
  <c r="I610" i="7"/>
  <c r="Q610" i="7" s="1"/>
  <c r="J610" i="7"/>
  <c r="R610" i="7" s="1"/>
  <c r="I611" i="7"/>
  <c r="Q611" i="7" s="1"/>
  <c r="J611" i="7"/>
  <c r="R611" i="7" s="1"/>
  <c r="I612" i="7"/>
  <c r="Q612" i="7" s="1"/>
  <c r="J612" i="7"/>
  <c r="R612" i="7" s="1"/>
  <c r="I613" i="7"/>
  <c r="Q613" i="7" s="1"/>
  <c r="J613" i="7"/>
  <c r="R613" i="7" s="1"/>
  <c r="I614" i="7"/>
  <c r="Q614" i="7" s="1"/>
  <c r="J614" i="7"/>
  <c r="R614" i="7" s="1"/>
  <c r="I615" i="7"/>
  <c r="Q615" i="7" s="1"/>
  <c r="J615" i="7"/>
  <c r="R615" i="7" s="1"/>
  <c r="I616" i="7"/>
  <c r="Q616" i="7" s="1"/>
  <c r="J616" i="7"/>
  <c r="R616" i="7" s="1"/>
  <c r="I617" i="7"/>
  <c r="Q617" i="7" s="1"/>
  <c r="J617" i="7"/>
  <c r="R617" i="7" s="1"/>
  <c r="I618" i="7"/>
  <c r="Q618" i="7" s="1"/>
  <c r="J618" i="7"/>
  <c r="R618" i="7" s="1"/>
  <c r="I619" i="7"/>
  <c r="Q619" i="7" s="1"/>
  <c r="J619" i="7"/>
  <c r="R619" i="7" s="1"/>
  <c r="I620" i="7"/>
  <c r="Q620" i="7" s="1"/>
  <c r="J620" i="7"/>
  <c r="R620" i="7" s="1"/>
  <c r="I621" i="7"/>
  <c r="Q621" i="7" s="1"/>
  <c r="J621" i="7"/>
  <c r="R621" i="7" s="1"/>
  <c r="I622" i="7"/>
  <c r="Q622" i="7" s="1"/>
  <c r="J622" i="7"/>
  <c r="R622" i="7" s="1"/>
  <c r="I623" i="7"/>
  <c r="Q623" i="7" s="1"/>
  <c r="J623" i="7"/>
  <c r="R623" i="7" s="1"/>
  <c r="I624" i="7"/>
  <c r="Q624" i="7" s="1"/>
  <c r="J624" i="7"/>
  <c r="R624" i="7" s="1"/>
  <c r="I625" i="7"/>
  <c r="Q625" i="7" s="1"/>
  <c r="J625" i="7"/>
  <c r="R625" i="7" s="1"/>
  <c r="I626" i="7"/>
  <c r="Q626" i="7" s="1"/>
  <c r="J626" i="7"/>
  <c r="R626" i="7" s="1"/>
  <c r="I627" i="7"/>
  <c r="Q627" i="7" s="1"/>
  <c r="J627" i="7"/>
  <c r="R627" i="7" s="1"/>
  <c r="I628" i="7"/>
  <c r="Q628" i="7" s="1"/>
  <c r="J628" i="7"/>
  <c r="R628" i="7" s="1"/>
  <c r="I629" i="7"/>
  <c r="Q629" i="7" s="1"/>
  <c r="J629" i="7"/>
  <c r="R629" i="7" s="1"/>
  <c r="I630" i="7"/>
  <c r="Q630" i="7" s="1"/>
  <c r="J630" i="7"/>
  <c r="R630" i="7" s="1"/>
  <c r="I631" i="7"/>
  <c r="Q631" i="7" s="1"/>
  <c r="J631" i="7"/>
  <c r="R631" i="7" s="1"/>
  <c r="I632" i="7"/>
  <c r="Q632" i="7" s="1"/>
  <c r="J632" i="7"/>
  <c r="R632" i="7" s="1"/>
  <c r="I633" i="7"/>
  <c r="Q633" i="7" s="1"/>
  <c r="J633" i="7"/>
  <c r="R633" i="7" s="1"/>
  <c r="I634" i="7"/>
  <c r="Q634" i="7" s="1"/>
  <c r="J634" i="7"/>
  <c r="R634" i="7" s="1"/>
  <c r="I635" i="7"/>
  <c r="Q635" i="7" s="1"/>
  <c r="J635" i="7"/>
  <c r="R635" i="7" s="1"/>
  <c r="I636" i="7"/>
  <c r="Q636" i="7" s="1"/>
  <c r="J636" i="7"/>
  <c r="R636" i="7" s="1"/>
  <c r="I637" i="7"/>
  <c r="Q637" i="7" s="1"/>
  <c r="J637" i="7"/>
  <c r="R637" i="7" s="1"/>
  <c r="I638" i="7"/>
  <c r="Q638" i="7" s="1"/>
  <c r="J638" i="7"/>
  <c r="R638" i="7" s="1"/>
  <c r="I639" i="7"/>
  <c r="Q639" i="7" s="1"/>
  <c r="J639" i="7"/>
  <c r="R639" i="7" s="1"/>
  <c r="I640" i="7"/>
  <c r="Q640" i="7" s="1"/>
  <c r="J640" i="7"/>
  <c r="R640" i="7" s="1"/>
  <c r="I641" i="7"/>
  <c r="Q641" i="7" s="1"/>
  <c r="J641" i="7"/>
  <c r="R641" i="7" s="1"/>
  <c r="I642" i="7"/>
  <c r="Q642" i="7" s="1"/>
  <c r="J642" i="7"/>
  <c r="R642" i="7" s="1"/>
  <c r="I643" i="7"/>
  <c r="Q643" i="7" s="1"/>
  <c r="J643" i="7"/>
  <c r="R643" i="7" s="1"/>
  <c r="I644" i="7"/>
  <c r="Q644" i="7" s="1"/>
  <c r="J644" i="7"/>
  <c r="R644" i="7" s="1"/>
  <c r="I645" i="7"/>
  <c r="Q645" i="7" s="1"/>
  <c r="J645" i="7"/>
  <c r="R645" i="7" s="1"/>
  <c r="I646" i="7"/>
  <c r="Q646" i="7" s="1"/>
  <c r="J646" i="7"/>
  <c r="R646" i="7" s="1"/>
  <c r="I647" i="7"/>
  <c r="Q647" i="7" s="1"/>
  <c r="J647" i="7"/>
  <c r="R647" i="7" s="1"/>
  <c r="I648" i="7"/>
  <c r="Q648" i="7" s="1"/>
  <c r="J648" i="7"/>
  <c r="R648" i="7" s="1"/>
  <c r="I649" i="7"/>
  <c r="Q649" i="7" s="1"/>
  <c r="J649" i="7"/>
  <c r="R649" i="7" s="1"/>
  <c r="I650" i="7"/>
  <c r="Q650" i="7" s="1"/>
  <c r="J650" i="7"/>
  <c r="R650" i="7" s="1"/>
  <c r="I651" i="7"/>
  <c r="Q651" i="7" s="1"/>
  <c r="J651" i="7"/>
  <c r="R651" i="7" s="1"/>
  <c r="I652" i="7"/>
  <c r="Q652" i="7" s="1"/>
  <c r="J652" i="7"/>
  <c r="R652" i="7" s="1"/>
  <c r="I653" i="7"/>
  <c r="Q653" i="7" s="1"/>
  <c r="J653" i="7"/>
  <c r="R653" i="7" s="1"/>
  <c r="I654" i="7"/>
  <c r="Q654" i="7" s="1"/>
  <c r="J654" i="7"/>
  <c r="R654" i="7" s="1"/>
  <c r="I655" i="7"/>
  <c r="Q655" i="7" s="1"/>
  <c r="J655" i="7"/>
  <c r="R655" i="7" s="1"/>
  <c r="I656" i="7"/>
  <c r="Q656" i="7" s="1"/>
  <c r="J656" i="7"/>
  <c r="R656" i="7" s="1"/>
  <c r="I657" i="7"/>
  <c r="Q657" i="7" s="1"/>
  <c r="J657" i="7"/>
  <c r="R657" i="7" s="1"/>
  <c r="I658" i="7"/>
  <c r="Q658" i="7" s="1"/>
  <c r="J658" i="7"/>
  <c r="R658" i="7" s="1"/>
  <c r="I659" i="7"/>
  <c r="Q659" i="7" s="1"/>
  <c r="J659" i="7"/>
  <c r="R659" i="7" s="1"/>
  <c r="I660" i="7"/>
  <c r="Q660" i="7" s="1"/>
  <c r="J660" i="7"/>
  <c r="R660" i="7" s="1"/>
  <c r="I661" i="7"/>
  <c r="Q661" i="7" s="1"/>
  <c r="J661" i="7"/>
  <c r="R661" i="7" s="1"/>
  <c r="I662" i="7"/>
  <c r="Q662" i="7" s="1"/>
  <c r="J662" i="7"/>
  <c r="R662" i="7" s="1"/>
  <c r="I663" i="7"/>
  <c r="Q663" i="7" s="1"/>
  <c r="J663" i="7"/>
  <c r="R663" i="7" s="1"/>
  <c r="I664" i="7"/>
  <c r="Q664" i="7" s="1"/>
  <c r="J664" i="7"/>
  <c r="R664" i="7" s="1"/>
  <c r="I665" i="7"/>
  <c r="Q665" i="7" s="1"/>
  <c r="J665" i="7"/>
  <c r="R665" i="7" s="1"/>
  <c r="I666" i="7"/>
  <c r="Q666" i="7" s="1"/>
  <c r="J666" i="7"/>
  <c r="R666" i="7" s="1"/>
  <c r="I667" i="7"/>
  <c r="Q667" i="7" s="1"/>
  <c r="J667" i="7"/>
  <c r="R667" i="7" s="1"/>
  <c r="I668" i="7"/>
  <c r="Q668" i="7" s="1"/>
  <c r="J668" i="7"/>
  <c r="R668" i="7" s="1"/>
  <c r="I669" i="7"/>
  <c r="Q669" i="7" s="1"/>
  <c r="J669" i="7"/>
  <c r="R669" i="7" s="1"/>
  <c r="I670" i="7"/>
  <c r="Q670" i="7" s="1"/>
  <c r="J670" i="7"/>
  <c r="R670" i="7" s="1"/>
  <c r="I671" i="7"/>
  <c r="Q671" i="7" s="1"/>
  <c r="J671" i="7"/>
  <c r="R671" i="7" s="1"/>
  <c r="I672" i="7"/>
  <c r="Q672" i="7" s="1"/>
  <c r="J672" i="7"/>
  <c r="R672" i="7" s="1"/>
  <c r="I673" i="7"/>
  <c r="Q673" i="7" s="1"/>
  <c r="J673" i="7"/>
  <c r="R673" i="7" s="1"/>
  <c r="I674" i="7"/>
  <c r="Q674" i="7" s="1"/>
  <c r="J674" i="7"/>
  <c r="R674" i="7" s="1"/>
  <c r="I675" i="7"/>
  <c r="Q675" i="7" s="1"/>
  <c r="J675" i="7"/>
  <c r="R675" i="7" s="1"/>
  <c r="I676" i="7"/>
  <c r="Q676" i="7" s="1"/>
  <c r="J676" i="7"/>
  <c r="R676" i="7" s="1"/>
  <c r="I677" i="7"/>
  <c r="Q677" i="7" s="1"/>
  <c r="J677" i="7"/>
  <c r="R677" i="7" s="1"/>
  <c r="I678" i="7"/>
  <c r="Q678" i="7" s="1"/>
  <c r="J678" i="7"/>
  <c r="R678" i="7" s="1"/>
  <c r="I679" i="7"/>
  <c r="Q679" i="7" s="1"/>
  <c r="J679" i="7"/>
  <c r="R679" i="7" s="1"/>
  <c r="I680" i="7"/>
  <c r="Q680" i="7" s="1"/>
  <c r="J680" i="7"/>
  <c r="R680" i="7" s="1"/>
  <c r="I681" i="7"/>
  <c r="Q681" i="7" s="1"/>
  <c r="J681" i="7"/>
  <c r="R681" i="7" s="1"/>
  <c r="I682" i="7"/>
  <c r="Q682" i="7" s="1"/>
  <c r="J682" i="7"/>
  <c r="R682" i="7" s="1"/>
  <c r="I683" i="7"/>
  <c r="Q683" i="7" s="1"/>
  <c r="J683" i="7"/>
  <c r="R683" i="7" s="1"/>
  <c r="I684" i="7"/>
  <c r="Q684" i="7" s="1"/>
  <c r="J684" i="7"/>
  <c r="R684" i="7" s="1"/>
  <c r="I685" i="7"/>
  <c r="Q685" i="7" s="1"/>
  <c r="J685" i="7"/>
  <c r="R685" i="7" s="1"/>
  <c r="I686" i="7"/>
  <c r="Q686" i="7" s="1"/>
  <c r="J686" i="7"/>
  <c r="R686" i="7" s="1"/>
  <c r="I687" i="7"/>
  <c r="Q687" i="7" s="1"/>
  <c r="J687" i="7"/>
  <c r="R687" i="7" s="1"/>
  <c r="I688" i="7"/>
  <c r="Q688" i="7" s="1"/>
  <c r="J688" i="7"/>
  <c r="R688" i="7" s="1"/>
  <c r="I689" i="7"/>
  <c r="Q689" i="7" s="1"/>
  <c r="J689" i="7"/>
  <c r="R689" i="7" s="1"/>
  <c r="I690" i="7"/>
  <c r="Q690" i="7" s="1"/>
  <c r="J690" i="7"/>
  <c r="R690" i="7" s="1"/>
  <c r="I691" i="7"/>
  <c r="Q691" i="7" s="1"/>
  <c r="J691" i="7"/>
  <c r="R691" i="7" s="1"/>
  <c r="I692" i="7"/>
  <c r="Q692" i="7" s="1"/>
  <c r="J692" i="7"/>
  <c r="R692" i="7" s="1"/>
  <c r="I693" i="7"/>
  <c r="Q693" i="7" s="1"/>
  <c r="J693" i="7"/>
  <c r="R693" i="7" s="1"/>
  <c r="I694" i="7"/>
  <c r="Q694" i="7" s="1"/>
  <c r="J694" i="7"/>
  <c r="R694" i="7" s="1"/>
  <c r="I695" i="7"/>
  <c r="Q695" i="7" s="1"/>
  <c r="J695" i="7"/>
  <c r="R695" i="7" s="1"/>
  <c r="I696" i="7"/>
  <c r="Q696" i="7" s="1"/>
  <c r="J696" i="7"/>
  <c r="R696" i="7" s="1"/>
  <c r="I697" i="7"/>
  <c r="Q697" i="7" s="1"/>
  <c r="J697" i="7"/>
  <c r="R697" i="7" s="1"/>
  <c r="I698" i="7"/>
  <c r="Q698" i="7" s="1"/>
  <c r="J698" i="7"/>
  <c r="R698" i="7" s="1"/>
  <c r="I699" i="7"/>
  <c r="Q699" i="7" s="1"/>
  <c r="J699" i="7"/>
  <c r="R699" i="7" s="1"/>
  <c r="I700" i="7"/>
  <c r="Q700" i="7" s="1"/>
  <c r="J700" i="7"/>
  <c r="R700" i="7" s="1"/>
  <c r="I701" i="7"/>
  <c r="Q701" i="7" s="1"/>
  <c r="J701" i="7"/>
  <c r="R701" i="7" s="1"/>
  <c r="I702" i="7"/>
  <c r="Q702" i="7" s="1"/>
  <c r="J702" i="7"/>
  <c r="R702" i="7" s="1"/>
  <c r="I703" i="7"/>
  <c r="Q703" i="7" s="1"/>
  <c r="J703" i="7"/>
  <c r="R703" i="7" s="1"/>
  <c r="I704" i="7"/>
  <c r="Q704" i="7" s="1"/>
  <c r="J704" i="7"/>
  <c r="R704" i="7" s="1"/>
  <c r="I705" i="7"/>
  <c r="Q705" i="7" s="1"/>
  <c r="J705" i="7"/>
  <c r="R705" i="7" s="1"/>
  <c r="I706" i="7"/>
  <c r="Q706" i="7" s="1"/>
  <c r="J706" i="7"/>
  <c r="R706" i="7" s="1"/>
  <c r="I707" i="7"/>
  <c r="Q707" i="7" s="1"/>
  <c r="J707" i="7"/>
  <c r="R707" i="7" s="1"/>
  <c r="I708" i="7"/>
  <c r="Q708" i="7" s="1"/>
  <c r="J708" i="7"/>
  <c r="R708" i="7" s="1"/>
  <c r="I709" i="7"/>
  <c r="Q709" i="7" s="1"/>
  <c r="J709" i="7"/>
  <c r="R709" i="7" s="1"/>
  <c r="I710" i="7"/>
  <c r="Q710" i="7" s="1"/>
  <c r="J710" i="7"/>
  <c r="R710" i="7" s="1"/>
  <c r="I711" i="7"/>
  <c r="Q711" i="7" s="1"/>
  <c r="J711" i="7"/>
  <c r="R711" i="7" s="1"/>
  <c r="I712" i="7"/>
  <c r="Q712" i="7" s="1"/>
  <c r="J712" i="7"/>
  <c r="R712" i="7" s="1"/>
  <c r="I713" i="7"/>
  <c r="Q713" i="7" s="1"/>
  <c r="J713" i="7"/>
  <c r="R713" i="7" s="1"/>
  <c r="I714" i="7"/>
  <c r="Q714" i="7" s="1"/>
  <c r="J714" i="7"/>
  <c r="R714" i="7" s="1"/>
  <c r="I715" i="7"/>
  <c r="Q715" i="7" s="1"/>
  <c r="J715" i="7"/>
  <c r="R715" i="7" s="1"/>
  <c r="I716" i="7"/>
  <c r="Q716" i="7" s="1"/>
  <c r="J716" i="7"/>
  <c r="R716" i="7" s="1"/>
  <c r="I717" i="7"/>
  <c r="Q717" i="7" s="1"/>
  <c r="J717" i="7"/>
  <c r="R717" i="7" s="1"/>
  <c r="I718" i="7"/>
  <c r="Q718" i="7" s="1"/>
  <c r="J718" i="7"/>
  <c r="R718" i="7" s="1"/>
  <c r="Q11" i="7"/>
  <c r="Q7" i="7"/>
  <c r="R7" i="7"/>
  <c r="S7" i="7"/>
  <c r="Q8" i="7"/>
  <c r="S8" i="7"/>
  <c r="Q9" i="7"/>
  <c r="R9" i="7"/>
  <c r="S9" i="7"/>
  <c r="Q10" i="7"/>
  <c r="S10" i="7"/>
  <c r="R11" i="7"/>
  <c r="Q12" i="7"/>
  <c r="S12" i="7"/>
  <c r="Q13" i="7"/>
  <c r="R13" i="7"/>
  <c r="S13" i="7"/>
  <c r="Q14" i="7"/>
  <c r="S14" i="7"/>
  <c r="Q15" i="7"/>
  <c r="R15" i="7"/>
  <c r="Q16" i="7"/>
  <c r="S16" i="7"/>
  <c r="Q17" i="7"/>
  <c r="R17" i="7"/>
  <c r="S17" i="7"/>
  <c r="Q18" i="7"/>
  <c r="S18" i="7"/>
  <c r="Q19" i="7"/>
  <c r="R19" i="7"/>
  <c r="Q20" i="7"/>
  <c r="S20" i="7"/>
  <c r="Q21" i="7"/>
  <c r="R21" i="7"/>
  <c r="S21" i="7"/>
  <c r="Q22" i="7"/>
  <c r="S22" i="7"/>
  <c r="Q23" i="7"/>
  <c r="R23" i="7"/>
  <c r="Q24" i="7"/>
  <c r="S24" i="7"/>
  <c r="Q25" i="7"/>
  <c r="R25" i="7"/>
  <c r="S25" i="7"/>
  <c r="Q26" i="7"/>
  <c r="S26" i="7"/>
  <c r="Q27" i="7"/>
  <c r="R27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L9" i="7"/>
  <c r="L13" i="7"/>
  <c r="L17" i="7"/>
  <c r="L21" i="7"/>
  <c r="L25" i="7"/>
  <c r="L29" i="7"/>
  <c r="L33" i="7"/>
  <c r="L37" i="7"/>
  <c r="L41" i="7"/>
  <c r="L45" i="7"/>
  <c r="L49" i="7"/>
  <c r="L53" i="7"/>
  <c r="L57" i="7"/>
  <c r="L61" i="7"/>
  <c r="L65" i="7"/>
  <c r="L69" i="7"/>
  <c r="L73" i="7"/>
  <c r="L77" i="7"/>
  <c r="L81" i="7"/>
  <c r="L85" i="7"/>
  <c r="L89" i="7"/>
  <c r="L93" i="7"/>
  <c r="L97" i="7"/>
  <c r="L101" i="7"/>
  <c r="L105" i="7"/>
  <c r="L109" i="7"/>
  <c r="L113" i="7"/>
  <c r="L117" i="7"/>
  <c r="L121" i="7"/>
  <c r="L125" i="7"/>
  <c r="L129" i="7"/>
  <c r="L133" i="7"/>
  <c r="L137" i="7"/>
  <c r="L141" i="7"/>
  <c r="L145" i="7"/>
  <c r="L149" i="7"/>
  <c r="L153" i="7"/>
  <c r="L157" i="7"/>
  <c r="L161" i="7"/>
  <c r="L165" i="7"/>
  <c r="L169" i="7"/>
  <c r="L173" i="7"/>
  <c r="L177" i="7"/>
  <c r="L181" i="7"/>
  <c r="L185" i="7"/>
  <c r="L189" i="7"/>
  <c r="L193" i="7"/>
  <c r="L197" i="7"/>
  <c r="L201" i="7"/>
  <c r="L205" i="7"/>
  <c r="L209" i="7"/>
  <c r="L213" i="7"/>
  <c r="L217" i="7"/>
  <c r="L221" i="7"/>
  <c r="L225" i="7"/>
  <c r="L229" i="7"/>
  <c r="L233" i="7"/>
  <c r="L237" i="7"/>
  <c r="L241" i="7"/>
  <c r="L245" i="7"/>
  <c r="L249" i="7"/>
  <c r="L253" i="7"/>
  <c r="L257" i="7"/>
  <c r="L261" i="7"/>
  <c r="L265" i="7"/>
  <c r="L269" i="7"/>
  <c r="L273" i="7"/>
  <c r="L277" i="7"/>
  <c r="L281" i="7"/>
  <c r="L285" i="7"/>
  <c r="L289" i="7"/>
  <c r="L293" i="7"/>
  <c r="L297" i="7"/>
  <c r="L301" i="7"/>
  <c r="L305" i="7"/>
  <c r="L309" i="7"/>
  <c r="L313" i="7"/>
  <c r="L314" i="7"/>
  <c r="L317" i="7"/>
  <c r="L321" i="7"/>
  <c r="L322" i="7"/>
  <c r="L325" i="7"/>
  <c r="L329" i="7"/>
  <c r="L330" i="7"/>
  <c r="L333" i="7"/>
  <c r="L337" i="7"/>
  <c r="L338" i="7"/>
  <c r="L341" i="7"/>
  <c r="L345" i="7"/>
  <c r="L346" i="7"/>
  <c r="L349" i="7"/>
  <c r="L353" i="7"/>
  <c r="L354" i="7"/>
  <c r="L357" i="7"/>
  <c r="L361" i="7"/>
  <c r="L362" i="7"/>
  <c r="L365" i="7"/>
  <c r="L369" i="7"/>
  <c r="L370" i="7"/>
  <c r="L373" i="7"/>
  <c r="L377" i="7"/>
  <c r="L378" i="7"/>
  <c r="L381" i="7"/>
  <c r="L385" i="7"/>
  <c r="L386" i="7"/>
  <c r="L389" i="7"/>
  <c r="L393" i="7"/>
  <c r="L397" i="7"/>
  <c r="L398" i="7"/>
  <c r="L401" i="7"/>
  <c r="L404" i="7"/>
  <c r="L405" i="7"/>
  <c r="L409" i="7"/>
  <c r="L413" i="7"/>
  <c r="L414" i="7"/>
  <c r="L417" i="7"/>
  <c r="L420" i="7"/>
  <c r="L421" i="7"/>
  <c r="L425" i="7"/>
  <c r="L429" i="7"/>
  <c r="L430" i="7"/>
  <c r="L433" i="7"/>
  <c r="L436" i="7"/>
  <c r="L437" i="7"/>
  <c r="L441" i="7"/>
  <c r="L445" i="7"/>
  <c r="L446" i="7"/>
  <c r="L449" i="7"/>
  <c r="L452" i="7"/>
  <c r="L453" i="7"/>
  <c r="L457" i="7"/>
  <c r="L461" i="7"/>
  <c r="L462" i="7"/>
  <c r="L465" i="7"/>
  <c r="L468" i="7"/>
  <c r="L469" i="7"/>
  <c r="L473" i="7"/>
  <c r="L477" i="7"/>
  <c r="L478" i="7"/>
  <c r="L481" i="7"/>
  <c r="L484" i="7"/>
  <c r="L485" i="7"/>
  <c r="L489" i="7"/>
  <c r="L493" i="7"/>
  <c r="L497" i="7"/>
  <c r="L501" i="7"/>
  <c r="L505" i="7"/>
  <c r="L509" i="7"/>
  <c r="L513" i="7"/>
  <c r="L517" i="7"/>
  <c r="L521" i="7"/>
  <c r="J6" i="7"/>
  <c r="R6" i="7" s="1"/>
  <c r="I6" i="7"/>
  <c r="Q6" i="7" s="1"/>
  <c r="E13" i="7"/>
  <c r="F13" i="7"/>
  <c r="O13" i="7" s="1"/>
  <c r="E14" i="7"/>
  <c r="F14" i="7"/>
  <c r="O14" i="7" s="1"/>
  <c r="E15" i="7"/>
  <c r="F15" i="7"/>
  <c r="O15" i="7" s="1"/>
  <c r="E16" i="7"/>
  <c r="F16" i="7"/>
  <c r="O16" i="7" s="1"/>
  <c r="E17" i="7"/>
  <c r="F17" i="7"/>
  <c r="O17" i="7" s="1"/>
  <c r="E18" i="7"/>
  <c r="F18" i="7"/>
  <c r="O18" i="7" s="1"/>
  <c r="E19" i="7"/>
  <c r="F19" i="7"/>
  <c r="O19" i="7" s="1"/>
  <c r="E20" i="7"/>
  <c r="F20" i="7"/>
  <c r="O20" i="7" s="1"/>
  <c r="E21" i="7"/>
  <c r="F21" i="7"/>
  <c r="O21" i="7" s="1"/>
  <c r="E22" i="7"/>
  <c r="F22" i="7"/>
  <c r="O22" i="7" s="1"/>
  <c r="E23" i="7"/>
  <c r="F23" i="7"/>
  <c r="O23" i="7" s="1"/>
  <c r="E24" i="7"/>
  <c r="F24" i="7"/>
  <c r="O24" i="7" s="1"/>
  <c r="E25" i="7"/>
  <c r="F25" i="7"/>
  <c r="O25" i="7" s="1"/>
  <c r="E26" i="7"/>
  <c r="F26" i="7"/>
  <c r="O26" i="7" s="1"/>
  <c r="E27" i="7"/>
  <c r="F27" i="7"/>
  <c r="O27" i="7" s="1"/>
  <c r="E28" i="7"/>
  <c r="F28" i="7"/>
  <c r="O28" i="7" s="1"/>
  <c r="E29" i="7"/>
  <c r="F29" i="7"/>
  <c r="O29" i="7" s="1"/>
  <c r="E30" i="7"/>
  <c r="F30" i="7"/>
  <c r="O30" i="7" s="1"/>
  <c r="E31" i="7"/>
  <c r="F31" i="7"/>
  <c r="O31" i="7" s="1"/>
  <c r="E32" i="7"/>
  <c r="F32" i="7"/>
  <c r="O32" i="7" s="1"/>
  <c r="E33" i="7"/>
  <c r="F33" i="7"/>
  <c r="O33" i="7" s="1"/>
  <c r="E34" i="7"/>
  <c r="F34" i="7"/>
  <c r="O34" i="7" s="1"/>
  <c r="E35" i="7"/>
  <c r="F35" i="7"/>
  <c r="O35" i="7" s="1"/>
  <c r="E36" i="7"/>
  <c r="F36" i="7"/>
  <c r="O36" i="7" s="1"/>
  <c r="E37" i="7"/>
  <c r="F37" i="7"/>
  <c r="O37" i="7" s="1"/>
  <c r="E38" i="7"/>
  <c r="F38" i="7"/>
  <c r="O38" i="7" s="1"/>
  <c r="E39" i="7"/>
  <c r="F39" i="7"/>
  <c r="O39" i="7" s="1"/>
  <c r="E40" i="7"/>
  <c r="F40" i="7"/>
  <c r="O40" i="7" s="1"/>
  <c r="E41" i="7"/>
  <c r="F41" i="7"/>
  <c r="O41" i="7" s="1"/>
  <c r="E42" i="7"/>
  <c r="F42" i="7"/>
  <c r="O42" i="7" s="1"/>
  <c r="E43" i="7"/>
  <c r="F43" i="7"/>
  <c r="O43" i="7" s="1"/>
  <c r="E44" i="7"/>
  <c r="F44" i="7"/>
  <c r="O44" i="7" s="1"/>
  <c r="E45" i="7"/>
  <c r="F45" i="7"/>
  <c r="O45" i="7" s="1"/>
  <c r="E46" i="7"/>
  <c r="F46" i="7"/>
  <c r="O46" i="7" s="1"/>
  <c r="E47" i="7"/>
  <c r="F47" i="7"/>
  <c r="O47" i="7" s="1"/>
  <c r="E48" i="7"/>
  <c r="F48" i="7"/>
  <c r="O48" i="7" s="1"/>
  <c r="E49" i="7"/>
  <c r="F49" i="7"/>
  <c r="O49" i="7" s="1"/>
  <c r="E50" i="7"/>
  <c r="F50" i="7"/>
  <c r="O50" i="7" s="1"/>
  <c r="E51" i="7"/>
  <c r="F51" i="7"/>
  <c r="O51" i="7" s="1"/>
  <c r="E52" i="7"/>
  <c r="F52" i="7"/>
  <c r="O52" i="7" s="1"/>
  <c r="E53" i="7"/>
  <c r="F53" i="7"/>
  <c r="O53" i="7" s="1"/>
  <c r="E54" i="7"/>
  <c r="F54" i="7"/>
  <c r="O54" i="7" s="1"/>
  <c r="E55" i="7"/>
  <c r="F55" i="7"/>
  <c r="O55" i="7" s="1"/>
  <c r="E56" i="7"/>
  <c r="F56" i="7"/>
  <c r="O56" i="7" s="1"/>
  <c r="E57" i="7"/>
  <c r="F57" i="7"/>
  <c r="O57" i="7" s="1"/>
  <c r="E58" i="7"/>
  <c r="F58" i="7"/>
  <c r="O58" i="7" s="1"/>
  <c r="E59" i="7"/>
  <c r="F59" i="7"/>
  <c r="O59" i="7" s="1"/>
  <c r="E60" i="7"/>
  <c r="F60" i="7"/>
  <c r="O60" i="7" s="1"/>
  <c r="E61" i="7"/>
  <c r="F61" i="7"/>
  <c r="O61" i="7" s="1"/>
  <c r="E62" i="7"/>
  <c r="F62" i="7"/>
  <c r="O62" i="7" s="1"/>
  <c r="E63" i="7"/>
  <c r="F63" i="7"/>
  <c r="O63" i="7" s="1"/>
  <c r="E64" i="7"/>
  <c r="F64" i="7"/>
  <c r="O64" i="7" s="1"/>
  <c r="E65" i="7"/>
  <c r="F65" i="7"/>
  <c r="O65" i="7" s="1"/>
  <c r="E66" i="7"/>
  <c r="F66" i="7"/>
  <c r="O66" i="7" s="1"/>
  <c r="E67" i="7"/>
  <c r="F67" i="7"/>
  <c r="O67" i="7" s="1"/>
  <c r="E68" i="7"/>
  <c r="F68" i="7"/>
  <c r="O68" i="7" s="1"/>
  <c r="E69" i="7"/>
  <c r="F69" i="7"/>
  <c r="O69" i="7" s="1"/>
  <c r="E70" i="7"/>
  <c r="F70" i="7"/>
  <c r="O70" i="7" s="1"/>
  <c r="E71" i="7"/>
  <c r="F71" i="7"/>
  <c r="O71" i="7" s="1"/>
  <c r="E72" i="7"/>
  <c r="F72" i="7"/>
  <c r="O72" i="7" s="1"/>
  <c r="E73" i="7"/>
  <c r="F73" i="7"/>
  <c r="O73" i="7" s="1"/>
  <c r="E74" i="7"/>
  <c r="F74" i="7"/>
  <c r="O74" i="7" s="1"/>
  <c r="E75" i="7"/>
  <c r="F75" i="7"/>
  <c r="O75" i="7" s="1"/>
  <c r="E76" i="7"/>
  <c r="F76" i="7"/>
  <c r="O76" i="7" s="1"/>
  <c r="E77" i="7"/>
  <c r="F77" i="7"/>
  <c r="O77" i="7" s="1"/>
  <c r="E78" i="7"/>
  <c r="F78" i="7"/>
  <c r="O78" i="7" s="1"/>
  <c r="E79" i="7"/>
  <c r="F79" i="7"/>
  <c r="O79" i="7" s="1"/>
  <c r="E80" i="7"/>
  <c r="F80" i="7"/>
  <c r="O80" i="7" s="1"/>
  <c r="E81" i="7"/>
  <c r="F81" i="7"/>
  <c r="O81" i="7" s="1"/>
  <c r="E82" i="7"/>
  <c r="F82" i="7"/>
  <c r="O82" i="7" s="1"/>
  <c r="E83" i="7"/>
  <c r="F83" i="7"/>
  <c r="O83" i="7" s="1"/>
  <c r="E84" i="7"/>
  <c r="F84" i="7"/>
  <c r="O84" i="7" s="1"/>
  <c r="E85" i="7"/>
  <c r="F85" i="7"/>
  <c r="O85" i="7" s="1"/>
  <c r="E86" i="7"/>
  <c r="F86" i="7"/>
  <c r="O86" i="7" s="1"/>
  <c r="E87" i="7"/>
  <c r="F87" i="7"/>
  <c r="O87" i="7" s="1"/>
  <c r="E88" i="7"/>
  <c r="F88" i="7"/>
  <c r="O88" i="7" s="1"/>
  <c r="E89" i="7"/>
  <c r="F89" i="7"/>
  <c r="O89" i="7" s="1"/>
  <c r="E90" i="7"/>
  <c r="F90" i="7"/>
  <c r="O90" i="7" s="1"/>
  <c r="E91" i="7"/>
  <c r="F91" i="7"/>
  <c r="O91" i="7" s="1"/>
  <c r="E92" i="7"/>
  <c r="F92" i="7"/>
  <c r="O92" i="7" s="1"/>
  <c r="E93" i="7"/>
  <c r="F93" i="7"/>
  <c r="O93" i="7" s="1"/>
  <c r="E94" i="7"/>
  <c r="F94" i="7"/>
  <c r="O94" i="7" s="1"/>
  <c r="E95" i="7"/>
  <c r="F95" i="7"/>
  <c r="O95" i="7" s="1"/>
  <c r="E96" i="7"/>
  <c r="F96" i="7"/>
  <c r="O96" i="7" s="1"/>
  <c r="E97" i="7"/>
  <c r="F97" i="7"/>
  <c r="O97" i="7" s="1"/>
  <c r="E98" i="7"/>
  <c r="F98" i="7"/>
  <c r="O98" i="7" s="1"/>
  <c r="E99" i="7"/>
  <c r="F99" i="7"/>
  <c r="O99" i="7" s="1"/>
  <c r="E100" i="7"/>
  <c r="F100" i="7"/>
  <c r="O100" i="7" s="1"/>
  <c r="E101" i="7"/>
  <c r="F101" i="7"/>
  <c r="O101" i="7" s="1"/>
  <c r="E102" i="7"/>
  <c r="F102" i="7"/>
  <c r="O102" i="7" s="1"/>
  <c r="E103" i="7"/>
  <c r="F103" i="7"/>
  <c r="O103" i="7" s="1"/>
  <c r="E104" i="7"/>
  <c r="F104" i="7"/>
  <c r="O104" i="7" s="1"/>
  <c r="E105" i="7"/>
  <c r="F105" i="7"/>
  <c r="O105" i="7" s="1"/>
  <c r="E106" i="7"/>
  <c r="F106" i="7"/>
  <c r="O106" i="7" s="1"/>
  <c r="E107" i="7"/>
  <c r="F107" i="7"/>
  <c r="O107" i="7" s="1"/>
  <c r="E108" i="7"/>
  <c r="F108" i="7"/>
  <c r="O108" i="7" s="1"/>
  <c r="E109" i="7"/>
  <c r="F109" i="7"/>
  <c r="O109" i="7" s="1"/>
  <c r="E110" i="7"/>
  <c r="F110" i="7"/>
  <c r="O110" i="7" s="1"/>
  <c r="E111" i="7"/>
  <c r="F111" i="7"/>
  <c r="O111" i="7" s="1"/>
  <c r="E112" i="7"/>
  <c r="F112" i="7"/>
  <c r="O112" i="7" s="1"/>
  <c r="E113" i="7"/>
  <c r="F113" i="7"/>
  <c r="O113" i="7" s="1"/>
  <c r="E114" i="7"/>
  <c r="F114" i="7"/>
  <c r="O114" i="7" s="1"/>
  <c r="E115" i="7"/>
  <c r="F115" i="7"/>
  <c r="O115" i="7" s="1"/>
  <c r="E116" i="7"/>
  <c r="F116" i="7"/>
  <c r="O116" i="7" s="1"/>
  <c r="E117" i="7"/>
  <c r="F117" i="7"/>
  <c r="O117" i="7" s="1"/>
  <c r="E118" i="7"/>
  <c r="F118" i="7"/>
  <c r="O118" i="7" s="1"/>
  <c r="E119" i="7"/>
  <c r="F119" i="7"/>
  <c r="O119" i="7" s="1"/>
  <c r="E120" i="7"/>
  <c r="F120" i="7"/>
  <c r="O120" i="7" s="1"/>
  <c r="E121" i="7"/>
  <c r="F121" i="7"/>
  <c r="O121" i="7" s="1"/>
  <c r="E122" i="7"/>
  <c r="F122" i="7"/>
  <c r="O122" i="7" s="1"/>
  <c r="E123" i="7"/>
  <c r="F123" i="7"/>
  <c r="O123" i="7" s="1"/>
  <c r="E124" i="7"/>
  <c r="F124" i="7"/>
  <c r="O124" i="7" s="1"/>
  <c r="E125" i="7"/>
  <c r="F125" i="7"/>
  <c r="O125" i="7" s="1"/>
  <c r="E126" i="7"/>
  <c r="F126" i="7"/>
  <c r="O126" i="7" s="1"/>
  <c r="E127" i="7"/>
  <c r="F127" i="7"/>
  <c r="O127" i="7" s="1"/>
  <c r="E128" i="7"/>
  <c r="F128" i="7"/>
  <c r="O128" i="7" s="1"/>
  <c r="E129" i="7"/>
  <c r="F129" i="7"/>
  <c r="O129" i="7" s="1"/>
  <c r="E130" i="7"/>
  <c r="F130" i="7"/>
  <c r="O130" i="7" s="1"/>
  <c r="E131" i="7"/>
  <c r="F131" i="7"/>
  <c r="O131" i="7" s="1"/>
  <c r="E132" i="7"/>
  <c r="F132" i="7"/>
  <c r="O132" i="7" s="1"/>
  <c r="E133" i="7"/>
  <c r="F133" i="7"/>
  <c r="O133" i="7" s="1"/>
  <c r="E134" i="7"/>
  <c r="F134" i="7"/>
  <c r="O134" i="7" s="1"/>
  <c r="E135" i="7"/>
  <c r="F135" i="7"/>
  <c r="O135" i="7" s="1"/>
  <c r="E136" i="7"/>
  <c r="F136" i="7"/>
  <c r="O136" i="7" s="1"/>
  <c r="E137" i="7"/>
  <c r="F137" i="7"/>
  <c r="O137" i="7" s="1"/>
  <c r="E138" i="7"/>
  <c r="F138" i="7"/>
  <c r="O138" i="7" s="1"/>
  <c r="E139" i="7"/>
  <c r="F139" i="7"/>
  <c r="O139" i="7" s="1"/>
  <c r="E140" i="7"/>
  <c r="F140" i="7"/>
  <c r="O140" i="7" s="1"/>
  <c r="E141" i="7"/>
  <c r="F141" i="7"/>
  <c r="O141" i="7" s="1"/>
  <c r="E142" i="7"/>
  <c r="F142" i="7"/>
  <c r="O142" i="7" s="1"/>
  <c r="E143" i="7"/>
  <c r="F143" i="7"/>
  <c r="O143" i="7" s="1"/>
  <c r="E144" i="7"/>
  <c r="F144" i="7"/>
  <c r="O144" i="7" s="1"/>
  <c r="E145" i="7"/>
  <c r="F145" i="7"/>
  <c r="O145" i="7" s="1"/>
  <c r="E146" i="7"/>
  <c r="F146" i="7"/>
  <c r="O146" i="7" s="1"/>
  <c r="E147" i="7"/>
  <c r="F147" i="7"/>
  <c r="O147" i="7" s="1"/>
  <c r="E148" i="7"/>
  <c r="F148" i="7"/>
  <c r="O148" i="7" s="1"/>
  <c r="E149" i="7"/>
  <c r="F149" i="7"/>
  <c r="O149" i="7" s="1"/>
  <c r="E150" i="7"/>
  <c r="F150" i="7"/>
  <c r="O150" i="7" s="1"/>
  <c r="E151" i="7"/>
  <c r="F151" i="7"/>
  <c r="O151" i="7" s="1"/>
  <c r="E152" i="7"/>
  <c r="F152" i="7"/>
  <c r="O152" i="7" s="1"/>
  <c r="E153" i="7"/>
  <c r="F153" i="7"/>
  <c r="O153" i="7" s="1"/>
  <c r="E154" i="7"/>
  <c r="F154" i="7"/>
  <c r="O154" i="7" s="1"/>
  <c r="E155" i="7"/>
  <c r="F155" i="7"/>
  <c r="O155" i="7" s="1"/>
  <c r="E156" i="7"/>
  <c r="F156" i="7"/>
  <c r="O156" i="7" s="1"/>
  <c r="E157" i="7"/>
  <c r="F157" i="7"/>
  <c r="O157" i="7" s="1"/>
  <c r="E158" i="7"/>
  <c r="F158" i="7"/>
  <c r="O158" i="7" s="1"/>
  <c r="E159" i="7"/>
  <c r="F159" i="7"/>
  <c r="O159" i="7" s="1"/>
  <c r="E160" i="7"/>
  <c r="F160" i="7"/>
  <c r="O160" i="7" s="1"/>
  <c r="E161" i="7"/>
  <c r="F161" i="7"/>
  <c r="O161" i="7" s="1"/>
  <c r="E162" i="7"/>
  <c r="F162" i="7"/>
  <c r="O162" i="7" s="1"/>
  <c r="E163" i="7"/>
  <c r="F163" i="7"/>
  <c r="O163" i="7" s="1"/>
  <c r="E164" i="7"/>
  <c r="F164" i="7"/>
  <c r="O164" i="7" s="1"/>
  <c r="E165" i="7"/>
  <c r="F165" i="7"/>
  <c r="O165" i="7" s="1"/>
  <c r="E166" i="7"/>
  <c r="F166" i="7"/>
  <c r="O166" i="7" s="1"/>
  <c r="E167" i="7"/>
  <c r="F167" i="7"/>
  <c r="O167" i="7" s="1"/>
  <c r="E168" i="7"/>
  <c r="F168" i="7"/>
  <c r="O168" i="7" s="1"/>
  <c r="E169" i="7"/>
  <c r="F169" i="7"/>
  <c r="O169" i="7" s="1"/>
  <c r="E170" i="7"/>
  <c r="F170" i="7"/>
  <c r="O170" i="7" s="1"/>
  <c r="E171" i="7"/>
  <c r="F171" i="7"/>
  <c r="O171" i="7" s="1"/>
  <c r="E172" i="7"/>
  <c r="F172" i="7"/>
  <c r="O172" i="7" s="1"/>
  <c r="E173" i="7"/>
  <c r="F173" i="7"/>
  <c r="O173" i="7" s="1"/>
  <c r="E174" i="7"/>
  <c r="F174" i="7"/>
  <c r="O174" i="7" s="1"/>
  <c r="E175" i="7"/>
  <c r="F175" i="7"/>
  <c r="O175" i="7" s="1"/>
  <c r="E176" i="7"/>
  <c r="F176" i="7"/>
  <c r="O176" i="7" s="1"/>
  <c r="E177" i="7"/>
  <c r="F177" i="7"/>
  <c r="O177" i="7" s="1"/>
  <c r="E178" i="7"/>
  <c r="F178" i="7"/>
  <c r="O178" i="7" s="1"/>
  <c r="E179" i="7"/>
  <c r="F179" i="7"/>
  <c r="O179" i="7" s="1"/>
  <c r="E180" i="7"/>
  <c r="F180" i="7"/>
  <c r="O180" i="7" s="1"/>
  <c r="E181" i="7"/>
  <c r="F181" i="7"/>
  <c r="O181" i="7" s="1"/>
  <c r="E182" i="7"/>
  <c r="F182" i="7"/>
  <c r="O182" i="7" s="1"/>
  <c r="E183" i="7"/>
  <c r="F183" i="7"/>
  <c r="O183" i="7" s="1"/>
  <c r="E184" i="7"/>
  <c r="F184" i="7"/>
  <c r="O184" i="7" s="1"/>
  <c r="E185" i="7"/>
  <c r="F185" i="7"/>
  <c r="O185" i="7" s="1"/>
  <c r="E186" i="7"/>
  <c r="F186" i="7"/>
  <c r="O186" i="7" s="1"/>
  <c r="E187" i="7"/>
  <c r="F187" i="7"/>
  <c r="O187" i="7" s="1"/>
  <c r="E188" i="7"/>
  <c r="F188" i="7"/>
  <c r="O188" i="7" s="1"/>
  <c r="E189" i="7"/>
  <c r="F189" i="7"/>
  <c r="O189" i="7" s="1"/>
  <c r="E190" i="7"/>
  <c r="F190" i="7"/>
  <c r="O190" i="7" s="1"/>
  <c r="E191" i="7"/>
  <c r="F191" i="7"/>
  <c r="O191" i="7" s="1"/>
  <c r="E192" i="7"/>
  <c r="F192" i="7"/>
  <c r="O192" i="7" s="1"/>
  <c r="E193" i="7"/>
  <c r="F193" i="7"/>
  <c r="O193" i="7" s="1"/>
  <c r="E194" i="7"/>
  <c r="F194" i="7"/>
  <c r="O194" i="7" s="1"/>
  <c r="E195" i="7"/>
  <c r="F195" i="7"/>
  <c r="O195" i="7" s="1"/>
  <c r="E196" i="7"/>
  <c r="F196" i="7"/>
  <c r="O196" i="7" s="1"/>
  <c r="E197" i="7"/>
  <c r="F197" i="7"/>
  <c r="O197" i="7" s="1"/>
  <c r="E198" i="7"/>
  <c r="F198" i="7"/>
  <c r="O198" i="7" s="1"/>
  <c r="E199" i="7"/>
  <c r="F199" i="7"/>
  <c r="O199" i="7" s="1"/>
  <c r="E200" i="7"/>
  <c r="F200" i="7"/>
  <c r="O200" i="7" s="1"/>
  <c r="E201" i="7"/>
  <c r="F201" i="7"/>
  <c r="O201" i="7" s="1"/>
  <c r="E202" i="7"/>
  <c r="F202" i="7"/>
  <c r="O202" i="7" s="1"/>
  <c r="E203" i="7"/>
  <c r="F203" i="7"/>
  <c r="O203" i="7" s="1"/>
  <c r="E204" i="7"/>
  <c r="F204" i="7"/>
  <c r="O204" i="7" s="1"/>
  <c r="E205" i="7"/>
  <c r="F205" i="7"/>
  <c r="O205" i="7" s="1"/>
  <c r="E206" i="7"/>
  <c r="F206" i="7"/>
  <c r="O206" i="7" s="1"/>
  <c r="E207" i="7"/>
  <c r="F207" i="7"/>
  <c r="O207" i="7" s="1"/>
  <c r="E208" i="7"/>
  <c r="F208" i="7"/>
  <c r="O208" i="7" s="1"/>
  <c r="E209" i="7"/>
  <c r="F209" i="7"/>
  <c r="O209" i="7" s="1"/>
  <c r="E210" i="7"/>
  <c r="F210" i="7"/>
  <c r="O210" i="7" s="1"/>
  <c r="E211" i="7"/>
  <c r="F211" i="7"/>
  <c r="O211" i="7" s="1"/>
  <c r="E212" i="7"/>
  <c r="F212" i="7"/>
  <c r="O212" i="7" s="1"/>
  <c r="E213" i="7"/>
  <c r="F213" i="7"/>
  <c r="O213" i="7" s="1"/>
  <c r="E214" i="7"/>
  <c r="F214" i="7"/>
  <c r="O214" i="7" s="1"/>
  <c r="E215" i="7"/>
  <c r="F215" i="7"/>
  <c r="O215" i="7" s="1"/>
  <c r="E216" i="7"/>
  <c r="F216" i="7"/>
  <c r="O216" i="7" s="1"/>
  <c r="E217" i="7"/>
  <c r="F217" i="7"/>
  <c r="O217" i="7" s="1"/>
  <c r="E218" i="7"/>
  <c r="F218" i="7"/>
  <c r="O218" i="7" s="1"/>
  <c r="E219" i="7"/>
  <c r="F219" i="7"/>
  <c r="O219" i="7" s="1"/>
  <c r="E220" i="7"/>
  <c r="F220" i="7"/>
  <c r="O220" i="7" s="1"/>
  <c r="E221" i="7"/>
  <c r="F221" i="7"/>
  <c r="O221" i="7" s="1"/>
  <c r="E222" i="7"/>
  <c r="F222" i="7"/>
  <c r="O222" i="7" s="1"/>
  <c r="E223" i="7"/>
  <c r="F223" i="7"/>
  <c r="O223" i="7" s="1"/>
  <c r="E224" i="7"/>
  <c r="F224" i="7"/>
  <c r="O224" i="7" s="1"/>
  <c r="E225" i="7"/>
  <c r="F225" i="7"/>
  <c r="O225" i="7" s="1"/>
  <c r="E226" i="7"/>
  <c r="F226" i="7"/>
  <c r="O226" i="7" s="1"/>
  <c r="E227" i="7"/>
  <c r="F227" i="7"/>
  <c r="O227" i="7" s="1"/>
  <c r="E228" i="7"/>
  <c r="F228" i="7"/>
  <c r="O228" i="7" s="1"/>
  <c r="E229" i="7"/>
  <c r="F229" i="7"/>
  <c r="O229" i="7" s="1"/>
  <c r="E230" i="7"/>
  <c r="F230" i="7"/>
  <c r="O230" i="7" s="1"/>
  <c r="E231" i="7"/>
  <c r="F231" i="7"/>
  <c r="O231" i="7" s="1"/>
  <c r="E232" i="7"/>
  <c r="F232" i="7"/>
  <c r="O232" i="7" s="1"/>
  <c r="E233" i="7"/>
  <c r="F233" i="7"/>
  <c r="O233" i="7" s="1"/>
  <c r="E234" i="7"/>
  <c r="F234" i="7"/>
  <c r="O234" i="7" s="1"/>
  <c r="E235" i="7"/>
  <c r="F235" i="7"/>
  <c r="O235" i="7" s="1"/>
  <c r="E236" i="7"/>
  <c r="F236" i="7"/>
  <c r="O236" i="7" s="1"/>
  <c r="E237" i="7"/>
  <c r="F237" i="7"/>
  <c r="O237" i="7" s="1"/>
  <c r="E238" i="7"/>
  <c r="F238" i="7"/>
  <c r="O238" i="7" s="1"/>
  <c r="E239" i="7"/>
  <c r="F239" i="7"/>
  <c r="O239" i="7" s="1"/>
  <c r="E240" i="7"/>
  <c r="F240" i="7"/>
  <c r="O240" i="7" s="1"/>
  <c r="E241" i="7"/>
  <c r="F241" i="7"/>
  <c r="O241" i="7" s="1"/>
  <c r="E242" i="7"/>
  <c r="F242" i="7"/>
  <c r="O242" i="7" s="1"/>
  <c r="E243" i="7"/>
  <c r="F243" i="7"/>
  <c r="O243" i="7" s="1"/>
  <c r="E244" i="7"/>
  <c r="F244" i="7"/>
  <c r="O244" i="7" s="1"/>
  <c r="E245" i="7"/>
  <c r="F245" i="7"/>
  <c r="O245" i="7" s="1"/>
  <c r="E246" i="7"/>
  <c r="F246" i="7"/>
  <c r="O246" i="7" s="1"/>
  <c r="E247" i="7"/>
  <c r="F247" i="7"/>
  <c r="O247" i="7" s="1"/>
  <c r="E248" i="7"/>
  <c r="F248" i="7"/>
  <c r="O248" i="7" s="1"/>
  <c r="E249" i="7"/>
  <c r="F249" i="7"/>
  <c r="O249" i="7" s="1"/>
  <c r="E250" i="7"/>
  <c r="F250" i="7"/>
  <c r="O250" i="7" s="1"/>
  <c r="E251" i="7"/>
  <c r="F251" i="7"/>
  <c r="O251" i="7" s="1"/>
  <c r="E252" i="7"/>
  <c r="F252" i="7"/>
  <c r="O252" i="7" s="1"/>
  <c r="E253" i="7"/>
  <c r="F253" i="7"/>
  <c r="O253" i="7" s="1"/>
  <c r="E254" i="7"/>
  <c r="F254" i="7"/>
  <c r="O254" i="7" s="1"/>
  <c r="E255" i="7"/>
  <c r="F255" i="7"/>
  <c r="O255" i="7" s="1"/>
  <c r="E256" i="7"/>
  <c r="F256" i="7"/>
  <c r="O256" i="7" s="1"/>
  <c r="E257" i="7"/>
  <c r="F257" i="7"/>
  <c r="O257" i="7" s="1"/>
  <c r="E258" i="7"/>
  <c r="F258" i="7"/>
  <c r="O258" i="7" s="1"/>
  <c r="E259" i="7"/>
  <c r="F259" i="7"/>
  <c r="O259" i="7" s="1"/>
  <c r="E260" i="7"/>
  <c r="F260" i="7"/>
  <c r="O260" i="7" s="1"/>
  <c r="E261" i="7"/>
  <c r="F261" i="7"/>
  <c r="O261" i="7" s="1"/>
  <c r="E262" i="7"/>
  <c r="F262" i="7"/>
  <c r="O262" i="7" s="1"/>
  <c r="E263" i="7"/>
  <c r="F263" i="7"/>
  <c r="O263" i="7" s="1"/>
  <c r="E264" i="7"/>
  <c r="F264" i="7"/>
  <c r="O264" i="7" s="1"/>
  <c r="E265" i="7"/>
  <c r="F265" i="7"/>
  <c r="O265" i="7" s="1"/>
  <c r="E266" i="7"/>
  <c r="F266" i="7"/>
  <c r="O266" i="7" s="1"/>
  <c r="E267" i="7"/>
  <c r="F267" i="7"/>
  <c r="O267" i="7" s="1"/>
  <c r="E268" i="7"/>
  <c r="F268" i="7"/>
  <c r="O268" i="7" s="1"/>
  <c r="E269" i="7"/>
  <c r="F269" i="7"/>
  <c r="O269" i="7" s="1"/>
  <c r="E270" i="7"/>
  <c r="F270" i="7"/>
  <c r="O270" i="7" s="1"/>
  <c r="E271" i="7"/>
  <c r="F271" i="7"/>
  <c r="O271" i="7" s="1"/>
  <c r="E272" i="7"/>
  <c r="F272" i="7"/>
  <c r="O272" i="7" s="1"/>
  <c r="E273" i="7"/>
  <c r="F273" i="7"/>
  <c r="O273" i="7" s="1"/>
  <c r="E274" i="7"/>
  <c r="F274" i="7"/>
  <c r="O274" i="7" s="1"/>
  <c r="E275" i="7"/>
  <c r="F275" i="7"/>
  <c r="O275" i="7" s="1"/>
  <c r="E276" i="7"/>
  <c r="F276" i="7"/>
  <c r="O276" i="7" s="1"/>
  <c r="E277" i="7"/>
  <c r="F277" i="7"/>
  <c r="O277" i="7" s="1"/>
  <c r="E278" i="7"/>
  <c r="F278" i="7"/>
  <c r="O278" i="7" s="1"/>
  <c r="E279" i="7"/>
  <c r="F279" i="7"/>
  <c r="O279" i="7" s="1"/>
  <c r="E280" i="7"/>
  <c r="F280" i="7"/>
  <c r="O280" i="7" s="1"/>
  <c r="E281" i="7"/>
  <c r="F281" i="7"/>
  <c r="O281" i="7" s="1"/>
  <c r="E282" i="7"/>
  <c r="F282" i="7"/>
  <c r="O282" i="7" s="1"/>
  <c r="E283" i="7"/>
  <c r="F283" i="7"/>
  <c r="O283" i="7" s="1"/>
  <c r="E284" i="7"/>
  <c r="F284" i="7"/>
  <c r="O284" i="7" s="1"/>
  <c r="E285" i="7"/>
  <c r="F285" i="7"/>
  <c r="O285" i="7" s="1"/>
  <c r="E286" i="7"/>
  <c r="F286" i="7"/>
  <c r="O286" i="7" s="1"/>
  <c r="E287" i="7"/>
  <c r="F287" i="7"/>
  <c r="O287" i="7" s="1"/>
  <c r="E288" i="7"/>
  <c r="F288" i="7"/>
  <c r="O288" i="7" s="1"/>
  <c r="E289" i="7"/>
  <c r="F289" i="7"/>
  <c r="O289" i="7" s="1"/>
  <c r="E290" i="7"/>
  <c r="F290" i="7"/>
  <c r="O290" i="7" s="1"/>
  <c r="E291" i="7"/>
  <c r="F291" i="7"/>
  <c r="O291" i="7" s="1"/>
  <c r="E292" i="7"/>
  <c r="F292" i="7"/>
  <c r="O292" i="7" s="1"/>
  <c r="E293" i="7"/>
  <c r="F293" i="7"/>
  <c r="O293" i="7" s="1"/>
  <c r="E294" i="7"/>
  <c r="F294" i="7"/>
  <c r="O294" i="7" s="1"/>
  <c r="E295" i="7"/>
  <c r="F295" i="7"/>
  <c r="O295" i="7" s="1"/>
  <c r="E296" i="7"/>
  <c r="F296" i="7"/>
  <c r="O296" i="7" s="1"/>
  <c r="E297" i="7"/>
  <c r="F297" i="7"/>
  <c r="O297" i="7" s="1"/>
  <c r="E298" i="7"/>
  <c r="F298" i="7"/>
  <c r="O298" i="7" s="1"/>
  <c r="E299" i="7"/>
  <c r="F299" i="7"/>
  <c r="O299" i="7" s="1"/>
  <c r="E300" i="7"/>
  <c r="F300" i="7"/>
  <c r="O300" i="7" s="1"/>
  <c r="E301" i="7"/>
  <c r="F301" i="7"/>
  <c r="O301" i="7" s="1"/>
  <c r="E302" i="7"/>
  <c r="F302" i="7"/>
  <c r="O302" i="7" s="1"/>
  <c r="E303" i="7"/>
  <c r="F303" i="7"/>
  <c r="O303" i="7" s="1"/>
  <c r="E304" i="7"/>
  <c r="F304" i="7"/>
  <c r="O304" i="7" s="1"/>
  <c r="E305" i="7"/>
  <c r="F305" i="7"/>
  <c r="O305" i="7" s="1"/>
  <c r="E306" i="7"/>
  <c r="F306" i="7"/>
  <c r="O306" i="7" s="1"/>
  <c r="E307" i="7"/>
  <c r="F307" i="7"/>
  <c r="O307" i="7" s="1"/>
  <c r="E308" i="7"/>
  <c r="F308" i="7"/>
  <c r="O308" i="7" s="1"/>
  <c r="E309" i="7"/>
  <c r="F309" i="7"/>
  <c r="O309" i="7" s="1"/>
  <c r="E310" i="7"/>
  <c r="F310" i="7"/>
  <c r="O310" i="7" s="1"/>
  <c r="E311" i="7"/>
  <c r="F311" i="7"/>
  <c r="O311" i="7" s="1"/>
  <c r="E312" i="7"/>
  <c r="F312" i="7"/>
  <c r="O312" i="7" s="1"/>
  <c r="E313" i="7"/>
  <c r="F313" i="7"/>
  <c r="O313" i="7" s="1"/>
  <c r="E314" i="7"/>
  <c r="F314" i="7"/>
  <c r="O314" i="7" s="1"/>
  <c r="E315" i="7"/>
  <c r="F315" i="7"/>
  <c r="O315" i="7" s="1"/>
  <c r="E316" i="7"/>
  <c r="F316" i="7"/>
  <c r="O316" i="7" s="1"/>
  <c r="E317" i="7"/>
  <c r="F317" i="7"/>
  <c r="O317" i="7" s="1"/>
  <c r="E318" i="7"/>
  <c r="F318" i="7"/>
  <c r="O318" i="7" s="1"/>
  <c r="E319" i="7"/>
  <c r="F319" i="7"/>
  <c r="O319" i="7" s="1"/>
  <c r="E320" i="7"/>
  <c r="F320" i="7"/>
  <c r="O320" i="7" s="1"/>
  <c r="E321" i="7"/>
  <c r="F321" i="7"/>
  <c r="O321" i="7" s="1"/>
  <c r="E322" i="7"/>
  <c r="F322" i="7"/>
  <c r="O322" i="7" s="1"/>
  <c r="E323" i="7"/>
  <c r="F323" i="7"/>
  <c r="O323" i="7" s="1"/>
  <c r="E324" i="7"/>
  <c r="F324" i="7"/>
  <c r="O324" i="7" s="1"/>
  <c r="E325" i="7"/>
  <c r="F325" i="7"/>
  <c r="O325" i="7" s="1"/>
  <c r="E326" i="7"/>
  <c r="F326" i="7"/>
  <c r="O326" i="7" s="1"/>
  <c r="E327" i="7"/>
  <c r="F327" i="7"/>
  <c r="O327" i="7" s="1"/>
  <c r="E328" i="7"/>
  <c r="F328" i="7"/>
  <c r="O328" i="7" s="1"/>
  <c r="E329" i="7"/>
  <c r="F329" i="7"/>
  <c r="O329" i="7" s="1"/>
  <c r="E330" i="7"/>
  <c r="F330" i="7"/>
  <c r="O330" i="7" s="1"/>
  <c r="E331" i="7"/>
  <c r="F331" i="7"/>
  <c r="O331" i="7" s="1"/>
  <c r="E332" i="7"/>
  <c r="F332" i="7"/>
  <c r="O332" i="7" s="1"/>
  <c r="E333" i="7"/>
  <c r="F333" i="7"/>
  <c r="O333" i="7" s="1"/>
  <c r="E334" i="7"/>
  <c r="F334" i="7"/>
  <c r="O334" i="7" s="1"/>
  <c r="E335" i="7"/>
  <c r="F335" i="7"/>
  <c r="O335" i="7" s="1"/>
  <c r="E336" i="7"/>
  <c r="F336" i="7"/>
  <c r="O336" i="7" s="1"/>
  <c r="E337" i="7"/>
  <c r="F337" i="7"/>
  <c r="O337" i="7" s="1"/>
  <c r="E338" i="7"/>
  <c r="F338" i="7"/>
  <c r="O338" i="7" s="1"/>
  <c r="E339" i="7"/>
  <c r="F339" i="7"/>
  <c r="O339" i="7" s="1"/>
  <c r="E340" i="7"/>
  <c r="F340" i="7"/>
  <c r="O340" i="7" s="1"/>
  <c r="E341" i="7"/>
  <c r="F341" i="7"/>
  <c r="O341" i="7" s="1"/>
  <c r="E342" i="7"/>
  <c r="F342" i="7"/>
  <c r="O342" i="7" s="1"/>
  <c r="E343" i="7"/>
  <c r="F343" i="7"/>
  <c r="O343" i="7" s="1"/>
  <c r="E344" i="7"/>
  <c r="F344" i="7"/>
  <c r="O344" i="7" s="1"/>
  <c r="E345" i="7"/>
  <c r="F345" i="7"/>
  <c r="O345" i="7" s="1"/>
  <c r="E346" i="7"/>
  <c r="F346" i="7"/>
  <c r="O346" i="7" s="1"/>
  <c r="E347" i="7"/>
  <c r="F347" i="7"/>
  <c r="O347" i="7" s="1"/>
  <c r="E348" i="7"/>
  <c r="F348" i="7"/>
  <c r="O348" i="7" s="1"/>
  <c r="E349" i="7"/>
  <c r="F349" i="7"/>
  <c r="O349" i="7" s="1"/>
  <c r="E350" i="7"/>
  <c r="F350" i="7"/>
  <c r="O350" i="7" s="1"/>
  <c r="E351" i="7"/>
  <c r="F351" i="7"/>
  <c r="O351" i="7" s="1"/>
  <c r="E352" i="7"/>
  <c r="F352" i="7"/>
  <c r="O352" i="7" s="1"/>
  <c r="E353" i="7"/>
  <c r="F353" i="7"/>
  <c r="O353" i="7" s="1"/>
  <c r="E354" i="7"/>
  <c r="F354" i="7"/>
  <c r="O354" i="7" s="1"/>
  <c r="E355" i="7"/>
  <c r="F355" i="7"/>
  <c r="O355" i="7" s="1"/>
  <c r="E356" i="7"/>
  <c r="F356" i="7"/>
  <c r="O356" i="7" s="1"/>
  <c r="E357" i="7"/>
  <c r="F357" i="7"/>
  <c r="O357" i="7" s="1"/>
  <c r="E358" i="7"/>
  <c r="F358" i="7"/>
  <c r="O358" i="7" s="1"/>
  <c r="E359" i="7"/>
  <c r="F359" i="7"/>
  <c r="O359" i="7" s="1"/>
  <c r="E360" i="7"/>
  <c r="F360" i="7"/>
  <c r="O360" i="7" s="1"/>
  <c r="E361" i="7"/>
  <c r="F361" i="7"/>
  <c r="O361" i="7" s="1"/>
  <c r="E362" i="7"/>
  <c r="F362" i="7"/>
  <c r="O362" i="7" s="1"/>
  <c r="E363" i="7"/>
  <c r="F363" i="7"/>
  <c r="O363" i="7" s="1"/>
  <c r="E364" i="7"/>
  <c r="F364" i="7"/>
  <c r="O364" i="7" s="1"/>
  <c r="E365" i="7"/>
  <c r="F365" i="7"/>
  <c r="O365" i="7" s="1"/>
  <c r="E366" i="7"/>
  <c r="F366" i="7"/>
  <c r="O366" i="7" s="1"/>
  <c r="E367" i="7"/>
  <c r="F367" i="7"/>
  <c r="O367" i="7" s="1"/>
  <c r="E368" i="7"/>
  <c r="F368" i="7"/>
  <c r="O368" i="7" s="1"/>
  <c r="E369" i="7"/>
  <c r="F369" i="7"/>
  <c r="O369" i="7" s="1"/>
  <c r="E370" i="7"/>
  <c r="F370" i="7"/>
  <c r="O370" i="7" s="1"/>
  <c r="E371" i="7"/>
  <c r="F371" i="7"/>
  <c r="O371" i="7" s="1"/>
  <c r="E372" i="7"/>
  <c r="F372" i="7"/>
  <c r="O372" i="7" s="1"/>
  <c r="E373" i="7"/>
  <c r="F373" i="7"/>
  <c r="O373" i="7" s="1"/>
  <c r="E374" i="7"/>
  <c r="F374" i="7"/>
  <c r="O374" i="7" s="1"/>
  <c r="E375" i="7"/>
  <c r="F375" i="7"/>
  <c r="O375" i="7" s="1"/>
  <c r="E376" i="7"/>
  <c r="F376" i="7"/>
  <c r="O376" i="7" s="1"/>
  <c r="E377" i="7"/>
  <c r="F377" i="7"/>
  <c r="O377" i="7" s="1"/>
  <c r="E378" i="7"/>
  <c r="F378" i="7"/>
  <c r="O378" i="7" s="1"/>
  <c r="E379" i="7"/>
  <c r="F379" i="7"/>
  <c r="O379" i="7" s="1"/>
  <c r="E380" i="7"/>
  <c r="F380" i="7"/>
  <c r="O380" i="7" s="1"/>
  <c r="E381" i="7"/>
  <c r="F381" i="7"/>
  <c r="O381" i="7" s="1"/>
  <c r="E382" i="7"/>
  <c r="F382" i="7"/>
  <c r="O382" i="7" s="1"/>
  <c r="E383" i="7"/>
  <c r="F383" i="7"/>
  <c r="O383" i="7" s="1"/>
  <c r="E384" i="7"/>
  <c r="F384" i="7"/>
  <c r="O384" i="7" s="1"/>
  <c r="E385" i="7"/>
  <c r="F385" i="7"/>
  <c r="O385" i="7" s="1"/>
  <c r="E386" i="7"/>
  <c r="F386" i="7"/>
  <c r="O386" i="7" s="1"/>
  <c r="E387" i="7"/>
  <c r="F387" i="7"/>
  <c r="O387" i="7" s="1"/>
  <c r="E388" i="7"/>
  <c r="F388" i="7"/>
  <c r="O388" i="7" s="1"/>
  <c r="E389" i="7"/>
  <c r="F389" i="7"/>
  <c r="O389" i="7" s="1"/>
  <c r="E390" i="7"/>
  <c r="F390" i="7"/>
  <c r="O390" i="7" s="1"/>
  <c r="E391" i="7"/>
  <c r="F391" i="7"/>
  <c r="O391" i="7" s="1"/>
  <c r="E392" i="7"/>
  <c r="F392" i="7"/>
  <c r="O392" i="7" s="1"/>
  <c r="E393" i="7"/>
  <c r="F393" i="7"/>
  <c r="O393" i="7" s="1"/>
  <c r="E394" i="7"/>
  <c r="F394" i="7"/>
  <c r="O394" i="7" s="1"/>
  <c r="E395" i="7"/>
  <c r="F395" i="7"/>
  <c r="O395" i="7" s="1"/>
  <c r="E396" i="7"/>
  <c r="F396" i="7"/>
  <c r="O396" i="7" s="1"/>
  <c r="E397" i="7"/>
  <c r="F397" i="7"/>
  <c r="O397" i="7" s="1"/>
  <c r="E398" i="7"/>
  <c r="F398" i="7"/>
  <c r="O398" i="7" s="1"/>
  <c r="E399" i="7"/>
  <c r="F399" i="7"/>
  <c r="O399" i="7" s="1"/>
  <c r="E400" i="7"/>
  <c r="F400" i="7"/>
  <c r="O400" i="7" s="1"/>
  <c r="E401" i="7"/>
  <c r="F401" i="7"/>
  <c r="O401" i="7" s="1"/>
  <c r="E402" i="7"/>
  <c r="F402" i="7"/>
  <c r="O402" i="7" s="1"/>
  <c r="E403" i="7"/>
  <c r="F403" i="7"/>
  <c r="O403" i="7" s="1"/>
  <c r="E404" i="7"/>
  <c r="F404" i="7"/>
  <c r="O404" i="7" s="1"/>
  <c r="E405" i="7"/>
  <c r="F405" i="7"/>
  <c r="O405" i="7" s="1"/>
  <c r="E406" i="7"/>
  <c r="F406" i="7"/>
  <c r="O406" i="7" s="1"/>
  <c r="E407" i="7"/>
  <c r="F407" i="7"/>
  <c r="O407" i="7" s="1"/>
  <c r="E408" i="7"/>
  <c r="F408" i="7"/>
  <c r="O408" i="7" s="1"/>
  <c r="E409" i="7"/>
  <c r="F409" i="7"/>
  <c r="O409" i="7" s="1"/>
  <c r="E410" i="7"/>
  <c r="F410" i="7"/>
  <c r="O410" i="7" s="1"/>
  <c r="E411" i="7"/>
  <c r="F411" i="7"/>
  <c r="O411" i="7" s="1"/>
  <c r="E412" i="7"/>
  <c r="F412" i="7"/>
  <c r="O412" i="7" s="1"/>
  <c r="E413" i="7"/>
  <c r="F413" i="7"/>
  <c r="O413" i="7" s="1"/>
  <c r="E414" i="7"/>
  <c r="F414" i="7"/>
  <c r="O414" i="7" s="1"/>
  <c r="E415" i="7"/>
  <c r="F415" i="7"/>
  <c r="O415" i="7" s="1"/>
  <c r="E416" i="7"/>
  <c r="F416" i="7"/>
  <c r="O416" i="7" s="1"/>
  <c r="E417" i="7"/>
  <c r="F417" i="7"/>
  <c r="O417" i="7" s="1"/>
  <c r="E418" i="7"/>
  <c r="F418" i="7"/>
  <c r="O418" i="7" s="1"/>
  <c r="E419" i="7"/>
  <c r="F419" i="7"/>
  <c r="O419" i="7" s="1"/>
  <c r="E420" i="7"/>
  <c r="F420" i="7"/>
  <c r="O420" i="7" s="1"/>
  <c r="E421" i="7"/>
  <c r="F421" i="7"/>
  <c r="O421" i="7" s="1"/>
  <c r="E422" i="7"/>
  <c r="F422" i="7"/>
  <c r="O422" i="7" s="1"/>
  <c r="E423" i="7"/>
  <c r="F423" i="7"/>
  <c r="O423" i="7" s="1"/>
  <c r="E424" i="7"/>
  <c r="F424" i="7"/>
  <c r="O424" i="7" s="1"/>
  <c r="E425" i="7"/>
  <c r="F425" i="7"/>
  <c r="O425" i="7" s="1"/>
  <c r="E426" i="7"/>
  <c r="F426" i="7"/>
  <c r="O426" i="7" s="1"/>
  <c r="E427" i="7"/>
  <c r="F427" i="7"/>
  <c r="O427" i="7" s="1"/>
  <c r="E428" i="7"/>
  <c r="F428" i="7"/>
  <c r="O428" i="7" s="1"/>
  <c r="E429" i="7"/>
  <c r="F429" i="7"/>
  <c r="O429" i="7" s="1"/>
  <c r="E430" i="7"/>
  <c r="F430" i="7"/>
  <c r="O430" i="7" s="1"/>
  <c r="E431" i="7"/>
  <c r="F431" i="7"/>
  <c r="O431" i="7" s="1"/>
  <c r="E432" i="7"/>
  <c r="F432" i="7"/>
  <c r="O432" i="7" s="1"/>
  <c r="E433" i="7"/>
  <c r="F433" i="7"/>
  <c r="O433" i="7" s="1"/>
  <c r="E434" i="7"/>
  <c r="F434" i="7"/>
  <c r="O434" i="7" s="1"/>
  <c r="E435" i="7"/>
  <c r="F435" i="7"/>
  <c r="O435" i="7" s="1"/>
  <c r="E436" i="7"/>
  <c r="F436" i="7"/>
  <c r="O436" i="7" s="1"/>
  <c r="E437" i="7"/>
  <c r="F437" i="7"/>
  <c r="O437" i="7" s="1"/>
  <c r="E438" i="7"/>
  <c r="F438" i="7"/>
  <c r="O438" i="7" s="1"/>
  <c r="E439" i="7"/>
  <c r="F439" i="7"/>
  <c r="O439" i="7" s="1"/>
  <c r="E440" i="7"/>
  <c r="F440" i="7"/>
  <c r="O440" i="7" s="1"/>
  <c r="E441" i="7"/>
  <c r="F441" i="7"/>
  <c r="O441" i="7" s="1"/>
  <c r="E442" i="7"/>
  <c r="F442" i="7"/>
  <c r="O442" i="7" s="1"/>
  <c r="E443" i="7"/>
  <c r="F443" i="7"/>
  <c r="O443" i="7" s="1"/>
  <c r="E444" i="7"/>
  <c r="F444" i="7"/>
  <c r="O444" i="7" s="1"/>
  <c r="E445" i="7"/>
  <c r="F445" i="7"/>
  <c r="O445" i="7" s="1"/>
  <c r="E446" i="7"/>
  <c r="F446" i="7"/>
  <c r="O446" i="7" s="1"/>
  <c r="E447" i="7"/>
  <c r="F447" i="7"/>
  <c r="O447" i="7" s="1"/>
  <c r="E448" i="7"/>
  <c r="F448" i="7"/>
  <c r="O448" i="7" s="1"/>
  <c r="E449" i="7"/>
  <c r="F449" i="7"/>
  <c r="O449" i="7" s="1"/>
  <c r="E450" i="7"/>
  <c r="F450" i="7"/>
  <c r="O450" i="7" s="1"/>
  <c r="E451" i="7"/>
  <c r="F451" i="7"/>
  <c r="O451" i="7" s="1"/>
  <c r="E452" i="7"/>
  <c r="F452" i="7"/>
  <c r="O452" i="7" s="1"/>
  <c r="E453" i="7"/>
  <c r="F453" i="7"/>
  <c r="O453" i="7" s="1"/>
  <c r="E454" i="7"/>
  <c r="F454" i="7"/>
  <c r="O454" i="7" s="1"/>
  <c r="E455" i="7"/>
  <c r="F455" i="7"/>
  <c r="O455" i="7" s="1"/>
  <c r="E456" i="7"/>
  <c r="F456" i="7"/>
  <c r="O456" i="7" s="1"/>
  <c r="E457" i="7"/>
  <c r="F457" i="7"/>
  <c r="O457" i="7" s="1"/>
  <c r="E458" i="7"/>
  <c r="F458" i="7"/>
  <c r="O458" i="7" s="1"/>
  <c r="E459" i="7"/>
  <c r="F459" i="7"/>
  <c r="O459" i="7" s="1"/>
  <c r="E460" i="7"/>
  <c r="F460" i="7"/>
  <c r="O460" i="7" s="1"/>
  <c r="E461" i="7"/>
  <c r="F461" i="7"/>
  <c r="O461" i="7" s="1"/>
  <c r="E462" i="7"/>
  <c r="F462" i="7"/>
  <c r="O462" i="7" s="1"/>
  <c r="E463" i="7"/>
  <c r="F463" i="7"/>
  <c r="O463" i="7" s="1"/>
  <c r="E464" i="7"/>
  <c r="F464" i="7"/>
  <c r="O464" i="7" s="1"/>
  <c r="E465" i="7"/>
  <c r="F465" i="7"/>
  <c r="O465" i="7" s="1"/>
  <c r="E466" i="7"/>
  <c r="F466" i="7"/>
  <c r="O466" i="7" s="1"/>
  <c r="E467" i="7"/>
  <c r="F467" i="7"/>
  <c r="O467" i="7" s="1"/>
  <c r="E468" i="7"/>
  <c r="F468" i="7"/>
  <c r="O468" i="7" s="1"/>
  <c r="E469" i="7"/>
  <c r="F469" i="7"/>
  <c r="O469" i="7" s="1"/>
  <c r="E470" i="7"/>
  <c r="F470" i="7"/>
  <c r="O470" i="7" s="1"/>
  <c r="E471" i="7"/>
  <c r="F471" i="7"/>
  <c r="O471" i="7" s="1"/>
  <c r="E472" i="7"/>
  <c r="F472" i="7"/>
  <c r="O472" i="7" s="1"/>
  <c r="E473" i="7"/>
  <c r="F473" i="7"/>
  <c r="O473" i="7" s="1"/>
  <c r="E474" i="7"/>
  <c r="F474" i="7"/>
  <c r="O474" i="7" s="1"/>
  <c r="E475" i="7"/>
  <c r="F475" i="7"/>
  <c r="O475" i="7" s="1"/>
  <c r="E476" i="7"/>
  <c r="F476" i="7"/>
  <c r="O476" i="7" s="1"/>
  <c r="E477" i="7"/>
  <c r="F477" i="7"/>
  <c r="O477" i="7" s="1"/>
  <c r="E478" i="7"/>
  <c r="F478" i="7"/>
  <c r="O478" i="7" s="1"/>
  <c r="E479" i="7"/>
  <c r="F479" i="7"/>
  <c r="O479" i="7" s="1"/>
  <c r="E480" i="7"/>
  <c r="F480" i="7"/>
  <c r="O480" i="7" s="1"/>
  <c r="E481" i="7"/>
  <c r="F481" i="7"/>
  <c r="O481" i="7" s="1"/>
  <c r="E482" i="7"/>
  <c r="F482" i="7"/>
  <c r="O482" i="7" s="1"/>
  <c r="E483" i="7"/>
  <c r="F483" i="7"/>
  <c r="O483" i="7" s="1"/>
  <c r="E484" i="7"/>
  <c r="F484" i="7"/>
  <c r="O484" i="7" s="1"/>
  <c r="E485" i="7"/>
  <c r="F485" i="7"/>
  <c r="O485" i="7" s="1"/>
  <c r="E486" i="7"/>
  <c r="F486" i="7"/>
  <c r="O486" i="7" s="1"/>
  <c r="E487" i="7"/>
  <c r="F487" i="7"/>
  <c r="O487" i="7" s="1"/>
  <c r="E488" i="7"/>
  <c r="F488" i="7"/>
  <c r="O488" i="7" s="1"/>
  <c r="E489" i="7"/>
  <c r="F489" i="7"/>
  <c r="O489" i="7" s="1"/>
  <c r="E490" i="7"/>
  <c r="F490" i="7"/>
  <c r="O490" i="7" s="1"/>
  <c r="E491" i="7"/>
  <c r="F491" i="7"/>
  <c r="O491" i="7" s="1"/>
  <c r="E492" i="7"/>
  <c r="F492" i="7"/>
  <c r="O492" i="7" s="1"/>
  <c r="E493" i="7"/>
  <c r="F493" i="7"/>
  <c r="O493" i="7" s="1"/>
  <c r="E494" i="7"/>
  <c r="F494" i="7"/>
  <c r="O494" i="7" s="1"/>
  <c r="E495" i="7"/>
  <c r="F495" i="7"/>
  <c r="O495" i="7" s="1"/>
  <c r="E496" i="7"/>
  <c r="F496" i="7"/>
  <c r="O496" i="7" s="1"/>
  <c r="E497" i="7"/>
  <c r="F497" i="7"/>
  <c r="O497" i="7" s="1"/>
  <c r="E498" i="7"/>
  <c r="F498" i="7"/>
  <c r="O498" i="7" s="1"/>
  <c r="E499" i="7"/>
  <c r="F499" i="7"/>
  <c r="O499" i="7" s="1"/>
  <c r="E500" i="7"/>
  <c r="F500" i="7"/>
  <c r="O500" i="7" s="1"/>
  <c r="E501" i="7"/>
  <c r="F501" i="7"/>
  <c r="O501" i="7" s="1"/>
  <c r="E502" i="7"/>
  <c r="F502" i="7"/>
  <c r="O502" i="7" s="1"/>
  <c r="E503" i="7"/>
  <c r="F503" i="7"/>
  <c r="O503" i="7" s="1"/>
  <c r="E504" i="7"/>
  <c r="F504" i="7"/>
  <c r="O504" i="7" s="1"/>
  <c r="E505" i="7"/>
  <c r="F505" i="7"/>
  <c r="O505" i="7" s="1"/>
  <c r="E506" i="7"/>
  <c r="F506" i="7"/>
  <c r="O506" i="7" s="1"/>
  <c r="E507" i="7"/>
  <c r="F507" i="7"/>
  <c r="O507" i="7" s="1"/>
  <c r="E508" i="7"/>
  <c r="F508" i="7"/>
  <c r="O508" i="7" s="1"/>
  <c r="E509" i="7"/>
  <c r="F509" i="7"/>
  <c r="O509" i="7" s="1"/>
  <c r="E510" i="7"/>
  <c r="F510" i="7"/>
  <c r="O510" i="7" s="1"/>
  <c r="E511" i="7"/>
  <c r="F511" i="7"/>
  <c r="O511" i="7" s="1"/>
  <c r="E512" i="7"/>
  <c r="F512" i="7"/>
  <c r="O512" i="7" s="1"/>
  <c r="E513" i="7"/>
  <c r="F513" i="7"/>
  <c r="O513" i="7" s="1"/>
  <c r="E514" i="7"/>
  <c r="F514" i="7"/>
  <c r="O514" i="7" s="1"/>
  <c r="E515" i="7"/>
  <c r="F515" i="7"/>
  <c r="O515" i="7" s="1"/>
  <c r="E516" i="7"/>
  <c r="F516" i="7"/>
  <c r="O516" i="7" s="1"/>
  <c r="E517" i="7"/>
  <c r="F517" i="7"/>
  <c r="O517" i="7" s="1"/>
  <c r="E518" i="7"/>
  <c r="F518" i="7"/>
  <c r="O518" i="7" s="1"/>
  <c r="E519" i="7"/>
  <c r="F519" i="7"/>
  <c r="O519" i="7" s="1"/>
  <c r="E520" i="7"/>
  <c r="F520" i="7"/>
  <c r="O520" i="7" s="1"/>
  <c r="E521" i="7"/>
  <c r="F521" i="7"/>
  <c r="O521" i="7" s="1"/>
  <c r="E522" i="7"/>
  <c r="F522" i="7"/>
  <c r="O522" i="7" s="1"/>
  <c r="E523" i="7"/>
  <c r="F523" i="7"/>
  <c r="O523" i="7" s="1"/>
  <c r="E524" i="7"/>
  <c r="N524" i="7" s="1"/>
  <c r="F524" i="7"/>
  <c r="O524" i="7" s="1"/>
  <c r="E525" i="7"/>
  <c r="N525" i="7" s="1"/>
  <c r="F525" i="7"/>
  <c r="O525" i="7" s="1"/>
  <c r="E526" i="7"/>
  <c r="N526" i="7" s="1"/>
  <c r="F526" i="7"/>
  <c r="O526" i="7" s="1"/>
  <c r="E527" i="7"/>
  <c r="N527" i="7" s="1"/>
  <c r="F527" i="7"/>
  <c r="O527" i="7" s="1"/>
  <c r="E528" i="7"/>
  <c r="N528" i="7" s="1"/>
  <c r="F528" i="7"/>
  <c r="O528" i="7" s="1"/>
  <c r="E529" i="7"/>
  <c r="N529" i="7" s="1"/>
  <c r="F529" i="7"/>
  <c r="O529" i="7" s="1"/>
  <c r="E530" i="7"/>
  <c r="N530" i="7" s="1"/>
  <c r="F530" i="7"/>
  <c r="O530" i="7" s="1"/>
  <c r="E531" i="7"/>
  <c r="N531" i="7" s="1"/>
  <c r="F531" i="7"/>
  <c r="O531" i="7" s="1"/>
  <c r="E532" i="7"/>
  <c r="N532" i="7" s="1"/>
  <c r="F532" i="7"/>
  <c r="O532" i="7" s="1"/>
  <c r="E533" i="7"/>
  <c r="N533" i="7" s="1"/>
  <c r="F533" i="7"/>
  <c r="O533" i="7" s="1"/>
  <c r="E534" i="7"/>
  <c r="N534" i="7" s="1"/>
  <c r="F534" i="7"/>
  <c r="O534" i="7" s="1"/>
  <c r="E535" i="7"/>
  <c r="N535" i="7" s="1"/>
  <c r="F535" i="7"/>
  <c r="O535" i="7" s="1"/>
  <c r="E536" i="7"/>
  <c r="N536" i="7" s="1"/>
  <c r="F536" i="7"/>
  <c r="O536" i="7" s="1"/>
  <c r="E537" i="7"/>
  <c r="N537" i="7" s="1"/>
  <c r="F537" i="7"/>
  <c r="O537" i="7" s="1"/>
  <c r="E538" i="7"/>
  <c r="N538" i="7" s="1"/>
  <c r="F538" i="7"/>
  <c r="O538" i="7" s="1"/>
  <c r="E539" i="7"/>
  <c r="N539" i="7" s="1"/>
  <c r="F539" i="7"/>
  <c r="O539" i="7" s="1"/>
  <c r="E540" i="7"/>
  <c r="N540" i="7" s="1"/>
  <c r="F540" i="7"/>
  <c r="O540" i="7" s="1"/>
  <c r="E541" i="7"/>
  <c r="N541" i="7" s="1"/>
  <c r="F541" i="7"/>
  <c r="O541" i="7" s="1"/>
  <c r="E542" i="7"/>
  <c r="N542" i="7" s="1"/>
  <c r="F542" i="7"/>
  <c r="O542" i="7" s="1"/>
  <c r="E543" i="7"/>
  <c r="N543" i="7" s="1"/>
  <c r="F543" i="7"/>
  <c r="O543" i="7" s="1"/>
  <c r="E544" i="7"/>
  <c r="N544" i="7" s="1"/>
  <c r="F544" i="7"/>
  <c r="O544" i="7" s="1"/>
  <c r="E545" i="7"/>
  <c r="N545" i="7" s="1"/>
  <c r="F545" i="7"/>
  <c r="O545" i="7" s="1"/>
  <c r="E546" i="7"/>
  <c r="N546" i="7" s="1"/>
  <c r="F546" i="7"/>
  <c r="O546" i="7" s="1"/>
  <c r="E547" i="7"/>
  <c r="N547" i="7" s="1"/>
  <c r="F547" i="7"/>
  <c r="O547" i="7" s="1"/>
  <c r="E548" i="7"/>
  <c r="N548" i="7" s="1"/>
  <c r="F548" i="7"/>
  <c r="O548" i="7" s="1"/>
  <c r="E549" i="7"/>
  <c r="N549" i="7" s="1"/>
  <c r="F549" i="7"/>
  <c r="O549" i="7" s="1"/>
  <c r="E550" i="7"/>
  <c r="N550" i="7" s="1"/>
  <c r="F550" i="7"/>
  <c r="O550" i="7" s="1"/>
  <c r="E551" i="7"/>
  <c r="N551" i="7" s="1"/>
  <c r="F551" i="7"/>
  <c r="O551" i="7" s="1"/>
  <c r="E552" i="7"/>
  <c r="N552" i="7" s="1"/>
  <c r="F552" i="7"/>
  <c r="O552" i="7" s="1"/>
  <c r="E553" i="7"/>
  <c r="N553" i="7" s="1"/>
  <c r="F553" i="7"/>
  <c r="O553" i="7" s="1"/>
  <c r="E554" i="7"/>
  <c r="N554" i="7" s="1"/>
  <c r="F554" i="7"/>
  <c r="O554" i="7" s="1"/>
  <c r="E555" i="7"/>
  <c r="N555" i="7" s="1"/>
  <c r="F555" i="7"/>
  <c r="O555" i="7" s="1"/>
  <c r="E556" i="7"/>
  <c r="N556" i="7" s="1"/>
  <c r="F556" i="7"/>
  <c r="O556" i="7" s="1"/>
  <c r="E557" i="7"/>
  <c r="N557" i="7" s="1"/>
  <c r="F557" i="7"/>
  <c r="O557" i="7" s="1"/>
  <c r="E558" i="7"/>
  <c r="N558" i="7" s="1"/>
  <c r="F558" i="7"/>
  <c r="O558" i="7" s="1"/>
  <c r="E559" i="7"/>
  <c r="N559" i="7" s="1"/>
  <c r="F559" i="7"/>
  <c r="O559" i="7" s="1"/>
  <c r="E560" i="7"/>
  <c r="N560" i="7" s="1"/>
  <c r="F560" i="7"/>
  <c r="O560" i="7" s="1"/>
  <c r="E561" i="7"/>
  <c r="N561" i="7" s="1"/>
  <c r="F561" i="7"/>
  <c r="O561" i="7" s="1"/>
  <c r="E562" i="7"/>
  <c r="N562" i="7" s="1"/>
  <c r="F562" i="7"/>
  <c r="O562" i="7" s="1"/>
  <c r="E563" i="7"/>
  <c r="N563" i="7" s="1"/>
  <c r="F563" i="7"/>
  <c r="O563" i="7" s="1"/>
  <c r="E564" i="7"/>
  <c r="N564" i="7" s="1"/>
  <c r="F564" i="7"/>
  <c r="O564" i="7" s="1"/>
  <c r="E565" i="7"/>
  <c r="N565" i="7" s="1"/>
  <c r="F565" i="7"/>
  <c r="O565" i="7" s="1"/>
  <c r="E566" i="7"/>
  <c r="N566" i="7" s="1"/>
  <c r="F566" i="7"/>
  <c r="O566" i="7" s="1"/>
  <c r="E567" i="7"/>
  <c r="N567" i="7" s="1"/>
  <c r="F567" i="7"/>
  <c r="O567" i="7" s="1"/>
  <c r="E568" i="7"/>
  <c r="N568" i="7" s="1"/>
  <c r="F568" i="7"/>
  <c r="O568" i="7" s="1"/>
  <c r="E569" i="7"/>
  <c r="N569" i="7" s="1"/>
  <c r="F569" i="7"/>
  <c r="O569" i="7" s="1"/>
  <c r="E570" i="7"/>
  <c r="N570" i="7" s="1"/>
  <c r="F570" i="7"/>
  <c r="O570" i="7" s="1"/>
  <c r="E571" i="7"/>
  <c r="N571" i="7" s="1"/>
  <c r="F571" i="7"/>
  <c r="O571" i="7" s="1"/>
  <c r="E572" i="7"/>
  <c r="N572" i="7" s="1"/>
  <c r="F572" i="7"/>
  <c r="O572" i="7" s="1"/>
  <c r="E573" i="7"/>
  <c r="N573" i="7" s="1"/>
  <c r="F573" i="7"/>
  <c r="O573" i="7" s="1"/>
  <c r="E574" i="7"/>
  <c r="N574" i="7" s="1"/>
  <c r="F574" i="7"/>
  <c r="O574" i="7" s="1"/>
  <c r="E575" i="7"/>
  <c r="N575" i="7" s="1"/>
  <c r="F575" i="7"/>
  <c r="O575" i="7" s="1"/>
  <c r="E576" i="7"/>
  <c r="N576" i="7" s="1"/>
  <c r="F576" i="7"/>
  <c r="O576" i="7" s="1"/>
  <c r="E577" i="7"/>
  <c r="N577" i="7" s="1"/>
  <c r="F577" i="7"/>
  <c r="O577" i="7" s="1"/>
  <c r="E578" i="7"/>
  <c r="N578" i="7" s="1"/>
  <c r="F578" i="7"/>
  <c r="O578" i="7" s="1"/>
  <c r="E579" i="7"/>
  <c r="N579" i="7" s="1"/>
  <c r="F579" i="7"/>
  <c r="O579" i="7" s="1"/>
  <c r="E580" i="7"/>
  <c r="N580" i="7" s="1"/>
  <c r="F580" i="7"/>
  <c r="O580" i="7" s="1"/>
  <c r="E581" i="7"/>
  <c r="N581" i="7" s="1"/>
  <c r="F581" i="7"/>
  <c r="O581" i="7" s="1"/>
  <c r="E582" i="7"/>
  <c r="N582" i="7" s="1"/>
  <c r="F582" i="7"/>
  <c r="O582" i="7" s="1"/>
  <c r="E583" i="7"/>
  <c r="N583" i="7" s="1"/>
  <c r="F583" i="7"/>
  <c r="O583" i="7" s="1"/>
  <c r="E584" i="7"/>
  <c r="N584" i="7" s="1"/>
  <c r="F584" i="7"/>
  <c r="O584" i="7" s="1"/>
  <c r="E585" i="7"/>
  <c r="N585" i="7" s="1"/>
  <c r="F585" i="7"/>
  <c r="O585" i="7" s="1"/>
  <c r="E586" i="7"/>
  <c r="N586" i="7" s="1"/>
  <c r="F586" i="7"/>
  <c r="O586" i="7" s="1"/>
  <c r="E587" i="7"/>
  <c r="N587" i="7" s="1"/>
  <c r="F587" i="7"/>
  <c r="O587" i="7" s="1"/>
  <c r="E588" i="7"/>
  <c r="N588" i="7" s="1"/>
  <c r="F588" i="7"/>
  <c r="O588" i="7" s="1"/>
  <c r="E589" i="7"/>
  <c r="N589" i="7" s="1"/>
  <c r="F589" i="7"/>
  <c r="O589" i="7" s="1"/>
  <c r="E590" i="7"/>
  <c r="N590" i="7" s="1"/>
  <c r="F590" i="7"/>
  <c r="O590" i="7" s="1"/>
  <c r="E591" i="7"/>
  <c r="N591" i="7" s="1"/>
  <c r="F591" i="7"/>
  <c r="O591" i="7" s="1"/>
  <c r="E592" i="7"/>
  <c r="N592" i="7" s="1"/>
  <c r="F592" i="7"/>
  <c r="O592" i="7" s="1"/>
  <c r="E593" i="7"/>
  <c r="N593" i="7" s="1"/>
  <c r="F593" i="7"/>
  <c r="O593" i="7" s="1"/>
  <c r="E594" i="7"/>
  <c r="N594" i="7" s="1"/>
  <c r="F594" i="7"/>
  <c r="O594" i="7" s="1"/>
  <c r="E595" i="7"/>
  <c r="N595" i="7" s="1"/>
  <c r="F595" i="7"/>
  <c r="O595" i="7" s="1"/>
  <c r="E596" i="7"/>
  <c r="N596" i="7" s="1"/>
  <c r="F596" i="7"/>
  <c r="O596" i="7" s="1"/>
  <c r="E597" i="7"/>
  <c r="N597" i="7" s="1"/>
  <c r="F597" i="7"/>
  <c r="O597" i="7" s="1"/>
  <c r="E598" i="7"/>
  <c r="N598" i="7" s="1"/>
  <c r="F598" i="7"/>
  <c r="O598" i="7" s="1"/>
  <c r="E599" i="7"/>
  <c r="N599" i="7" s="1"/>
  <c r="F599" i="7"/>
  <c r="O599" i="7" s="1"/>
  <c r="E600" i="7"/>
  <c r="N600" i="7" s="1"/>
  <c r="F600" i="7"/>
  <c r="O600" i="7" s="1"/>
  <c r="E601" i="7"/>
  <c r="N601" i="7" s="1"/>
  <c r="F601" i="7"/>
  <c r="O601" i="7" s="1"/>
  <c r="E602" i="7"/>
  <c r="N602" i="7" s="1"/>
  <c r="F602" i="7"/>
  <c r="O602" i="7" s="1"/>
  <c r="E603" i="7"/>
  <c r="N603" i="7" s="1"/>
  <c r="F603" i="7"/>
  <c r="O603" i="7" s="1"/>
  <c r="E604" i="7"/>
  <c r="N604" i="7" s="1"/>
  <c r="F604" i="7"/>
  <c r="O604" i="7" s="1"/>
  <c r="E605" i="7"/>
  <c r="N605" i="7" s="1"/>
  <c r="F605" i="7"/>
  <c r="O605" i="7" s="1"/>
  <c r="E606" i="7"/>
  <c r="N606" i="7" s="1"/>
  <c r="F606" i="7"/>
  <c r="O606" i="7" s="1"/>
  <c r="E607" i="7"/>
  <c r="N607" i="7" s="1"/>
  <c r="F607" i="7"/>
  <c r="O607" i="7" s="1"/>
  <c r="E608" i="7"/>
  <c r="N608" i="7" s="1"/>
  <c r="F608" i="7"/>
  <c r="O608" i="7" s="1"/>
  <c r="E609" i="7"/>
  <c r="N609" i="7" s="1"/>
  <c r="F609" i="7"/>
  <c r="O609" i="7" s="1"/>
  <c r="E610" i="7"/>
  <c r="N610" i="7" s="1"/>
  <c r="F610" i="7"/>
  <c r="O610" i="7" s="1"/>
  <c r="E611" i="7"/>
  <c r="N611" i="7" s="1"/>
  <c r="F611" i="7"/>
  <c r="O611" i="7" s="1"/>
  <c r="E612" i="7"/>
  <c r="N612" i="7" s="1"/>
  <c r="F612" i="7"/>
  <c r="O612" i="7" s="1"/>
  <c r="E613" i="7"/>
  <c r="N613" i="7" s="1"/>
  <c r="F613" i="7"/>
  <c r="O613" i="7" s="1"/>
  <c r="E614" i="7"/>
  <c r="N614" i="7" s="1"/>
  <c r="F614" i="7"/>
  <c r="O614" i="7" s="1"/>
  <c r="E615" i="7"/>
  <c r="N615" i="7" s="1"/>
  <c r="F615" i="7"/>
  <c r="O615" i="7" s="1"/>
  <c r="E616" i="7"/>
  <c r="N616" i="7" s="1"/>
  <c r="F616" i="7"/>
  <c r="O616" i="7" s="1"/>
  <c r="E617" i="7"/>
  <c r="N617" i="7" s="1"/>
  <c r="F617" i="7"/>
  <c r="O617" i="7" s="1"/>
  <c r="E618" i="7"/>
  <c r="N618" i="7" s="1"/>
  <c r="F618" i="7"/>
  <c r="O618" i="7" s="1"/>
  <c r="E619" i="7"/>
  <c r="N619" i="7" s="1"/>
  <c r="F619" i="7"/>
  <c r="O619" i="7" s="1"/>
  <c r="E620" i="7"/>
  <c r="N620" i="7" s="1"/>
  <c r="F620" i="7"/>
  <c r="O620" i="7" s="1"/>
  <c r="E621" i="7"/>
  <c r="N621" i="7" s="1"/>
  <c r="F621" i="7"/>
  <c r="O621" i="7" s="1"/>
  <c r="E622" i="7"/>
  <c r="N622" i="7" s="1"/>
  <c r="F622" i="7"/>
  <c r="O622" i="7" s="1"/>
  <c r="E623" i="7"/>
  <c r="N623" i="7" s="1"/>
  <c r="F623" i="7"/>
  <c r="O623" i="7" s="1"/>
  <c r="E624" i="7"/>
  <c r="N624" i="7" s="1"/>
  <c r="F624" i="7"/>
  <c r="O624" i="7" s="1"/>
  <c r="E625" i="7"/>
  <c r="N625" i="7" s="1"/>
  <c r="F625" i="7"/>
  <c r="O625" i="7" s="1"/>
  <c r="E626" i="7"/>
  <c r="N626" i="7" s="1"/>
  <c r="F626" i="7"/>
  <c r="O626" i="7" s="1"/>
  <c r="E627" i="7"/>
  <c r="N627" i="7" s="1"/>
  <c r="F627" i="7"/>
  <c r="O627" i="7" s="1"/>
  <c r="E628" i="7"/>
  <c r="N628" i="7" s="1"/>
  <c r="F628" i="7"/>
  <c r="O628" i="7" s="1"/>
  <c r="E629" i="7"/>
  <c r="N629" i="7" s="1"/>
  <c r="F629" i="7"/>
  <c r="O629" i="7" s="1"/>
  <c r="E630" i="7"/>
  <c r="N630" i="7" s="1"/>
  <c r="F630" i="7"/>
  <c r="O630" i="7" s="1"/>
  <c r="E631" i="7"/>
  <c r="N631" i="7" s="1"/>
  <c r="F631" i="7"/>
  <c r="O631" i="7" s="1"/>
  <c r="E632" i="7"/>
  <c r="N632" i="7" s="1"/>
  <c r="F632" i="7"/>
  <c r="O632" i="7" s="1"/>
  <c r="E633" i="7"/>
  <c r="N633" i="7" s="1"/>
  <c r="F633" i="7"/>
  <c r="O633" i="7" s="1"/>
  <c r="E634" i="7"/>
  <c r="N634" i="7" s="1"/>
  <c r="F634" i="7"/>
  <c r="O634" i="7" s="1"/>
  <c r="E635" i="7"/>
  <c r="N635" i="7" s="1"/>
  <c r="F635" i="7"/>
  <c r="O635" i="7" s="1"/>
  <c r="E636" i="7"/>
  <c r="N636" i="7" s="1"/>
  <c r="F636" i="7"/>
  <c r="O636" i="7" s="1"/>
  <c r="E637" i="7"/>
  <c r="N637" i="7" s="1"/>
  <c r="F637" i="7"/>
  <c r="O637" i="7" s="1"/>
  <c r="E638" i="7"/>
  <c r="N638" i="7" s="1"/>
  <c r="F638" i="7"/>
  <c r="O638" i="7" s="1"/>
  <c r="E639" i="7"/>
  <c r="N639" i="7" s="1"/>
  <c r="F639" i="7"/>
  <c r="O639" i="7" s="1"/>
  <c r="E640" i="7"/>
  <c r="N640" i="7" s="1"/>
  <c r="F640" i="7"/>
  <c r="O640" i="7" s="1"/>
  <c r="E641" i="7"/>
  <c r="N641" i="7" s="1"/>
  <c r="F641" i="7"/>
  <c r="O641" i="7" s="1"/>
  <c r="E642" i="7"/>
  <c r="N642" i="7" s="1"/>
  <c r="F642" i="7"/>
  <c r="O642" i="7" s="1"/>
  <c r="E643" i="7"/>
  <c r="N643" i="7" s="1"/>
  <c r="F643" i="7"/>
  <c r="O643" i="7" s="1"/>
  <c r="E644" i="7"/>
  <c r="N644" i="7" s="1"/>
  <c r="F644" i="7"/>
  <c r="O644" i="7" s="1"/>
  <c r="E645" i="7"/>
  <c r="N645" i="7" s="1"/>
  <c r="F645" i="7"/>
  <c r="O645" i="7" s="1"/>
  <c r="E646" i="7"/>
  <c r="N646" i="7" s="1"/>
  <c r="F646" i="7"/>
  <c r="O646" i="7" s="1"/>
  <c r="E647" i="7"/>
  <c r="N647" i="7" s="1"/>
  <c r="F647" i="7"/>
  <c r="O647" i="7" s="1"/>
  <c r="E648" i="7"/>
  <c r="N648" i="7" s="1"/>
  <c r="F648" i="7"/>
  <c r="O648" i="7" s="1"/>
  <c r="E649" i="7"/>
  <c r="N649" i="7" s="1"/>
  <c r="F649" i="7"/>
  <c r="O649" i="7" s="1"/>
  <c r="E650" i="7"/>
  <c r="N650" i="7" s="1"/>
  <c r="F650" i="7"/>
  <c r="O650" i="7" s="1"/>
  <c r="E651" i="7"/>
  <c r="N651" i="7" s="1"/>
  <c r="F651" i="7"/>
  <c r="O651" i="7" s="1"/>
  <c r="E652" i="7"/>
  <c r="N652" i="7" s="1"/>
  <c r="F652" i="7"/>
  <c r="O652" i="7" s="1"/>
  <c r="E653" i="7"/>
  <c r="N653" i="7" s="1"/>
  <c r="F653" i="7"/>
  <c r="O653" i="7" s="1"/>
  <c r="E654" i="7"/>
  <c r="N654" i="7" s="1"/>
  <c r="F654" i="7"/>
  <c r="O654" i="7" s="1"/>
  <c r="E655" i="7"/>
  <c r="N655" i="7" s="1"/>
  <c r="F655" i="7"/>
  <c r="O655" i="7" s="1"/>
  <c r="E656" i="7"/>
  <c r="N656" i="7" s="1"/>
  <c r="F656" i="7"/>
  <c r="O656" i="7" s="1"/>
  <c r="E657" i="7"/>
  <c r="N657" i="7" s="1"/>
  <c r="F657" i="7"/>
  <c r="O657" i="7" s="1"/>
  <c r="E658" i="7"/>
  <c r="N658" i="7" s="1"/>
  <c r="F658" i="7"/>
  <c r="O658" i="7" s="1"/>
  <c r="E659" i="7"/>
  <c r="N659" i="7" s="1"/>
  <c r="F659" i="7"/>
  <c r="O659" i="7" s="1"/>
  <c r="E660" i="7"/>
  <c r="N660" i="7" s="1"/>
  <c r="F660" i="7"/>
  <c r="O660" i="7" s="1"/>
  <c r="E661" i="7"/>
  <c r="N661" i="7" s="1"/>
  <c r="F661" i="7"/>
  <c r="O661" i="7" s="1"/>
  <c r="E662" i="7"/>
  <c r="N662" i="7" s="1"/>
  <c r="F662" i="7"/>
  <c r="O662" i="7" s="1"/>
  <c r="E663" i="7"/>
  <c r="N663" i="7" s="1"/>
  <c r="F663" i="7"/>
  <c r="O663" i="7" s="1"/>
  <c r="E664" i="7"/>
  <c r="N664" i="7" s="1"/>
  <c r="F664" i="7"/>
  <c r="O664" i="7" s="1"/>
  <c r="E665" i="7"/>
  <c r="N665" i="7" s="1"/>
  <c r="F665" i="7"/>
  <c r="O665" i="7" s="1"/>
  <c r="E666" i="7"/>
  <c r="N666" i="7" s="1"/>
  <c r="F666" i="7"/>
  <c r="O666" i="7" s="1"/>
  <c r="E667" i="7"/>
  <c r="N667" i="7" s="1"/>
  <c r="F667" i="7"/>
  <c r="O667" i="7" s="1"/>
  <c r="E668" i="7"/>
  <c r="N668" i="7" s="1"/>
  <c r="F668" i="7"/>
  <c r="O668" i="7" s="1"/>
  <c r="E669" i="7"/>
  <c r="N669" i="7" s="1"/>
  <c r="F669" i="7"/>
  <c r="O669" i="7" s="1"/>
  <c r="E670" i="7"/>
  <c r="N670" i="7" s="1"/>
  <c r="F670" i="7"/>
  <c r="O670" i="7" s="1"/>
  <c r="E671" i="7"/>
  <c r="N671" i="7" s="1"/>
  <c r="F671" i="7"/>
  <c r="O671" i="7" s="1"/>
  <c r="E672" i="7"/>
  <c r="N672" i="7" s="1"/>
  <c r="F672" i="7"/>
  <c r="O672" i="7" s="1"/>
  <c r="E673" i="7"/>
  <c r="N673" i="7" s="1"/>
  <c r="F673" i="7"/>
  <c r="O673" i="7" s="1"/>
  <c r="E674" i="7"/>
  <c r="N674" i="7" s="1"/>
  <c r="F674" i="7"/>
  <c r="O674" i="7" s="1"/>
  <c r="E675" i="7"/>
  <c r="N675" i="7" s="1"/>
  <c r="F675" i="7"/>
  <c r="O675" i="7" s="1"/>
  <c r="E676" i="7"/>
  <c r="N676" i="7" s="1"/>
  <c r="F676" i="7"/>
  <c r="O676" i="7" s="1"/>
  <c r="E677" i="7"/>
  <c r="N677" i="7" s="1"/>
  <c r="F677" i="7"/>
  <c r="O677" i="7" s="1"/>
  <c r="E678" i="7"/>
  <c r="N678" i="7" s="1"/>
  <c r="F678" i="7"/>
  <c r="O678" i="7" s="1"/>
  <c r="E679" i="7"/>
  <c r="N679" i="7" s="1"/>
  <c r="F679" i="7"/>
  <c r="O679" i="7" s="1"/>
  <c r="E680" i="7"/>
  <c r="N680" i="7" s="1"/>
  <c r="F680" i="7"/>
  <c r="O680" i="7" s="1"/>
  <c r="E681" i="7"/>
  <c r="N681" i="7" s="1"/>
  <c r="F681" i="7"/>
  <c r="O681" i="7" s="1"/>
  <c r="E682" i="7"/>
  <c r="N682" i="7" s="1"/>
  <c r="F682" i="7"/>
  <c r="O682" i="7" s="1"/>
  <c r="E683" i="7"/>
  <c r="N683" i="7" s="1"/>
  <c r="F683" i="7"/>
  <c r="O683" i="7" s="1"/>
  <c r="E684" i="7"/>
  <c r="N684" i="7" s="1"/>
  <c r="F684" i="7"/>
  <c r="O684" i="7" s="1"/>
  <c r="E685" i="7"/>
  <c r="N685" i="7" s="1"/>
  <c r="F685" i="7"/>
  <c r="O685" i="7" s="1"/>
  <c r="E686" i="7"/>
  <c r="N686" i="7" s="1"/>
  <c r="F686" i="7"/>
  <c r="O686" i="7" s="1"/>
  <c r="E687" i="7"/>
  <c r="N687" i="7" s="1"/>
  <c r="F687" i="7"/>
  <c r="O687" i="7" s="1"/>
  <c r="E688" i="7"/>
  <c r="N688" i="7" s="1"/>
  <c r="F688" i="7"/>
  <c r="O688" i="7" s="1"/>
  <c r="E689" i="7"/>
  <c r="N689" i="7" s="1"/>
  <c r="F689" i="7"/>
  <c r="O689" i="7" s="1"/>
  <c r="E690" i="7"/>
  <c r="N690" i="7" s="1"/>
  <c r="F690" i="7"/>
  <c r="O690" i="7" s="1"/>
  <c r="E691" i="7"/>
  <c r="N691" i="7" s="1"/>
  <c r="F691" i="7"/>
  <c r="O691" i="7" s="1"/>
  <c r="E692" i="7"/>
  <c r="N692" i="7" s="1"/>
  <c r="F692" i="7"/>
  <c r="O692" i="7" s="1"/>
  <c r="E693" i="7"/>
  <c r="N693" i="7" s="1"/>
  <c r="F693" i="7"/>
  <c r="O693" i="7" s="1"/>
  <c r="E694" i="7"/>
  <c r="N694" i="7" s="1"/>
  <c r="F694" i="7"/>
  <c r="O694" i="7" s="1"/>
  <c r="E695" i="7"/>
  <c r="N695" i="7" s="1"/>
  <c r="F695" i="7"/>
  <c r="O695" i="7" s="1"/>
  <c r="E696" i="7"/>
  <c r="N696" i="7" s="1"/>
  <c r="F696" i="7"/>
  <c r="O696" i="7" s="1"/>
  <c r="E697" i="7"/>
  <c r="N697" i="7" s="1"/>
  <c r="F697" i="7"/>
  <c r="O697" i="7" s="1"/>
  <c r="E698" i="7"/>
  <c r="N698" i="7" s="1"/>
  <c r="F698" i="7"/>
  <c r="O698" i="7" s="1"/>
  <c r="E699" i="7"/>
  <c r="N699" i="7" s="1"/>
  <c r="F699" i="7"/>
  <c r="O699" i="7" s="1"/>
  <c r="E700" i="7"/>
  <c r="N700" i="7" s="1"/>
  <c r="F700" i="7"/>
  <c r="O700" i="7" s="1"/>
  <c r="E701" i="7"/>
  <c r="N701" i="7" s="1"/>
  <c r="F701" i="7"/>
  <c r="O701" i="7" s="1"/>
  <c r="E702" i="7"/>
  <c r="N702" i="7" s="1"/>
  <c r="F702" i="7"/>
  <c r="O702" i="7" s="1"/>
  <c r="E703" i="7"/>
  <c r="N703" i="7" s="1"/>
  <c r="F703" i="7"/>
  <c r="O703" i="7" s="1"/>
  <c r="E704" i="7"/>
  <c r="N704" i="7" s="1"/>
  <c r="F704" i="7"/>
  <c r="O704" i="7" s="1"/>
  <c r="E705" i="7"/>
  <c r="N705" i="7" s="1"/>
  <c r="F705" i="7"/>
  <c r="O705" i="7" s="1"/>
  <c r="E706" i="7"/>
  <c r="N706" i="7" s="1"/>
  <c r="F706" i="7"/>
  <c r="O706" i="7" s="1"/>
  <c r="E707" i="7"/>
  <c r="N707" i="7" s="1"/>
  <c r="F707" i="7"/>
  <c r="O707" i="7" s="1"/>
  <c r="E708" i="7"/>
  <c r="N708" i="7" s="1"/>
  <c r="F708" i="7"/>
  <c r="O708" i="7" s="1"/>
  <c r="E709" i="7"/>
  <c r="N709" i="7" s="1"/>
  <c r="F709" i="7"/>
  <c r="O709" i="7" s="1"/>
  <c r="E710" i="7"/>
  <c r="N710" i="7" s="1"/>
  <c r="F710" i="7"/>
  <c r="O710" i="7" s="1"/>
  <c r="E711" i="7"/>
  <c r="N711" i="7" s="1"/>
  <c r="F711" i="7"/>
  <c r="O711" i="7" s="1"/>
  <c r="E712" i="7"/>
  <c r="N712" i="7" s="1"/>
  <c r="F712" i="7"/>
  <c r="O712" i="7" s="1"/>
  <c r="E713" i="7"/>
  <c r="N713" i="7" s="1"/>
  <c r="F713" i="7"/>
  <c r="O713" i="7" s="1"/>
  <c r="E714" i="7"/>
  <c r="N714" i="7" s="1"/>
  <c r="F714" i="7"/>
  <c r="O714" i="7" s="1"/>
  <c r="E715" i="7"/>
  <c r="N715" i="7" s="1"/>
  <c r="F715" i="7"/>
  <c r="O715" i="7" s="1"/>
  <c r="E716" i="7"/>
  <c r="N716" i="7" s="1"/>
  <c r="F716" i="7"/>
  <c r="O716" i="7" s="1"/>
  <c r="E717" i="7"/>
  <c r="N717" i="7" s="1"/>
  <c r="F717" i="7"/>
  <c r="O717" i="7" s="1"/>
  <c r="E718" i="7"/>
  <c r="N718" i="7" s="1"/>
  <c r="F718" i="7"/>
  <c r="O718" i="7" s="1"/>
  <c r="E11" i="7"/>
  <c r="F11" i="7"/>
  <c r="O11" i="7" s="1"/>
  <c r="E12" i="7"/>
  <c r="F12" i="7"/>
  <c r="O12" i="7" s="1"/>
  <c r="E8" i="7"/>
  <c r="F8" i="7"/>
  <c r="O8" i="7" s="1"/>
  <c r="E9" i="7"/>
  <c r="F9" i="7"/>
  <c r="O9" i="7" s="1"/>
  <c r="E10" i="7"/>
  <c r="F10" i="7"/>
  <c r="O10" i="7" s="1"/>
  <c r="E6" i="7"/>
  <c r="F6" i="7"/>
  <c r="O6" i="7" s="1"/>
  <c r="E7" i="7"/>
  <c r="F7" i="7"/>
  <c r="O7" i="7" s="1"/>
  <c r="F5" i="7"/>
  <c r="O5" i="7" s="1"/>
  <c r="E6" i="15" s="1"/>
  <c r="E5" i="7"/>
  <c r="L7" i="7" l="1"/>
  <c r="R380" i="7"/>
  <c r="L380" i="7"/>
  <c r="R308" i="7"/>
  <c r="L308" i="7"/>
  <c r="R302" i="7"/>
  <c r="L302" i="7"/>
  <c r="R296" i="7"/>
  <c r="L296" i="7"/>
  <c r="R288" i="7"/>
  <c r="L288" i="7"/>
  <c r="R282" i="7"/>
  <c r="L282" i="7"/>
  <c r="R276" i="7"/>
  <c r="L276" i="7"/>
  <c r="R266" i="7"/>
  <c r="L266" i="7"/>
  <c r="R258" i="7"/>
  <c r="L258" i="7"/>
  <c r="R250" i="7"/>
  <c r="L250" i="7"/>
  <c r="R242" i="7"/>
  <c r="L242" i="7"/>
  <c r="R234" i="7"/>
  <c r="L234" i="7"/>
  <c r="R224" i="7"/>
  <c r="L224" i="7"/>
  <c r="R218" i="7"/>
  <c r="L218" i="7"/>
  <c r="R212" i="7"/>
  <c r="L212" i="7"/>
  <c r="R204" i="7"/>
  <c r="L204" i="7"/>
  <c r="R198" i="7"/>
  <c r="L198" i="7"/>
  <c r="R192" i="7"/>
  <c r="L192" i="7"/>
  <c r="R180" i="7"/>
  <c r="L180" i="7"/>
  <c r="R176" i="7"/>
  <c r="L176" i="7"/>
  <c r="R170" i="7"/>
  <c r="L170" i="7"/>
  <c r="R162" i="7"/>
  <c r="L162" i="7"/>
  <c r="R156" i="7"/>
  <c r="L156" i="7"/>
  <c r="R146" i="7"/>
  <c r="L146" i="7"/>
  <c r="R138" i="7"/>
  <c r="L138" i="7"/>
  <c r="R130" i="7"/>
  <c r="L130" i="7"/>
  <c r="R122" i="7"/>
  <c r="L122" i="7"/>
  <c r="R112" i="7"/>
  <c r="L112" i="7"/>
  <c r="R104" i="7"/>
  <c r="L104" i="7"/>
  <c r="R96" i="7"/>
  <c r="L96" i="7"/>
  <c r="R88" i="7"/>
  <c r="L88" i="7"/>
  <c r="R80" i="7"/>
  <c r="L80" i="7"/>
  <c r="R70" i="7"/>
  <c r="L70" i="7"/>
  <c r="R62" i="7"/>
  <c r="L62" i="7"/>
  <c r="R54" i="7"/>
  <c r="L54" i="7"/>
  <c r="R46" i="7"/>
  <c r="L46" i="7"/>
  <c r="R38" i="7"/>
  <c r="L38" i="7"/>
  <c r="R28" i="7"/>
  <c r="L28" i="7"/>
  <c r="R22" i="7"/>
  <c r="L22" i="7"/>
  <c r="R12" i="7"/>
  <c r="L12" i="7"/>
  <c r="S483" i="7"/>
  <c r="L483" i="7"/>
  <c r="S463" i="7"/>
  <c r="L463" i="7"/>
  <c r="S447" i="7"/>
  <c r="L447" i="7"/>
  <c r="S431" i="7"/>
  <c r="L431" i="7"/>
  <c r="S411" i="7"/>
  <c r="L411" i="7"/>
  <c r="S395" i="7"/>
  <c r="L395" i="7"/>
  <c r="S387" i="7"/>
  <c r="L387" i="7"/>
  <c r="S371" i="7"/>
  <c r="L371" i="7"/>
  <c r="S351" i="7"/>
  <c r="L351" i="7"/>
  <c r="S335" i="7"/>
  <c r="L335" i="7"/>
  <c r="S319" i="7"/>
  <c r="L319" i="7"/>
  <c r="S299" i="7"/>
  <c r="L299" i="7"/>
  <c r="S283" i="7"/>
  <c r="L283" i="7"/>
  <c r="S271" i="7"/>
  <c r="L271" i="7"/>
  <c r="S255" i="7"/>
  <c r="L255" i="7"/>
  <c r="S247" i="7"/>
  <c r="L247" i="7"/>
  <c r="S227" i="7"/>
  <c r="L227" i="7"/>
  <c r="S211" i="7"/>
  <c r="L211" i="7"/>
  <c r="S195" i="7"/>
  <c r="L195" i="7"/>
  <c r="S179" i="7"/>
  <c r="L179" i="7"/>
  <c r="S159" i="7"/>
  <c r="L159" i="7"/>
  <c r="S143" i="7"/>
  <c r="L143" i="7"/>
  <c r="S127" i="7"/>
  <c r="L127" i="7"/>
  <c r="S111" i="7"/>
  <c r="L111" i="7"/>
  <c r="S95" i="7"/>
  <c r="L95" i="7"/>
  <c r="S75" i="7"/>
  <c r="L75" i="7"/>
  <c r="S59" i="7"/>
  <c r="L59" i="7"/>
  <c r="S47" i="7"/>
  <c r="L47" i="7"/>
  <c r="S27" i="7"/>
  <c r="L27" i="7"/>
  <c r="S15" i="7"/>
  <c r="L15" i="7"/>
  <c r="L520" i="7"/>
  <c r="L516" i="7"/>
  <c r="L512" i="7"/>
  <c r="L508" i="7"/>
  <c r="L504" i="7"/>
  <c r="L500" i="7"/>
  <c r="L496" i="7"/>
  <c r="L492" i="7"/>
  <c r="L488" i="7"/>
  <c r="L482" i="7"/>
  <c r="L472" i="7"/>
  <c r="L466" i="7"/>
  <c r="L456" i="7"/>
  <c r="L450" i="7"/>
  <c r="L440" i="7"/>
  <c r="L434" i="7"/>
  <c r="L424" i="7"/>
  <c r="L418" i="7"/>
  <c r="L408" i="7"/>
  <c r="L402" i="7"/>
  <c r="L392" i="7"/>
  <c r="R388" i="7"/>
  <c r="L388" i="7"/>
  <c r="R372" i="7"/>
  <c r="L372" i="7"/>
  <c r="R352" i="7"/>
  <c r="L352" i="7"/>
  <c r="R320" i="7"/>
  <c r="L320" i="7"/>
  <c r="R312" i="7"/>
  <c r="L312" i="7"/>
  <c r="R304" i="7"/>
  <c r="L304" i="7"/>
  <c r="R294" i="7"/>
  <c r="L294" i="7"/>
  <c r="R286" i="7"/>
  <c r="L286" i="7"/>
  <c r="R278" i="7"/>
  <c r="L278" i="7"/>
  <c r="R270" i="7"/>
  <c r="L270" i="7"/>
  <c r="R262" i="7"/>
  <c r="L262" i="7"/>
  <c r="R252" i="7"/>
  <c r="L252" i="7"/>
  <c r="R246" i="7"/>
  <c r="L246" i="7"/>
  <c r="R236" i="7"/>
  <c r="L236" i="7"/>
  <c r="R228" i="7"/>
  <c r="L228" i="7"/>
  <c r="R220" i="7"/>
  <c r="L220" i="7"/>
  <c r="R210" i="7"/>
  <c r="L210" i="7"/>
  <c r="R202" i="7"/>
  <c r="L202" i="7"/>
  <c r="R194" i="7"/>
  <c r="L194" i="7"/>
  <c r="R186" i="7"/>
  <c r="L186" i="7"/>
  <c r="R178" i="7"/>
  <c r="L178" i="7"/>
  <c r="R168" i="7"/>
  <c r="L168" i="7"/>
  <c r="R160" i="7"/>
  <c r="L160" i="7"/>
  <c r="R152" i="7"/>
  <c r="L152" i="7"/>
  <c r="R144" i="7"/>
  <c r="L144" i="7"/>
  <c r="R136" i="7"/>
  <c r="L136" i="7"/>
  <c r="R126" i="7"/>
  <c r="L126" i="7"/>
  <c r="R120" i="7"/>
  <c r="L120" i="7"/>
  <c r="R114" i="7"/>
  <c r="L114" i="7"/>
  <c r="R106" i="7"/>
  <c r="L106" i="7"/>
  <c r="R100" i="7"/>
  <c r="L100" i="7"/>
  <c r="R90" i="7"/>
  <c r="L90" i="7"/>
  <c r="R82" i="7"/>
  <c r="L82" i="7"/>
  <c r="R74" i="7"/>
  <c r="L74" i="7"/>
  <c r="R66" i="7"/>
  <c r="L66" i="7"/>
  <c r="R56" i="7"/>
  <c r="L56" i="7"/>
  <c r="R48" i="7"/>
  <c r="L48" i="7"/>
  <c r="R44" i="7"/>
  <c r="L44" i="7"/>
  <c r="R34" i="7"/>
  <c r="L34" i="7"/>
  <c r="R26" i="7"/>
  <c r="L26" i="7"/>
  <c r="R18" i="7"/>
  <c r="L18" i="7"/>
  <c r="L10" i="7"/>
  <c r="R10" i="7"/>
  <c r="S479" i="7"/>
  <c r="L479" i="7"/>
  <c r="S471" i="7"/>
  <c r="L471" i="7"/>
  <c r="S455" i="7"/>
  <c r="L455" i="7"/>
  <c r="S443" i="7"/>
  <c r="L443" i="7"/>
  <c r="S427" i="7"/>
  <c r="L427" i="7"/>
  <c r="S415" i="7"/>
  <c r="L415" i="7"/>
  <c r="S399" i="7"/>
  <c r="L399" i="7"/>
  <c r="S379" i="7"/>
  <c r="L379" i="7"/>
  <c r="S363" i="7"/>
  <c r="L363" i="7"/>
  <c r="S347" i="7"/>
  <c r="L347" i="7"/>
  <c r="S327" i="7"/>
  <c r="L327" i="7"/>
  <c r="S315" i="7"/>
  <c r="L315" i="7"/>
  <c r="S303" i="7"/>
  <c r="L303" i="7"/>
  <c r="S287" i="7"/>
  <c r="L287" i="7"/>
  <c r="S267" i="7"/>
  <c r="L267" i="7"/>
  <c r="S251" i="7"/>
  <c r="L251" i="7"/>
  <c r="S235" i="7"/>
  <c r="L235" i="7"/>
  <c r="S215" i="7"/>
  <c r="L215" i="7"/>
  <c r="S199" i="7"/>
  <c r="L199" i="7"/>
  <c r="S183" i="7"/>
  <c r="L183" i="7"/>
  <c r="S167" i="7"/>
  <c r="L167" i="7"/>
  <c r="S151" i="7"/>
  <c r="L151" i="7"/>
  <c r="S131" i="7"/>
  <c r="L131" i="7"/>
  <c r="S115" i="7"/>
  <c r="L115" i="7"/>
  <c r="S99" i="7"/>
  <c r="L99" i="7"/>
  <c r="S83" i="7"/>
  <c r="L83" i="7"/>
  <c r="S67" i="7"/>
  <c r="L67" i="7"/>
  <c r="S51" i="7"/>
  <c r="L51" i="7"/>
  <c r="S39" i="7"/>
  <c r="L39" i="7"/>
  <c r="S23" i="7"/>
  <c r="L23" i="7"/>
  <c r="S11" i="7"/>
  <c r="L11" i="7"/>
  <c r="L523" i="7"/>
  <c r="L519" i="7"/>
  <c r="L515" i="7"/>
  <c r="L511" i="7"/>
  <c r="L507" i="7"/>
  <c r="L503" i="7"/>
  <c r="L499" i="7"/>
  <c r="L495" i="7"/>
  <c r="L491" i="7"/>
  <c r="L486" i="7"/>
  <c r="L476" i="7"/>
  <c r="L470" i="7"/>
  <c r="L460" i="7"/>
  <c r="L454" i="7"/>
  <c r="L444" i="7"/>
  <c r="L438" i="7"/>
  <c r="L428" i="7"/>
  <c r="L422" i="7"/>
  <c r="L412" i="7"/>
  <c r="L406" i="7"/>
  <c r="L396" i="7"/>
  <c r="L390" i="7"/>
  <c r="L382" i="7"/>
  <c r="L374" i="7"/>
  <c r="L366" i="7"/>
  <c r="L358" i="7"/>
  <c r="L350" i="7"/>
  <c r="L342" i="7"/>
  <c r="L334" i="7"/>
  <c r="L326" i="7"/>
  <c r="L318" i="7"/>
  <c r="R364" i="7"/>
  <c r="L364" i="7"/>
  <c r="R356" i="7"/>
  <c r="L356" i="7"/>
  <c r="R348" i="7"/>
  <c r="L348" i="7"/>
  <c r="R340" i="7"/>
  <c r="L340" i="7"/>
  <c r="R332" i="7"/>
  <c r="L332" i="7"/>
  <c r="R316" i="7"/>
  <c r="L316" i="7"/>
  <c r="R310" i="7"/>
  <c r="L310" i="7"/>
  <c r="R300" i="7"/>
  <c r="L300" i="7"/>
  <c r="R292" i="7"/>
  <c r="L292" i="7"/>
  <c r="R284" i="7"/>
  <c r="L284" i="7"/>
  <c r="R274" i="7"/>
  <c r="L274" i="7"/>
  <c r="R264" i="7"/>
  <c r="L264" i="7"/>
  <c r="R256" i="7"/>
  <c r="L256" i="7"/>
  <c r="R248" i="7"/>
  <c r="L248" i="7"/>
  <c r="R238" i="7"/>
  <c r="L238" i="7"/>
  <c r="R232" i="7"/>
  <c r="L232" i="7"/>
  <c r="R226" i="7"/>
  <c r="L226" i="7"/>
  <c r="R216" i="7"/>
  <c r="L216" i="7"/>
  <c r="R208" i="7"/>
  <c r="L208" i="7"/>
  <c r="R200" i="7"/>
  <c r="L200" i="7"/>
  <c r="R190" i="7"/>
  <c r="L190" i="7"/>
  <c r="R182" i="7"/>
  <c r="L182" i="7"/>
  <c r="R174" i="7"/>
  <c r="L174" i="7"/>
  <c r="R166" i="7"/>
  <c r="L166" i="7"/>
  <c r="R158" i="7"/>
  <c r="L158" i="7"/>
  <c r="R150" i="7"/>
  <c r="L150" i="7"/>
  <c r="R140" i="7"/>
  <c r="L140" i="7"/>
  <c r="R134" i="7"/>
  <c r="L134" i="7"/>
  <c r="R124" i="7"/>
  <c r="L124" i="7"/>
  <c r="R116" i="7"/>
  <c r="L116" i="7"/>
  <c r="R108" i="7"/>
  <c r="L108" i="7"/>
  <c r="R98" i="7"/>
  <c r="L98" i="7"/>
  <c r="R92" i="7"/>
  <c r="L92" i="7"/>
  <c r="R86" i="7"/>
  <c r="L86" i="7"/>
  <c r="R78" i="7"/>
  <c r="L78" i="7"/>
  <c r="R68" i="7"/>
  <c r="L68" i="7"/>
  <c r="R60" i="7"/>
  <c r="L60" i="7"/>
  <c r="R52" i="7"/>
  <c r="L52" i="7"/>
  <c r="R42" i="7"/>
  <c r="L42" i="7"/>
  <c r="R36" i="7"/>
  <c r="L36" i="7"/>
  <c r="R30" i="7"/>
  <c r="L30" i="7"/>
  <c r="R20" i="7"/>
  <c r="L20" i="7"/>
  <c r="R16" i="7"/>
  <c r="L16" i="7"/>
  <c r="S475" i="7"/>
  <c r="L475" i="7"/>
  <c r="S459" i="7"/>
  <c r="L459" i="7"/>
  <c r="S439" i="7"/>
  <c r="L439" i="7"/>
  <c r="S423" i="7"/>
  <c r="L423" i="7"/>
  <c r="S407" i="7"/>
  <c r="L407" i="7"/>
  <c r="S391" i="7"/>
  <c r="L391" i="7"/>
  <c r="S375" i="7"/>
  <c r="L375" i="7"/>
  <c r="S355" i="7"/>
  <c r="L355" i="7"/>
  <c r="S339" i="7"/>
  <c r="L339" i="7"/>
  <c r="S331" i="7"/>
  <c r="L331" i="7"/>
  <c r="S311" i="7"/>
  <c r="L311" i="7"/>
  <c r="S295" i="7"/>
  <c r="L295" i="7"/>
  <c r="S279" i="7"/>
  <c r="L279" i="7"/>
  <c r="S263" i="7"/>
  <c r="L263" i="7"/>
  <c r="S243" i="7"/>
  <c r="L243" i="7"/>
  <c r="S231" i="7"/>
  <c r="L231" i="7"/>
  <c r="S219" i="7"/>
  <c r="L219" i="7"/>
  <c r="S203" i="7"/>
  <c r="L203" i="7"/>
  <c r="S191" i="7"/>
  <c r="L191" i="7"/>
  <c r="S175" i="7"/>
  <c r="L175" i="7"/>
  <c r="S155" i="7"/>
  <c r="L155" i="7"/>
  <c r="S139" i="7"/>
  <c r="L139" i="7"/>
  <c r="S123" i="7"/>
  <c r="L123" i="7"/>
  <c r="S103" i="7"/>
  <c r="L103" i="7"/>
  <c r="S87" i="7"/>
  <c r="L87" i="7"/>
  <c r="S79" i="7"/>
  <c r="L79" i="7"/>
  <c r="S63" i="7"/>
  <c r="L63" i="7"/>
  <c r="S43" i="7"/>
  <c r="L43" i="7"/>
  <c r="S31" i="7"/>
  <c r="L31" i="7"/>
  <c r="S19" i="7"/>
  <c r="L19" i="7"/>
  <c r="L522" i="7"/>
  <c r="L518" i="7"/>
  <c r="L514" i="7"/>
  <c r="L510" i="7"/>
  <c r="L506" i="7"/>
  <c r="L502" i="7"/>
  <c r="L498" i="7"/>
  <c r="L494" i="7"/>
  <c r="L490" i="7"/>
  <c r="L480" i="7"/>
  <c r="L474" i="7"/>
  <c r="L464" i="7"/>
  <c r="L458" i="7"/>
  <c r="L448" i="7"/>
  <c r="L442" i="7"/>
  <c r="L432" i="7"/>
  <c r="L426" i="7"/>
  <c r="L416" i="7"/>
  <c r="L410" i="7"/>
  <c r="L400" i="7"/>
  <c r="L394" i="7"/>
  <c r="R384" i="7"/>
  <c r="L384" i="7"/>
  <c r="R376" i="7"/>
  <c r="L376" i="7"/>
  <c r="R368" i="7"/>
  <c r="L368" i="7"/>
  <c r="R360" i="7"/>
  <c r="L360" i="7"/>
  <c r="R344" i="7"/>
  <c r="L344" i="7"/>
  <c r="R336" i="7"/>
  <c r="L336" i="7"/>
  <c r="R328" i="7"/>
  <c r="L328" i="7"/>
  <c r="R324" i="7"/>
  <c r="L324" i="7"/>
  <c r="R306" i="7"/>
  <c r="L306" i="7"/>
  <c r="R298" i="7"/>
  <c r="L298" i="7"/>
  <c r="R290" i="7"/>
  <c r="L290" i="7"/>
  <c r="R280" i="7"/>
  <c r="L280" i="7"/>
  <c r="R272" i="7"/>
  <c r="L272" i="7"/>
  <c r="R268" i="7"/>
  <c r="L268" i="7"/>
  <c r="R260" i="7"/>
  <c r="L260" i="7"/>
  <c r="R254" i="7"/>
  <c r="L254" i="7"/>
  <c r="R244" i="7"/>
  <c r="L244" i="7"/>
  <c r="R240" i="7"/>
  <c r="L240" i="7"/>
  <c r="R230" i="7"/>
  <c r="L230" i="7"/>
  <c r="R222" i="7"/>
  <c r="L222" i="7"/>
  <c r="R214" i="7"/>
  <c r="L214" i="7"/>
  <c r="R206" i="7"/>
  <c r="L206" i="7"/>
  <c r="R196" i="7"/>
  <c r="L196" i="7"/>
  <c r="R188" i="7"/>
  <c r="L188" i="7"/>
  <c r="R184" i="7"/>
  <c r="L184" i="7"/>
  <c r="R172" i="7"/>
  <c r="L172" i="7"/>
  <c r="R164" i="7"/>
  <c r="L164" i="7"/>
  <c r="R154" i="7"/>
  <c r="L154" i="7"/>
  <c r="R148" i="7"/>
  <c r="L148" i="7"/>
  <c r="R142" i="7"/>
  <c r="L142" i="7"/>
  <c r="R132" i="7"/>
  <c r="L132" i="7"/>
  <c r="R128" i="7"/>
  <c r="L128" i="7"/>
  <c r="R118" i="7"/>
  <c r="L118" i="7"/>
  <c r="R110" i="7"/>
  <c r="L110" i="7"/>
  <c r="R102" i="7"/>
  <c r="L102" i="7"/>
  <c r="R94" i="7"/>
  <c r="L94" i="7"/>
  <c r="R84" i="7"/>
  <c r="L84" i="7"/>
  <c r="R76" i="7"/>
  <c r="L76" i="7"/>
  <c r="R72" i="7"/>
  <c r="L72" i="7"/>
  <c r="R64" i="7"/>
  <c r="L64" i="7"/>
  <c r="R58" i="7"/>
  <c r="L58" i="7"/>
  <c r="R50" i="7"/>
  <c r="L50" i="7"/>
  <c r="R40" i="7"/>
  <c r="L40" i="7"/>
  <c r="R32" i="7"/>
  <c r="L32" i="7"/>
  <c r="R24" i="7"/>
  <c r="L24" i="7"/>
  <c r="R14" i="7"/>
  <c r="L14" i="7"/>
  <c r="R8" i="7"/>
  <c r="L8" i="7"/>
  <c r="S487" i="7"/>
  <c r="L487" i="7"/>
  <c r="S467" i="7"/>
  <c r="L467" i="7"/>
  <c r="S451" i="7"/>
  <c r="L451" i="7"/>
  <c r="S435" i="7"/>
  <c r="L435" i="7"/>
  <c r="S419" i="7"/>
  <c r="L419" i="7"/>
  <c r="S403" i="7"/>
  <c r="L403" i="7"/>
  <c r="S383" i="7"/>
  <c r="L383" i="7"/>
  <c r="S367" i="7"/>
  <c r="L367" i="7"/>
  <c r="S359" i="7"/>
  <c r="L359" i="7"/>
  <c r="S343" i="7"/>
  <c r="L343" i="7"/>
  <c r="S323" i="7"/>
  <c r="L323" i="7"/>
  <c r="S307" i="7"/>
  <c r="L307" i="7"/>
  <c r="S291" i="7"/>
  <c r="L291" i="7"/>
  <c r="S275" i="7"/>
  <c r="L275" i="7"/>
  <c r="S259" i="7"/>
  <c r="L259" i="7"/>
  <c r="S239" i="7"/>
  <c r="L239" i="7"/>
  <c r="S223" i="7"/>
  <c r="L223" i="7"/>
  <c r="S207" i="7"/>
  <c r="L207" i="7"/>
  <c r="S187" i="7"/>
  <c r="L187" i="7"/>
  <c r="S171" i="7"/>
  <c r="L171" i="7"/>
  <c r="S163" i="7"/>
  <c r="L163" i="7"/>
  <c r="S147" i="7"/>
  <c r="L147" i="7"/>
  <c r="S135" i="7"/>
  <c r="L135" i="7"/>
  <c r="S119" i="7"/>
  <c r="L119" i="7"/>
  <c r="S107" i="7"/>
  <c r="L107" i="7"/>
  <c r="S91" i="7"/>
  <c r="L91" i="7"/>
  <c r="S71" i="7"/>
  <c r="L71" i="7"/>
  <c r="S55" i="7"/>
  <c r="L55" i="7"/>
  <c r="S35" i="7"/>
  <c r="L35" i="7"/>
  <c r="H5" i="7"/>
  <c r="N5" i="7"/>
  <c r="N7" i="7"/>
  <c r="H7" i="7"/>
  <c r="N6" i="7"/>
  <c r="H6" i="7"/>
  <c r="N10" i="7"/>
  <c r="H10" i="7"/>
  <c r="N9" i="7"/>
  <c r="H9" i="7"/>
  <c r="N8" i="7"/>
  <c r="H8" i="7"/>
  <c r="N12" i="7"/>
  <c r="H12" i="7"/>
  <c r="N11" i="7"/>
  <c r="H11" i="7"/>
  <c r="T718" i="7"/>
  <c r="U718" i="7" s="1"/>
  <c r="T717" i="7"/>
  <c r="U717" i="7" s="1"/>
  <c r="T716" i="7"/>
  <c r="U716" i="7" s="1"/>
  <c r="T715" i="7"/>
  <c r="U715" i="7" s="1"/>
  <c r="T714" i="7"/>
  <c r="U714" i="7" s="1"/>
  <c r="T713" i="7"/>
  <c r="U713" i="7" s="1"/>
  <c r="T712" i="7"/>
  <c r="U712" i="7" s="1"/>
  <c r="T711" i="7"/>
  <c r="U711" i="7" s="1"/>
  <c r="T710" i="7"/>
  <c r="U710" i="7" s="1"/>
  <c r="T709" i="7"/>
  <c r="U709" i="7" s="1"/>
  <c r="T708" i="7"/>
  <c r="U708" i="7" s="1"/>
  <c r="T707" i="7"/>
  <c r="U707" i="7" s="1"/>
  <c r="T706" i="7"/>
  <c r="U706" i="7" s="1"/>
  <c r="T705" i="7"/>
  <c r="U705" i="7" s="1"/>
  <c r="T704" i="7"/>
  <c r="U704" i="7" s="1"/>
  <c r="T703" i="7"/>
  <c r="U703" i="7" s="1"/>
  <c r="T702" i="7"/>
  <c r="U702" i="7" s="1"/>
  <c r="T701" i="7"/>
  <c r="U701" i="7" s="1"/>
  <c r="T700" i="7"/>
  <c r="U700" i="7" s="1"/>
  <c r="T699" i="7"/>
  <c r="U699" i="7" s="1"/>
  <c r="T698" i="7"/>
  <c r="U698" i="7" s="1"/>
  <c r="T697" i="7"/>
  <c r="U697" i="7" s="1"/>
  <c r="T696" i="7"/>
  <c r="U696" i="7" s="1"/>
  <c r="T695" i="7"/>
  <c r="U695" i="7" s="1"/>
  <c r="T694" i="7"/>
  <c r="U694" i="7" s="1"/>
  <c r="T693" i="7"/>
  <c r="U693" i="7" s="1"/>
  <c r="T692" i="7"/>
  <c r="U692" i="7" s="1"/>
  <c r="T691" i="7"/>
  <c r="U691" i="7" s="1"/>
  <c r="T690" i="7"/>
  <c r="U690" i="7" s="1"/>
  <c r="T689" i="7"/>
  <c r="U689" i="7" s="1"/>
  <c r="T688" i="7"/>
  <c r="U688" i="7" s="1"/>
  <c r="T687" i="7"/>
  <c r="U687" i="7" s="1"/>
  <c r="T686" i="7"/>
  <c r="U686" i="7" s="1"/>
  <c r="T685" i="7"/>
  <c r="U685" i="7" s="1"/>
  <c r="T684" i="7"/>
  <c r="U684" i="7" s="1"/>
  <c r="T683" i="7"/>
  <c r="U683" i="7" s="1"/>
  <c r="T682" i="7"/>
  <c r="U682" i="7" s="1"/>
  <c r="T681" i="7"/>
  <c r="U681" i="7" s="1"/>
  <c r="T680" i="7"/>
  <c r="U680" i="7" s="1"/>
  <c r="T679" i="7"/>
  <c r="U679" i="7" s="1"/>
  <c r="T678" i="7"/>
  <c r="U678" i="7" s="1"/>
  <c r="T677" i="7"/>
  <c r="U677" i="7" s="1"/>
  <c r="T676" i="7"/>
  <c r="U676" i="7" s="1"/>
  <c r="T675" i="7"/>
  <c r="U675" i="7" s="1"/>
  <c r="T674" i="7"/>
  <c r="U674" i="7" s="1"/>
  <c r="T673" i="7"/>
  <c r="U673" i="7" s="1"/>
  <c r="T672" i="7"/>
  <c r="U672" i="7" s="1"/>
  <c r="T671" i="7"/>
  <c r="U671" i="7" s="1"/>
  <c r="T670" i="7"/>
  <c r="U670" i="7" s="1"/>
  <c r="T669" i="7"/>
  <c r="U669" i="7" s="1"/>
  <c r="T668" i="7"/>
  <c r="U668" i="7" s="1"/>
  <c r="T667" i="7"/>
  <c r="U667" i="7" s="1"/>
  <c r="T666" i="7"/>
  <c r="U666" i="7" s="1"/>
  <c r="T665" i="7"/>
  <c r="U665" i="7" s="1"/>
  <c r="T664" i="7"/>
  <c r="U664" i="7" s="1"/>
  <c r="T663" i="7"/>
  <c r="U663" i="7" s="1"/>
  <c r="T662" i="7"/>
  <c r="U662" i="7" s="1"/>
  <c r="T661" i="7"/>
  <c r="U661" i="7" s="1"/>
  <c r="T660" i="7"/>
  <c r="U660" i="7" s="1"/>
  <c r="T659" i="7"/>
  <c r="U659" i="7" s="1"/>
  <c r="T658" i="7"/>
  <c r="U658" i="7" s="1"/>
  <c r="T657" i="7"/>
  <c r="U657" i="7" s="1"/>
  <c r="T656" i="7"/>
  <c r="U656" i="7" s="1"/>
  <c r="T655" i="7"/>
  <c r="U655" i="7" s="1"/>
  <c r="T654" i="7"/>
  <c r="U654" i="7" s="1"/>
  <c r="T653" i="7"/>
  <c r="U653" i="7" s="1"/>
  <c r="T652" i="7"/>
  <c r="U652" i="7" s="1"/>
  <c r="T651" i="7"/>
  <c r="U651" i="7" s="1"/>
  <c r="T650" i="7"/>
  <c r="U650" i="7" s="1"/>
  <c r="T649" i="7"/>
  <c r="U649" i="7" s="1"/>
  <c r="T648" i="7"/>
  <c r="U648" i="7" s="1"/>
  <c r="T647" i="7"/>
  <c r="U647" i="7" s="1"/>
  <c r="T646" i="7"/>
  <c r="U646" i="7" s="1"/>
  <c r="T645" i="7"/>
  <c r="U645" i="7" s="1"/>
  <c r="T644" i="7"/>
  <c r="U644" i="7" s="1"/>
  <c r="T643" i="7"/>
  <c r="U643" i="7" s="1"/>
  <c r="T642" i="7"/>
  <c r="U642" i="7" s="1"/>
  <c r="T641" i="7"/>
  <c r="U641" i="7" s="1"/>
  <c r="T640" i="7"/>
  <c r="U640" i="7" s="1"/>
  <c r="T639" i="7"/>
  <c r="U639" i="7" s="1"/>
  <c r="T638" i="7"/>
  <c r="U638" i="7" s="1"/>
  <c r="T637" i="7"/>
  <c r="U637" i="7" s="1"/>
  <c r="T636" i="7"/>
  <c r="U636" i="7" s="1"/>
  <c r="T635" i="7"/>
  <c r="U635" i="7" s="1"/>
  <c r="T634" i="7"/>
  <c r="U634" i="7" s="1"/>
  <c r="T633" i="7"/>
  <c r="U633" i="7" s="1"/>
  <c r="T632" i="7"/>
  <c r="U632" i="7" s="1"/>
  <c r="T631" i="7"/>
  <c r="U631" i="7" s="1"/>
  <c r="T630" i="7"/>
  <c r="U630" i="7" s="1"/>
  <c r="T629" i="7"/>
  <c r="U629" i="7" s="1"/>
  <c r="T628" i="7"/>
  <c r="U628" i="7" s="1"/>
  <c r="T627" i="7"/>
  <c r="U627" i="7" s="1"/>
  <c r="T626" i="7"/>
  <c r="U626" i="7" s="1"/>
  <c r="T625" i="7"/>
  <c r="U625" i="7" s="1"/>
  <c r="T624" i="7"/>
  <c r="U624" i="7" s="1"/>
  <c r="T623" i="7"/>
  <c r="U623" i="7" s="1"/>
  <c r="T622" i="7"/>
  <c r="U622" i="7" s="1"/>
  <c r="T621" i="7"/>
  <c r="U621" i="7" s="1"/>
  <c r="T620" i="7"/>
  <c r="U620" i="7" s="1"/>
  <c r="T619" i="7"/>
  <c r="U619" i="7" s="1"/>
  <c r="T618" i="7"/>
  <c r="U618" i="7" s="1"/>
  <c r="T617" i="7"/>
  <c r="U617" i="7" s="1"/>
  <c r="T616" i="7"/>
  <c r="U616" i="7" s="1"/>
  <c r="T615" i="7"/>
  <c r="U615" i="7" s="1"/>
  <c r="T614" i="7"/>
  <c r="U614" i="7" s="1"/>
  <c r="T613" i="7"/>
  <c r="U613" i="7" s="1"/>
  <c r="T612" i="7"/>
  <c r="U612" i="7" s="1"/>
  <c r="T611" i="7"/>
  <c r="U611" i="7" s="1"/>
  <c r="T610" i="7"/>
  <c r="U610" i="7" s="1"/>
  <c r="T609" i="7"/>
  <c r="U609" i="7" s="1"/>
  <c r="T608" i="7"/>
  <c r="U608" i="7" s="1"/>
  <c r="T607" i="7"/>
  <c r="U607" i="7" s="1"/>
  <c r="T606" i="7"/>
  <c r="U606" i="7" s="1"/>
  <c r="T605" i="7"/>
  <c r="U605" i="7" s="1"/>
  <c r="T604" i="7"/>
  <c r="U604" i="7" s="1"/>
  <c r="T603" i="7"/>
  <c r="U603" i="7" s="1"/>
  <c r="T602" i="7"/>
  <c r="U602" i="7" s="1"/>
  <c r="T601" i="7"/>
  <c r="U601" i="7" s="1"/>
  <c r="T600" i="7"/>
  <c r="U600" i="7" s="1"/>
  <c r="T599" i="7"/>
  <c r="U599" i="7" s="1"/>
  <c r="T598" i="7"/>
  <c r="U598" i="7" s="1"/>
  <c r="T597" i="7"/>
  <c r="U597" i="7" s="1"/>
  <c r="T596" i="7"/>
  <c r="U596" i="7" s="1"/>
  <c r="T595" i="7"/>
  <c r="U595" i="7" s="1"/>
  <c r="T594" i="7"/>
  <c r="U594" i="7" s="1"/>
  <c r="T593" i="7"/>
  <c r="U593" i="7" s="1"/>
  <c r="T592" i="7"/>
  <c r="U592" i="7" s="1"/>
  <c r="T591" i="7"/>
  <c r="U591" i="7" s="1"/>
  <c r="T590" i="7"/>
  <c r="U590" i="7" s="1"/>
  <c r="T589" i="7"/>
  <c r="U589" i="7" s="1"/>
  <c r="T588" i="7"/>
  <c r="U588" i="7" s="1"/>
  <c r="T587" i="7"/>
  <c r="U587" i="7" s="1"/>
  <c r="T586" i="7"/>
  <c r="U586" i="7" s="1"/>
  <c r="T585" i="7"/>
  <c r="U585" i="7" s="1"/>
  <c r="T584" i="7"/>
  <c r="U584" i="7" s="1"/>
  <c r="T583" i="7"/>
  <c r="U583" i="7" s="1"/>
  <c r="T582" i="7"/>
  <c r="U582" i="7" s="1"/>
  <c r="T581" i="7"/>
  <c r="U581" i="7" s="1"/>
  <c r="T580" i="7"/>
  <c r="U580" i="7" s="1"/>
  <c r="T579" i="7"/>
  <c r="U579" i="7" s="1"/>
  <c r="T578" i="7"/>
  <c r="U578" i="7" s="1"/>
  <c r="T577" i="7"/>
  <c r="U577" i="7" s="1"/>
  <c r="T576" i="7"/>
  <c r="U576" i="7" s="1"/>
  <c r="T575" i="7"/>
  <c r="U575" i="7" s="1"/>
  <c r="T574" i="7"/>
  <c r="U574" i="7" s="1"/>
  <c r="T573" i="7"/>
  <c r="U573" i="7" s="1"/>
  <c r="T572" i="7"/>
  <c r="U572" i="7" s="1"/>
  <c r="T571" i="7"/>
  <c r="U571" i="7" s="1"/>
  <c r="T570" i="7"/>
  <c r="U570" i="7" s="1"/>
  <c r="T569" i="7"/>
  <c r="U569" i="7" s="1"/>
  <c r="T568" i="7"/>
  <c r="U568" i="7" s="1"/>
  <c r="T567" i="7"/>
  <c r="U567" i="7" s="1"/>
  <c r="T566" i="7"/>
  <c r="U566" i="7" s="1"/>
  <c r="T565" i="7"/>
  <c r="U565" i="7" s="1"/>
  <c r="T564" i="7"/>
  <c r="U564" i="7" s="1"/>
  <c r="T563" i="7"/>
  <c r="U563" i="7" s="1"/>
  <c r="T562" i="7"/>
  <c r="U562" i="7" s="1"/>
  <c r="T561" i="7"/>
  <c r="U561" i="7" s="1"/>
  <c r="T560" i="7"/>
  <c r="U560" i="7" s="1"/>
  <c r="T559" i="7"/>
  <c r="U559" i="7" s="1"/>
  <c r="T558" i="7"/>
  <c r="U558" i="7" s="1"/>
  <c r="T557" i="7"/>
  <c r="U557" i="7" s="1"/>
  <c r="T556" i="7"/>
  <c r="U556" i="7" s="1"/>
  <c r="T555" i="7"/>
  <c r="U555" i="7" s="1"/>
  <c r="T554" i="7"/>
  <c r="U554" i="7" s="1"/>
  <c r="T553" i="7"/>
  <c r="U553" i="7" s="1"/>
  <c r="T552" i="7"/>
  <c r="U552" i="7" s="1"/>
  <c r="T551" i="7"/>
  <c r="U551" i="7" s="1"/>
  <c r="T550" i="7"/>
  <c r="U550" i="7" s="1"/>
  <c r="T549" i="7"/>
  <c r="U549" i="7" s="1"/>
  <c r="T548" i="7"/>
  <c r="U548" i="7" s="1"/>
  <c r="T547" i="7"/>
  <c r="U547" i="7" s="1"/>
  <c r="T546" i="7"/>
  <c r="U546" i="7" s="1"/>
  <c r="T545" i="7"/>
  <c r="U545" i="7" s="1"/>
  <c r="T544" i="7"/>
  <c r="U544" i="7" s="1"/>
  <c r="T543" i="7"/>
  <c r="U543" i="7" s="1"/>
  <c r="T542" i="7"/>
  <c r="U542" i="7" s="1"/>
  <c r="T541" i="7"/>
  <c r="U541" i="7" s="1"/>
  <c r="T540" i="7"/>
  <c r="U540" i="7" s="1"/>
  <c r="T539" i="7"/>
  <c r="U539" i="7" s="1"/>
  <c r="T538" i="7"/>
  <c r="U538" i="7" s="1"/>
  <c r="T537" i="7"/>
  <c r="U537" i="7" s="1"/>
  <c r="T536" i="7"/>
  <c r="U536" i="7" s="1"/>
  <c r="T535" i="7"/>
  <c r="U535" i="7" s="1"/>
  <c r="T534" i="7"/>
  <c r="U534" i="7" s="1"/>
  <c r="T533" i="7"/>
  <c r="U533" i="7" s="1"/>
  <c r="T532" i="7"/>
  <c r="U532" i="7" s="1"/>
  <c r="T531" i="7"/>
  <c r="U531" i="7" s="1"/>
  <c r="T530" i="7"/>
  <c r="U530" i="7" s="1"/>
  <c r="T529" i="7"/>
  <c r="U529" i="7" s="1"/>
  <c r="T528" i="7"/>
  <c r="U528" i="7" s="1"/>
  <c r="T527" i="7"/>
  <c r="U527" i="7" s="1"/>
  <c r="T526" i="7"/>
  <c r="U526" i="7" s="1"/>
  <c r="T525" i="7"/>
  <c r="U525" i="7" s="1"/>
  <c r="T524" i="7"/>
  <c r="U524" i="7" s="1"/>
  <c r="N523" i="7"/>
  <c r="T523" i="7" s="1"/>
  <c r="U523" i="7" s="1"/>
  <c r="H523" i="7"/>
  <c r="N522" i="7"/>
  <c r="T522" i="7" s="1"/>
  <c r="U522" i="7" s="1"/>
  <c r="H522" i="7"/>
  <c r="N521" i="7"/>
  <c r="T521" i="7" s="1"/>
  <c r="U521" i="7" s="1"/>
  <c r="H521" i="7"/>
  <c r="N520" i="7"/>
  <c r="T520" i="7" s="1"/>
  <c r="U520" i="7" s="1"/>
  <c r="H520" i="7"/>
  <c r="N519" i="7"/>
  <c r="T519" i="7" s="1"/>
  <c r="U519" i="7" s="1"/>
  <c r="H519" i="7"/>
  <c r="N518" i="7"/>
  <c r="T518" i="7" s="1"/>
  <c r="U518" i="7" s="1"/>
  <c r="H518" i="7"/>
  <c r="N517" i="7"/>
  <c r="T517" i="7" s="1"/>
  <c r="U517" i="7" s="1"/>
  <c r="H517" i="7"/>
  <c r="N516" i="7"/>
  <c r="T516" i="7" s="1"/>
  <c r="U516" i="7" s="1"/>
  <c r="H516" i="7"/>
  <c r="N515" i="7"/>
  <c r="T515" i="7" s="1"/>
  <c r="U515" i="7" s="1"/>
  <c r="H515" i="7"/>
  <c r="N514" i="7"/>
  <c r="T514" i="7" s="1"/>
  <c r="U514" i="7" s="1"/>
  <c r="H514" i="7"/>
  <c r="N513" i="7"/>
  <c r="T513" i="7" s="1"/>
  <c r="U513" i="7" s="1"/>
  <c r="H513" i="7"/>
  <c r="N512" i="7"/>
  <c r="T512" i="7" s="1"/>
  <c r="U512" i="7" s="1"/>
  <c r="H512" i="7"/>
  <c r="N511" i="7"/>
  <c r="T511" i="7" s="1"/>
  <c r="U511" i="7" s="1"/>
  <c r="H511" i="7"/>
  <c r="N510" i="7"/>
  <c r="T510" i="7" s="1"/>
  <c r="U510" i="7" s="1"/>
  <c r="H510" i="7"/>
  <c r="N509" i="7"/>
  <c r="T509" i="7" s="1"/>
  <c r="U509" i="7" s="1"/>
  <c r="H509" i="7"/>
  <c r="N508" i="7"/>
  <c r="T508" i="7" s="1"/>
  <c r="U508" i="7" s="1"/>
  <c r="H508" i="7"/>
  <c r="N507" i="7"/>
  <c r="T507" i="7" s="1"/>
  <c r="U507" i="7" s="1"/>
  <c r="H507" i="7"/>
  <c r="N506" i="7"/>
  <c r="T506" i="7" s="1"/>
  <c r="U506" i="7" s="1"/>
  <c r="H506" i="7"/>
  <c r="N505" i="7"/>
  <c r="T505" i="7" s="1"/>
  <c r="U505" i="7" s="1"/>
  <c r="H505" i="7"/>
  <c r="N504" i="7"/>
  <c r="T504" i="7" s="1"/>
  <c r="U504" i="7" s="1"/>
  <c r="H504" i="7"/>
  <c r="N503" i="7"/>
  <c r="T503" i="7" s="1"/>
  <c r="U503" i="7" s="1"/>
  <c r="H503" i="7"/>
  <c r="N502" i="7"/>
  <c r="T502" i="7" s="1"/>
  <c r="U502" i="7" s="1"/>
  <c r="H502" i="7"/>
  <c r="N501" i="7"/>
  <c r="T501" i="7" s="1"/>
  <c r="U501" i="7" s="1"/>
  <c r="H501" i="7"/>
  <c r="N500" i="7"/>
  <c r="T500" i="7" s="1"/>
  <c r="U500" i="7" s="1"/>
  <c r="H500" i="7"/>
  <c r="N499" i="7"/>
  <c r="T499" i="7" s="1"/>
  <c r="U499" i="7" s="1"/>
  <c r="H499" i="7"/>
  <c r="N498" i="7"/>
  <c r="T498" i="7" s="1"/>
  <c r="U498" i="7" s="1"/>
  <c r="H498" i="7"/>
  <c r="N497" i="7"/>
  <c r="T497" i="7" s="1"/>
  <c r="U497" i="7" s="1"/>
  <c r="H497" i="7"/>
  <c r="N496" i="7"/>
  <c r="T496" i="7" s="1"/>
  <c r="U496" i="7" s="1"/>
  <c r="H496" i="7"/>
  <c r="N495" i="7"/>
  <c r="T495" i="7" s="1"/>
  <c r="U495" i="7" s="1"/>
  <c r="H495" i="7"/>
  <c r="N494" i="7"/>
  <c r="T494" i="7" s="1"/>
  <c r="U494" i="7" s="1"/>
  <c r="H494" i="7"/>
  <c r="N493" i="7"/>
  <c r="T493" i="7" s="1"/>
  <c r="U493" i="7" s="1"/>
  <c r="H493" i="7"/>
  <c r="N492" i="7"/>
  <c r="T492" i="7" s="1"/>
  <c r="U492" i="7" s="1"/>
  <c r="H492" i="7"/>
  <c r="N491" i="7"/>
  <c r="T491" i="7" s="1"/>
  <c r="U491" i="7" s="1"/>
  <c r="H491" i="7"/>
  <c r="N490" i="7"/>
  <c r="T490" i="7" s="1"/>
  <c r="U490" i="7" s="1"/>
  <c r="H490" i="7"/>
  <c r="N489" i="7"/>
  <c r="T489" i="7" s="1"/>
  <c r="U489" i="7" s="1"/>
  <c r="H489" i="7"/>
  <c r="N488" i="7"/>
  <c r="T488" i="7" s="1"/>
  <c r="U488" i="7" s="1"/>
  <c r="H488" i="7"/>
  <c r="N487" i="7"/>
  <c r="T487" i="7" s="1"/>
  <c r="U487" i="7" s="1"/>
  <c r="H487" i="7"/>
  <c r="N486" i="7"/>
  <c r="T486" i="7" s="1"/>
  <c r="U486" i="7" s="1"/>
  <c r="H486" i="7"/>
  <c r="N485" i="7"/>
  <c r="T485" i="7" s="1"/>
  <c r="U485" i="7" s="1"/>
  <c r="H485" i="7"/>
  <c r="N484" i="7"/>
  <c r="T484" i="7" s="1"/>
  <c r="U484" i="7" s="1"/>
  <c r="H484" i="7"/>
  <c r="N483" i="7"/>
  <c r="T483" i="7" s="1"/>
  <c r="U483" i="7" s="1"/>
  <c r="H483" i="7"/>
  <c r="N482" i="7"/>
  <c r="T482" i="7" s="1"/>
  <c r="U482" i="7" s="1"/>
  <c r="H482" i="7"/>
  <c r="N481" i="7"/>
  <c r="T481" i="7" s="1"/>
  <c r="U481" i="7" s="1"/>
  <c r="H481" i="7"/>
  <c r="N480" i="7"/>
  <c r="T480" i="7" s="1"/>
  <c r="U480" i="7" s="1"/>
  <c r="H480" i="7"/>
  <c r="N479" i="7"/>
  <c r="T479" i="7" s="1"/>
  <c r="U479" i="7" s="1"/>
  <c r="H479" i="7"/>
  <c r="N478" i="7"/>
  <c r="T478" i="7" s="1"/>
  <c r="U478" i="7" s="1"/>
  <c r="H478" i="7"/>
  <c r="N477" i="7"/>
  <c r="T477" i="7" s="1"/>
  <c r="U477" i="7" s="1"/>
  <c r="H477" i="7"/>
  <c r="N476" i="7"/>
  <c r="T476" i="7" s="1"/>
  <c r="U476" i="7" s="1"/>
  <c r="H476" i="7"/>
  <c r="N475" i="7"/>
  <c r="T475" i="7" s="1"/>
  <c r="U475" i="7" s="1"/>
  <c r="H475" i="7"/>
  <c r="N474" i="7"/>
  <c r="T474" i="7" s="1"/>
  <c r="U474" i="7" s="1"/>
  <c r="H474" i="7"/>
  <c r="N473" i="7"/>
  <c r="T473" i="7" s="1"/>
  <c r="U473" i="7" s="1"/>
  <c r="H473" i="7"/>
  <c r="N472" i="7"/>
  <c r="T472" i="7" s="1"/>
  <c r="U472" i="7" s="1"/>
  <c r="H472" i="7"/>
  <c r="N471" i="7"/>
  <c r="T471" i="7" s="1"/>
  <c r="U471" i="7" s="1"/>
  <c r="H471" i="7"/>
  <c r="N470" i="7"/>
  <c r="T470" i="7" s="1"/>
  <c r="U470" i="7" s="1"/>
  <c r="H470" i="7"/>
  <c r="N469" i="7"/>
  <c r="T469" i="7" s="1"/>
  <c r="U469" i="7" s="1"/>
  <c r="H469" i="7"/>
  <c r="N468" i="7"/>
  <c r="T468" i="7" s="1"/>
  <c r="U468" i="7" s="1"/>
  <c r="H468" i="7"/>
  <c r="N467" i="7"/>
  <c r="T467" i="7" s="1"/>
  <c r="U467" i="7" s="1"/>
  <c r="H467" i="7"/>
  <c r="N466" i="7"/>
  <c r="T466" i="7" s="1"/>
  <c r="U466" i="7" s="1"/>
  <c r="H466" i="7"/>
  <c r="N465" i="7"/>
  <c r="T465" i="7" s="1"/>
  <c r="U465" i="7" s="1"/>
  <c r="H465" i="7"/>
  <c r="N464" i="7"/>
  <c r="T464" i="7" s="1"/>
  <c r="U464" i="7" s="1"/>
  <c r="H464" i="7"/>
  <c r="N463" i="7"/>
  <c r="T463" i="7" s="1"/>
  <c r="U463" i="7" s="1"/>
  <c r="H463" i="7"/>
  <c r="N462" i="7"/>
  <c r="T462" i="7" s="1"/>
  <c r="U462" i="7" s="1"/>
  <c r="H462" i="7"/>
  <c r="N461" i="7"/>
  <c r="T461" i="7" s="1"/>
  <c r="U461" i="7" s="1"/>
  <c r="H461" i="7"/>
  <c r="N460" i="7"/>
  <c r="T460" i="7" s="1"/>
  <c r="U460" i="7" s="1"/>
  <c r="H460" i="7"/>
  <c r="N459" i="7"/>
  <c r="T459" i="7" s="1"/>
  <c r="U459" i="7" s="1"/>
  <c r="H459" i="7"/>
  <c r="N458" i="7"/>
  <c r="T458" i="7" s="1"/>
  <c r="U458" i="7" s="1"/>
  <c r="H458" i="7"/>
  <c r="N457" i="7"/>
  <c r="T457" i="7" s="1"/>
  <c r="U457" i="7" s="1"/>
  <c r="H457" i="7"/>
  <c r="N456" i="7"/>
  <c r="T456" i="7" s="1"/>
  <c r="U456" i="7" s="1"/>
  <c r="H456" i="7"/>
  <c r="N455" i="7"/>
  <c r="T455" i="7" s="1"/>
  <c r="U455" i="7" s="1"/>
  <c r="H455" i="7"/>
  <c r="N454" i="7"/>
  <c r="T454" i="7" s="1"/>
  <c r="U454" i="7" s="1"/>
  <c r="H454" i="7"/>
  <c r="N453" i="7"/>
  <c r="T453" i="7" s="1"/>
  <c r="U453" i="7" s="1"/>
  <c r="H453" i="7"/>
  <c r="N452" i="7"/>
  <c r="T452" i="7" s="1"/>
  <c r="U452" i="7" s="1"/>
  <c r="H452" i="7"/>
  <c r="N451" i="7"/>
  <c r="T451" i="7" s="1"/>
  <c r="U451" i="7" s="1"/>
  <c r="H451" i="7"/>
  <c r="N450" i="7"/>
  <c r="T450" i="7" s="1"/>
  <c r="U450" i="7" s="1"/>
  <c r="H450" i="7"/>
  <c r="N449" i="7"/>
  <c r="T449" i="7" s="1"/>
  <c r="U449" i="7" s="1"/>
  <c r="H449" i="7"/>
  <c r="N448" i="7"/>
  <c r="T448" i="7" s="1"/>
  <c r="U448" i="7" s="1"/>
  <c r="H448" i="7"/>
  <c r="N447" i="7"/>
  <c r="T447" i="7" s="1"/>
  <c r="U447" i="7" s="1"/>
  <c r="H447" i="7"/>
  <c r="N446" i="7"/>
  <c r="T446" i="7" s="1"/>
  <c r="U446" i="7" s="1"/>
  <c r="H446" i="7"/>
  <c r="N445" i="7"/>
  <c r="T445" i="7" s="1"/>
  <c r="U445" i="7" s="1"/>
  <c r="H445" i="7"/>
  <c r="N444" i="7"/>
  <c r="T444" i="7" s="1"/>
  <c r="U444" i="7" s="1"/>
  <c r="H444" i="7"/>
  <c r="N443" i="7"/>
  <c r="T443" i="7" s="1"/>
  <c r="U443" i="7" s="1"/>
  <c r="H443" i="7"/>
  <c r="N442" i="7"/>
  <c r="T442" i="7" s="1"/>
  <c r="U442" i="7" s="1"/>
  <c r="H442" i="7"/>
  <c r="N441" i="7"/>
  <c r="T441" i="7" s="1"/>
  <c r="U441" i="7" s="1"/>
  <c r="H441" i="7"/>
  <c r="N440" i="7"/>
  <c r="T440" i="7" s="1"/>
  <c r="U440" i="7" s="1"/>
  <c r="H440" i="7"/>
  <c r="N439" i="7"/>
  <c r="T439" i="7" s="1"/>
  <c r="U439" i="7" s="1"/>
  <c r="H439" i="7"/>
  <c r="N438" i="7"/>
  <c r="T438" i="7" s="1"/>
  <c r="U438" i="7" s="1"/>
  <c r="H438" i="7"/>
  <c r="N437" i="7"/>
  <c r="T437" i="7" s="1"/>
  <c r="U437" i="7" s="1"/>
  <c r="H437" i="7"/>
  <c r="N436" i="7"/>
  <c r="T436" i="7" s="1"/>
  <c r="U436" i="7" s="1"/>
  <c r="H436" i="7"/>
  <c r="N435" i="7"/>
  <c r="T435" i="7" s="1"/>
  <c r="U435" i="7" s="1"/>
  <c r="H435" i="7"/>
  <c r="N434" i="7"/>
  <c r="T434" i="7" s="1"/>
  <c r="U434" i="7" s="1"/>
  <c r="H434" i="7"/>
  <c r="N433" i="7"/>
  <c r="T433" i="7" s="1"/>
  <c r="U433" i="7" s="1"/>
  <c r="H433" i="7"/>
  <c r="N432" i="7"/>
  <c r="T432" i="7" s="1"/>
  <c r="U432" i="7" s="1"/>
  <c r="H432" i="7"/>
  <c r="N431" i="7"/>
  <c r="T431" i="7" s="1"/>
  <c r="U431" i="7" s="1"/>
  <c r="H431" i="7"/>
  <c r="N430" i="7"/>
  <c r="T430" i="7" s="1"/>
  <c r="U430" i="7" s="1"/>
  <c r="H430" i="7"/>
  <c r="N429" i="7"/>
  <c r="T429" i="7" s="1"/>
  <c r="U429" i="7" s="1"/>
  <c r="H429" i="7"/>
  <c r="N428" i="7"/>
  <c r="T428" i="7" s="1"/>
  <c r="U428" i="7" s="1"/>
  <c r="H428" i="7"/>
  <c r="N427" i="7"/>
  <c r="T427" i="7" s="1"/>
  <c r="U427" i="7" s="1"/>
  <c r="H427" i="7"/>
  <c r="N426" i="7"/>
  <c r="T426" i="7" s="1"/>
  <c r="U426" i="7" s="1"/>
  <c r="H426" i="7"/>
  <c r="N425" i="7"/>
  <c r="T425" i="7" s="1"/>
  <c r="U425" i="7" s="1"/>
  <c r="H425" i="7"/>
  <c r="N424" i="7"/>
  <c r="T424" i="7" s="1"/>
  <c r="U424" i="7" s="1"/>
  <c r="H424" i="7"/>
  <c r="N423" i="7"/>
  <c r="T423" i="7" s="1"/>
  <c r="U423" i="7" s="1"/>
  <c r="H423" i="7"/>
  <c r="N422" i="7"/>
  <c r="T422" i="7" s="1"/>
  <c r="U422" i="7" s="1"/>
  <c r="H422" i="7"/>
  <c r="N421" i="7"/>
  <c r="T421" i="7" s="1"/>
  <c r="U421" i="7" s="1"/>
  <c r="H421" i="7"/>
  <c r="N420" i="7"/>
  <c r="T420" i="7" s="1"/>
  <c r="U420" i="7" s="1"/>
  <c r="H420" i="7"/>
  <c r="N419" i="7"/>
  <c r="T419" i="7" s="1"/>
  <c r="U419" i="7" s="1"/>
  <c r="H419" i="7"/>
  <c r="N418" i="7"/>
  <c r="T418" i="7" s="1"/>
  <c r="U418" i="7" s="1"/>
  <c r="H418" i="7"/>
  <c r="N417" i="7"/>
  <c r="T417" i="7" s="1"/>
  <c r="U417" i="7" s="1"/>
  <c r="H417" i="7"/>
  <c r="N416" i="7"/>
  <c r="T416" i="7" s="1"/>
  <c r="U416" i="7" s="1"/>
  <c r="H416" i="7"/>
  <c r="N415" i="7"/>
  <c r="T415" i="7" s="1"/>
  <c r="U415" i="7" s="1"/>
  <c r="H415" i="7"/>
  <c r="N414" i="7"/>
  <c r="T414" i="7" s="1"/>
  <c r="U414" i="7" s="1"/>
  <c r="H414" i="7"/>
  <c r="N413" i="7"/>
  <c r="T413" i="7" s="1"/>
  <c r="U413" i="7" s="1"/>
  <c r="H413" i="7"/>
  <c r="N412" i="7"/>
  <c r="T412" i="7" s="1"/>
  <c r="U412" i="7" s="1"/>
  <c r="H412" i="7"/>
  <c r="N411" i="7"/>
  <c r="T411" i="7" s="1"/>
  <c r="U411" i="7" s="1"/>
  <c r="H411" i="7"/>
  <c r="N410" i="7"/>
  <c r="T410" i="7" s="1"/>
  <c r="U410" i="7" s="1"/>
  <c r="H410" i="7"/>
  <c r="N409" i="7"/>
  <c r="T409" i="7" s="1"/>
  <c r="U409" i="7" s="1"/>
  <c r="H409" i="7"/>
  <c r="N408" i="7"/>
  <c r="T408" i="7" s="1"/>
  <c r="U408" i="7" s="1"/>
  <c r="H408" i="7"/>
  <c r="N407" i="7"/>
  <c r="T407" i="7" s="1"/>
  <c r="U407" i="7" s="1"/>
  <c r="H407" i="7"/>
  <c r="N406" i="7"/>
  <c r="T406" i="7" s="1"/>
  <c r="U406" i="7" s="1"/>
  <c r="H406" i="7"/>
  <c r="N405" i="7"/>
  <c r="T405" i="7" s="1"/>
  <c r="U405" i="7" s="1"/>
  <c r="H405" i="7"/>
  <c r="N404" i="7"/>
  <c r="T404" i="7" s="1"/>
  <c r="U404" i="7" s="1"/>
  <c r="H404" i="7"/>
  <c r="N403" i="7"/>
  <c r="T403" i="7" s="1"/>
  <c r="U403" i="7" s="1"/>
  <c r="H403" i="7"/>
  <c r="N402" i="7"/>
  <c r="T402" i="7" s="1"/>
  <c r="U402" i="7" s="1"/>
  <c r="H402" i="7"/>
  <c r="N401" i="7"/>
  <c r="T401" i="7" s="1"/>
  <c r="U401" i="7" s="1"/>
  <c r="H401" i="7"/>
  <c r="N400" i="7"/>
  <c r="T400" i="7" s="1"/>
  <c r="U400" i="7" s="1"/>
  <c r="H400" i="7"/>
  <c r="N399" i="7"/>
  <c r="T399" i="7" s="1"/>
  <c r="U399" i="7" s="1"/>
  <c r="H399" i="7"/>
  <c r="N398" i="7"/>
  <c r="T398" i="7" s="1"/>
  <c r="U398" i="7" s="1"/>
  <c r="H398" i="7"/>
  <c r="N397" i="7"/>
  <c r="T397" i="7" s="1"/>
  <c r="U397" i="7" s="1"/>
  <c r="H397" i="7"/>
  <c r="N396" i="7"/>
  <c r="T396" i="7" s="1"/>
  <c r="U396" i="7" s="1"/>
  <c r="H396" i="7"/>
  <c r="N395" i="7"/>
  <c r="T395" i="7" s="1"/>
  <c r="U395" i="7" s="1"/>
  <c r="H395" i="7"/>
  <c r="N394" i="7"/>
  <c r="T394" i="7" s="1"/>
  <c r="U394" i="7" s="1"/>
  <c r="H394" i="7"/>
  <c r="N393" i="7"/>
  <c r="T393" i="7" s="1"/>
  <c r="U393" i="7" s="1"/>
  <c r="H393" i="7"/>
  <c r="N392" i="7"/>
  <c r="T392" i="7" s="1"/>
  <c r="U392" i="7" s="1"/>
  <c r="H392" i="7"/>
  <c r="N391" i="7"/>
  <c r="T391" i="7" s="1"/>
  <c r="U391" i="7" s="1"/>
  <c r="H391" i="7"/>
  <c r="N390" i="7"/>
  <c r="T390" i="7" s="1"/>
  <c r="U390" i="7" s="1"/>
  <c r="H390" i="7"/>
  <c r="N389" i="7"/>
  <c r="T389" i="7" s="1"/>
  <c r="U389" i="7" s="1"/>
  <c r="H389" i="7"/>
  <c r="N388" i="7"/>
  <c r="T388" i="7" s="1"/>
  <c r="U388" i="7" s="1"/>
  <c r="H388" i="7"/>
  <c r="N387" i="7"/>
  <c r="T387" i="7" s="1"/>
  <c r="U387" i="7" s="1"/>
  <c r="H387" i="7"/>
  <c r="N386" i="7"/>
  <c r="T386" i="7" s="1"/>
  <c r="U386" i="7" s="1"/>
  <c r="H386" i="7"/>
  <c r="N385" i="7"/>
  <c r="T385" i="7" s="1"/>
  <c r="U385" i="7" s="1"/>
  <c r="H385" i="7"/>
  <c r="N384" i="7"/>
  <c r="T384" i="7" s="1"/>
  <c r="U384" i="7" s="1"/>
  <c r="H384" i="7"/>
  <c r="N383" i="7"/>
  <c r="T383" i="7" s="1"/>
  <c r="U383" i="7" s="1"/>
  <c r="H383" i="7"/>
  <c r="N382" i="7"/>
  <c r="T382" i="7" s="1"/>
  <c r="U382" i="7" s="1"/>
  <c r="H382" i="7"/>
  <c r="N381" i="7"/>
  <c r="T381" i="7" s="1"/>
  <c r="U381" i="7" s="1"/>
  <c r="H381" i="7"/>
  <c r="N380" i="7"/>
  <c r="T380" i="7" s="1"/>
  <c r="U380" i="7" s="1"/>
  <c r="H380" i="7"/>
  <c r="N379" i="7"/>
  <c r="T379" i="7" s="1"/>
  <c r="U379" i="7" s="1"/>
  <c r="H379" i="7"/>
  <c r="N378" i="7"/>
  <c r="T378" i="7" s="1"/>
  <c r="U378" i="7" s="1"/>
  <c r="H378" i="7"/>
  <c r="N377" i="7"/>
  <c r="T377" i="7" s="1"/>
  <c r="U377" i="7" s="1"/>
  <c r="H377" i="7"/>
  <c r="N376" i="7"/>
  <c r="T376" i="7" s="1"/>
  <c r="U376" i="7" s="1"/>
  <c r="H376" i="7"/>
  <c r="N375" i="7"/>
  <c r="T375" i="7" s="1"/>
  <c r="U375" i="7" s="1"/>
  <c r="H375" i="7"/>
  <c r="N374" i="7"/>
  <c r="T374" i="7" s="1"/>
  <c r="U374" i="7" s="1"/>
  <c r="H374" i="7"/>
  <c r="N373" i="7"/>
  <c r="T373" i="7" s="1"/>
  <c r="U373" i="7" s="1"/>
  <c r="H373" i="7"/>
  <c r="N372" i="7"/>
  <c r="T372" i="7" s="1"/>
  <c r="U372" i="7" s="1"/>
  <c r="H372" i="7"/>
  <c r="N371" i="7"/>
  <c r="T371" i="7" s="1"/>
  <c r="U371" i="7" s="1"/>
  <c r="H371" i="7"/>
  <c r="N370" i="7"/>
  <c r="T370" i="7" s="1"/>
  <c r="U370" i="7" s="1"/>
  <c r="H370" i="7"/>
  <c r="N369" i="7"/>
  <c r="T369" i="7" s="1"/>
  <c r="U369" i="7" s="1"/>
  <c r="H369" i="7"/>
  <c r="N368" i="7"/>
  <c r="T368" i="7" s="1"/>
  <c r="U368" i="7" s="1"/>
  <c r="H368" i="7"/>
  <c r="N367" i="7"/>
  <c r="T367" i="7" s="1"/>
  <c r="U367" i="7" s="1"/>
  <c r="H367" i="7"/>
  <c r="N366" i="7"/>
  <c r="T366" i="7" s="1"/>
  <c r="U366" i="7" s="1"/>
  <c r="H366" i="7"/>
  <c r="N365" i="7"/>
  <c r="T365" i="7" s="1"/>
  <c r="U365" i="7" s="1"/>
  <c r="H365" i="7"/>
  <c r="N364" i="7"/>
  <c r="T364" i="7" s="1"/>
  <c r="U364" i="7" s="1"/>
  <c r="H364" i="7"/>
  <c r="N363" i="7"/>
  <c r="T363" i="7" s="1"/>
  <c r="U363" i="7" s="1"/>
  <c r="H363" i="7"/>
  <c r="N362" i="7"/>
  <c r="T362" i="7" s="1"/>
  <c r="U362" i="7" s="1"/>
  <c r="H362" i="7"/>
  <c r="N361" i="7"/>
  <c r="T361" i="7" s="1"/>
  <c r="U361" i="7" s="1"/>
  <c r="H361" i="7"/>
  <c r="N360" i="7"/>
  <c r="T360" i="7" s="1"/>
  <c r="U360" i="7" s="1"/>
  <c r="H360" i="7"/>
  <c r="N359" i="7"/>
  <c r="T359" i="7" s="1"/>
  <c r="U359" i="7" s="1"/>
  <c r="H359" i="7"/>
  <c r="N358" i="7"/>
  <c r="T358" i="7" s="1"/>
  <c r="U358" i="7" s="1"/>
  <c r="H358" i="7"/>
  <c r="N357" i="7"/>
  <c r="T357" i="7" s="1"/>
  <c r="U357" i="7" s="1"/>
  <c r="H357" i="7"/>
  <c r="N356" i="7"/>
  <c r="T356" i="7" s="1"/>
  <c r="U356" i="7" s="1"/>
  <c r="H356" i="7"/>
  <c r="N355" i="7"/>
  <c r="T355" i="7" s="1"/>
  <c r="U355" i="7" s="1"/>
  <c r="H355" i="7"/>
  <c r="N354" i="7"/>
  <c r="T354" i="7" s="1"/>
  <c r="U354" i="7" s="1"/>
  <c r="H354" i="7"/>
  <c r="N353" i="7"/>
  <c r="T353" i="7" s="1"/>
  <c r="U353" i="7" s="1"/>
  <c r="H353" i="7"/>
  <c r="N352" i="7"/>
  <c r="T352" i="7" s="1"/>
  <c r="U352" i="7" s="1"/>
  <c r="H352" i="7"/>
  <c r="N351" i="7"/>
  <c r="T351" i="7" s="1"/>
  <c r="U351" i="7" s="1"/>
  <c r="H351" i="7"/>
  <c r="N350" i="7"/>
  <c r="T350" i="7" s="1"/>
  <c r="U350" i="7" s="1"/>
  <c r="H350" i="7"/>
  <c r="N349" i="7"/>
  <c r="T349" i="7" s="1"/>
  <c r="U349" i="7" s="1"/>
  <c r="H349" i="7"/>
  <c r="N348" i="7"/>
  <c r="T348" i="7" s="1"/>
  <c r="U348" i="7" s="1"/>
  <c r="H348" i="7"/>
  <c r="N347" i="7"/>
  <c r="T347" i="7" s="1"/>
  <c r="U347" i="7" s="1"/>
  <c r="H347" i="7"/>
  <c r="N346" i="7"/>
  <c r="T346" i="7" s="1"/>
  <c r="U346" i="7" s="1"/>
  <c r="H346" i="7"/>
  <c r="N345" i="7"/>
  <c r="T345" i="7" s="1"/>
  <c r="U345" i="7" s="1"/>
  <c r="H345" i="7"/>
  <c r="N344" i="7"/>
  <c r="T344" i="7" s="1"/>
  <c r="U344" i="7" s="1"/>
  <c r="H344" i="7"/>
  <c r="N343" i="7"/>
  <c r="T343" i="7" s="1"/>
  <c r="U343" i="7" s="1"/>
  <c r="H343" i="7"/>
  <c r="N342" i="7"/>
  <c r="T342" i="7" s="1"/>
  <c r="U342" i="7" s="1"/>
  <c r="H342" i="7"/>
  <c r="N341" i="7"/>
  <c r="T341" i="7" s="1"/>
  <c r="U341" i="7" s="1"/>
  <c r="H341" i="7"/>
  <c r="N340" i="7"/>
  <c r="T340" i="7" s="1"/>
  <c r="U340" i="7" s="1"/>
  <c r="H340" i="7"/>
  <c r="N339" i="7"/>
  <c r="T339" i="7" s="1"/>
  <c r="U339" i="7" s="1"/>
  <c r="H339" i="7"/>
  <c r="N338" i="7"/>
  <c r="T338" i="7" s="1"/>
  <c r="U338" i="7" s="1"/>
  <c r="H338" i="7"/>
  <c r="N337" i="7"/>
  <c r="T337" i="7" s="1"/>
  <c r="U337" i="7" s="1"/>
  <c r="H337" i="7"/>
  <c r="N336" i="7"/>
  <c r="T336" i="7" s="1"/>
  <c r="U336" i="7" s="1"/>
  <c r="H336" i="7"/>
  <c r="N335" i="7"/>
  <c r="T335" i="7" s="1"/>
  <c r="U335" i="7" s="1"/>
  <c r="H335" i="7"/>
  <c r="N334" i="7"/>
  <c r="T334" i="7" s="1"/>
  <c r="U334" i="7" s="1"/>
  <c r="H334" i="7"/>
  <c r="N333" i="7"/>
  <c r="T333" i="7" s="1"/>
  <c r="U333" i="7" s="1"/>
  <c r="H333" i="7"/>
  <c r="N332" i="7"/>
  <c r="T332" i="7" s="1"/>
  <c r="U332" i="7" s="1"/>
  <c r="H332" i="7"/>
  <c r="N331" i="7"/>
  <c r="T331" i="7" s="1"/>
  <c r="U331" i="7" s="1"/>
  <c r="H331" i="7"/>
  <c r="N330" i="7"/>
  <c r="T330" i="7" s="1"/>
  <c r="U330" i="7" s="1"/>
  <c r="H330" i="7"/>
  <c r="N329" i="7"/>
  <c r="T329" i="7" s="1"/>
  <c r="U329" i="7" s="1"/>
  <c r="H329" i="7"/>
  <c r="N328" i="7"/>
  <c r="T328" i="7" s="1"/>
  <c r="U328" i="7" s="1"/>
  <c r="H328" i="7"/>
  <c r="N327" i="7"/>
  <c r="T327" i="7" s="1"/>
  <c r="U327" i="7" s="1"/>
  <c r="H327" i="7"/>
  <c r="N326" i="7"/>
  <c r="T326" i="7" s="1"/>
  <c r="U326" i="7" s="1"/>
  <c r="H326" i="7"/>
  <c r="N325" i="7"/>
  <c r="T325" i="7" s="1"/>
  <c r="U325" i="7" s="1"/>
  <c r="H325" i="7"/>
  <c r="N324" i="7"/>
  <c r="T324" i="7" s="1"/>
  <c r="U324" i="7" s="1"/>
  <c r="H324" i="7"/>
  <c r="N323" i="7"/>
  <c r="T323" i="7" s="1"/>
  <c r="U323" i="7" s="1"/>
  <c r="H323" i="7"/>
  <c r="N322" i="7"/>
  <c r="T322" i="7" s="1"/>
  <c r="U322" i="7" s="1"/>
  <c r="H322" i="7"/>
  <c r="N321" i="7"/>
  <c r="T321" i="7" s="1"/>
  <c r="U321" i="7" s="1"/>
  <c r="H321" i="7"/>
  <c r="N320" i="7"/>
  <c r="T320" i="7" s="1"/>
  <c r="U320" i="7" s="1"/>
  <c r="H320" i="7"/>
  <c r="N319" i="7"/>
  <c r="T319" i="7" s="1"/>
  <c r="U319" i="7" s="1"/>
  <c r="H319" i="7"/>
  <c r="N318" i="7"/>
  <c r="T318" i="7" s="1"/>
  <c r="U318" i="7" s="1"/>
  <c r="H318" i="7"/>
  <c r="N317" i="7"/>
  <c r="T317" i="7" s="1"/>
  <c r="U317" i="7" s="1"/>
  <c r="H317" i="7"/>
  <c r="N316" i="7"/>
  <c r="T316" i="7" s="1"/>
  <c r="U316" i="7" s="1"/>
  <c r="H316" i="7"/>
  <c r="N315" i="7"/>
  <c r="T315" i="7" s="1"/>
  <c r="U315" i="7" s="1"/>
  <c r="H315" i="7"/>
  <c r="N314" i="7"/>
  <c r="T314" i="7" s="1"/>
  <c r="U314" i="7" s="1"/>
  <c r="H314" i="7"/>
  <c r="N313" i="7"/>
  <c r="T313" i="7" s="1"/>
  <c r="U313" i="7" s="1"/>
  <c r="H313" i="7"/>
  <c r="N312" i="7"/>
  <c r="T312" i="7" s="1"/>
  <c r="U312" i="7" s="1"/>
  <c r="H312" i="7"/>
  <c r="N311" i="7"/>
  <c r="T311" i="7" s="1"/>
  <c r="U311" i="7" s="1"/>
  <c r="H311" i="7"/>
  <c r="N310" i="7"/>
  <c r="T310" i="7" s="1"/>
  <c r="U310" i="7" s="1"/>
  <c r="H310" i="7"/>
  <c r="N309" i="7"/>
  <c r="T309" i="7" s="1"/>
  <c r="U309" i="7" s="1"/>
  <c r="H309" i="7"/>
  <c r="N308" i="7"/>
  <c r="T308" i="7" s="1"/>
  <c r="U308" i="7" s="1"/>
  <c r="H308" i="7"/>
  <c r="N307" i="7"/>
  <c r="T307" i="7" s="1"/>
  <c r="U307" i="7" s="1"/>
  <c r="H307" i="7"/>
  <c r="N306" i="7"/>
  <c r="T306" i="7" s="1"/>
  <c r="U306" i="7" s="1"/>
  <c r="H306" i="7"/>
  <c r="N305" i="7"/>
  <c r="T305" i="7" s="1"/>
  <c r="U305" i="7" s="1"/>
  <c r="H305" i="7"/>
  <c r="N304" i="7"/>
  <c r="T304" i="7" s="1"/>
  <c r="U304" i="7" s="1"/>
  <c r="H304" i="7"/>
  <c r="N303" i="7"/>
  <c r="T303" i="7" s="1"/>
  <c r="U303" i="7" s="1"/>
  <c r="H303" i="7"/>
  <c r="N302" i="7"/>
  <c r="T302" i="7" s="1"/>
  <c r="U302" i="7" s="1"/>
  <c r="H302" i="7"/>
  <c r="N301" i="7"/>
  <c r="T301" i="7" s="1"/>
  <c r="U301" i="7" s="1"/>
  <c r="H301" i="7"/>
  <c r="N300" i="7"/>
  <c r="T300" i="7" s="1"/>
  <c r="U300" i="7" s="1"/>
  <c r="H300" i="7"/>
  <c r="N299" i="7"/>
  <c r="T299" i="7" s="1"/>
  <c r="U299" i="7" s="1"/>
  <c r="H299" i="7"/>
  <c r="N298" i="7"/>
  <c r="T298" i="7" s="1"/>
  <c r="U298" i="7" s="1"/>
  <c r="H298" i="7"/>
  <c r="N297" i="7"/>
  <c r="T297" i="7" s="1"/>
  <c r="U297" i="7" s="1"/>
  <c r="H297" i="7"/>
  <c r="N296" i="7"/>
  <c r="T296" i="7" s="1"/>
  <c r="U296" i="7" s="1"/>
  <c r="H296" i="7"/>
  <c r="N295" i="7"/>
  <c r="T295" i="7" s="1"/>
  <c r="U295" i="7" s="1"/>
  <c r="H295" i="7"/>
  <c r="N294" i="7"/>
  <c r="T294" i="7" s="1"/>
  <c r="U294" i="7" s="1"/>
  <c r="H294" i="7"/>
  <c r="N293" i="7"/>
  <c r="T293" i="7" s="1"/>
  <c r="U293" i="7" s="1"/>
  <c r="H293" i="7"/>
  <c r="N292" i="7"/>
  <c r="T292" i="7" s="1"/>
  <c r="U292" i="7" s="1"/>
  <c r="H292" i="7"/>
  <c r="N291" i="7"/>
  <c r="T291" i="7" s="1"/>
  <c r="U291" i="7" s="1"/>
  <c r="H291" i="7"/>
  <c r="N290" i="7"/>
  <c r="T290" i="7" s="1"/>
  <c r="U290" i="7" s="1"/>
  <c r="H290" i="7"/>
  <c r="N289" i="7"/>
  <c r="T289" i="7" s="1"/>
  <c r="U289" i="7" s="1"/>
  <c r="H289" i="7"/>
  <c r="N288" i="7"/>
  <c r="T288" i="7" s="1"/>
  <c r="U288" i="7" s="1"/>
  <c r="H288" i="7"/>
  <c r="N287" i="7"/>
  <c r="T287" i="7" s="1"/>
  <c r="U287" i="7" s="1"/>
  <c r="H287" i="7"/>
  <c r="N286" i="7"/>
  <c r="T286" i="7" s="1"/>
  <c r="U286" i="7" s="1"/>
  <c r="H286" i="7"/>
  <c r="N285" i="7"/>
  <c r="T285" i="7" s="1"/>
  <c r="U285" i="7" s="1"/>
  <c r="H285" i="7"/>
  <c r="N284" i="7"/>
  <c r="T284" i="7" s="1"/>
  <c r="U284" i="7" s="1"/>
  <c r="H284" i="7"/>
  <c r="N283" i="7"/>
  <c r="T283" i="7" s="1"/>
  <c r="U283" i="7" s="1"/>
  <c r="H283" i="7"/>
  <c r="N282" i="7"/>
  <c r="T282" i="7" s="1"/>
  <c r="U282" i="7" s="1"/>
  <c r="H282" i="7"/>
  <c r="N281" i="7"/>
  <c r="T281" i="7" s="1"/>
  <c r="U281" i="7" s="1"/>
  <c r="H281" i="7"/>
  <c r="N280" i="7"/>
  <c r="T280" i="7" s="1"/>
  <c r="U280" i="7" s="1"/>
  <c r="H280" i="7"/>
  <c r="N279" i="7"/>
  <c r="T279" i="7" s="1"/>
  <c r="U279" i="7" s="1"/>
  <c r="H279" i="7"/>
  <c r="N278" i="7"/>
  <c r="T278" i="7" s="1"/>
  <c r="U278" i="7" s="1"/>
  <c r="H278" i="7"/>
  <c r="N277" i="7"/>
  <c r="T277" i="7" s="1"/>
  <c r="U277" i="7" s="1"/>
  <c r="H277" i="7"/>
  <c r="N276" i="7"/>
  <c r="T276" i="7" s="1"/>
  <c r="U276" i="7" s="1"/>
  <c r="H276" i="7"/>
  <c r="N275" i="7"/>
  <c r="T275" i="7" s="1"/>
  <c r="U275" i="7" s="1"/>
  <c r="H275" i="7"/>
  <c r="N274" i="7"/>
  <c r="T274" i="7" s="1"/>
  <c r="U274" i="7" s="1"/>
  <c r="H274" i="7"/>
  <c r="N273" i="7"/>
  <c r="T273" i="7" s="1"/>
  <c r="U273" i="7" s="1"/>
  <c r="H273" i="7"/>
  <c r="N272" i="7"/>
  <c r="T272" i="7" s="1"/>
  <c r="U272" i="7" s="1"/>
  <c r="H272" i="7"/>
  <c r="N271" i="7"/>
  <c r="T271" i="7" s="1"/>
  <c r="U271" i="7" s="1"/>
  <c r="H271" i="7"/>
  <c r="N270" i="7"/>
  <c r="T270" i="7" s="1"/>
  <c r="U270" i="7" s="1"/>
  <c r="H270" i="7"/>
  <c r="N269" i="7"/>
  <c r="T269" i="7" s="1"/>
  <c r="U269" i="7" s="1"/>
  <c r="H269" i="7"/>
  <c r="N268" i="7"/>
  <c r="T268" i="7" s="1"/>
  <c r="U268" i="7" s="1"/>
  <c r="H268" i="7"/>
  <c r="N267" i="7"/>
  <c r="T267" i="7" s="1"/>
  <c r="U267" i="7" s="1"/>
  <c r="H267" i="7"/>
  <c r="N266" i="7"/>
  <c r="T266" i="7" s="1"/>
  <c r="U266" i="7" s="1"/>
  <c r="H266" i="7"/>
  <c r="N265" i="7"/>
  <c r="T265" i="7" s="1"/>
  <c r="U265" i="7" s="1"/>
  <c r="H265" i="7"/>
  <c r="N264" i="7"/>
  <c r="T264" i="7" s="1"/>
  <c r="U264" i="7" s="1"/>
  <c r="H264" i="7"/>
  <c r="N263" i="7"/>
  <c r="T263" i="7" s="1"/>
  <c r="U263" i="7" s="1"/>
  <c r="H263" i="7"/>
  <c r="N262" i="7"/>
  <c r="T262" i="7" s="1"/>
  <c r="U262" i="7" s="1"/>
  <c r="H262" i="7"/>
  <c r="N261" i="7"/>
  <c r="T261" i="7" s="1"/>
  <c r="U261" i="7" s="1"/>
  <c r="H261" i="7"/>
  <c r="N260" i="7"/>
  <c r="T260" i="7" s="1"/>
  <c r="U260" i="7" s="1"/>
  <c r="H260" i="7"/>
  <c r="N259" i="7"/>
  <c r="T259" i="7" s="1"/>
  <c r="U259" i="7" s="1"/>
  <c r="H259" i="7"/>
  <c r="N258" i="7"/>
  <c r="T258" i="7" s="1"/>
  <c r="U258" i="7" s="1"/>
  <c r="H258" i="7"/>
  <c r="N257" i="7"/>
  <c r="T257" i="7" s="1"/>
  <c r="U257" i="7" s="1"/>
  <c r="H257" i="7"/>
  <c r="N256" i="7"/>
  <c r="T256" i="7" s="1"/>
  <c r="U256" i="7" s="1"/>
  <c r="H256" i="7"/>
  <c r="N255" i="7"/>
  <c r="T255" i="7" s="1"/>
  <c r="U255" i="7" s="1"/>
  <c r="H255" i="7"/>
  <c r="N254" i="7"/>
  <c r="T254" i="7" s="1"/>
  <c r="U254" i="7" s="1"/>
  <c r="H254" i="7"/>
  <c r="N253" i="7"/>
  <c r="T253" i="7" s="1"/>
  <c r="U253" i="7" s="1"/>
  <c r="H253" i="7"/>
  <c r="N252" i="7"/>
  <c r="T252" i="7" s="1"/>
  <c r="U252" i="7" s="1"/>
  <c r="H252" i="7"/>
  <c r="N251" i="7"/>
  <c r="T251" i="7" s="1"/>
  <c r="U251" i="7" s="1"/>
  <c r="H251" i="7"/>
  <c r="N250" i="7"/>
  <c r="T250" i="7" s="1"/>
  <c r="U250" i="7" s="1"/>
  <c r="H250" i="7"/>
  <c r="N249" i="7"/>
  <c r="T249" i="7" s="1"/>
  <c r="U249" i="7" s="1"/>
  <c r="H249" i="7"/>
  <c r="N248" i="7"/>
  <c r="T248" i="7" s="1"/>
  <c r="U248" i="7" s="1"/>
  <c r="H248" i="7"/>
  <c r="N247" i="7"/>
  <c r="T247" i="7" s="1"/>
  <c r="U247" i="7" s="1"/>
  <c r="H247" i="7"/>
  <c r="N246" i="7"/>
  <c r="T246" i="7" s="1"/>
  <c r="U246" i="7" s="1"/>
  <c r="H246" i="7"/>
  <c r="N245" i="7"/>
  <c r="T245" i="7" s="1"/>
  <c r="U245" i="7" s="1"/>
  <c r="H245" i="7"/>
  <c r="N244" i="7"/>
  <c r="T244" i="7" s="1"/>
  <c r="U244" i="7" s="1"/>
  <c r="H244" i="7"/>
  <c r="N243" i="7"/>
  <c r="T243" i="7" s="1"/>
  <c r="U243" i="7" s="1"/>
  <c r="H243" i="7"/>
  <c r="N242" i="7"/>
  <c r="T242" i="7" s="1"/>
  <c r="U242" i="7" s="1"/>
  <c r="H242" i="7"/>
  <c r="N241" i="7"/>
  <c r="T241" i="7" s="1"/>
  <c r="U241" i="7" s="1"/>
  <c r="H241" i="7"/>
  <c r="N240" i="7"/>
  <c r="T240" i="7" s="1"/>
  <c r="U240" i="7" s="1"/>
  <c r="H240" i="7"/>
  <c r="N239" i="7"/>
  <c r="T239" i="7" s="1"/>
  <c r="U239" i="7" s="1"/>
  <c r="H239" i="7"/>
  <c r="N238" i="7"/>
  <c r="T238" i="7" s="1"/>
  <c r="U238" i="7" s="1"/>
  <c r="H238" i="7"/>
  <c r="N237" i="7"/>
  <c r="T237" i="7" s="1"/>
  <c r="U237" i="7" s="1"/>
  <c r="H237" i="7"/>
  <c r="N236" i="7"/>
  <c r="T236" i="7" s="1"/>
  <c r="U236" i="7" s="1"/>
  <c r="H236" i="7"/>
  <c r="N235" i="7"/>
  <c r="T235" i="7" s="1"/>
  <c r="U235" i="7" s="1"/>
  <c r="H235" i="7"/>
  <c r="N234" i="7"/>
  <c r="T234" i="7" s="1"/>
  <c r="U234" i="7" s="1"/>
  <c r="H234" i="7"/>
  <c r="N233" i="7"/>
  <c r="T233" i="7" s="1"/>
  <c r="U233" i="7" s="1"/>
  <c r="H233" i="7"/>
  <c r="N232" i="7"/>
  <c r="T232" i="7" s="1"/>
  <c r="U232" i="7" s="1"/>
  <c r="H232" i="7"/>
  <c r="N231" i="7"/>
  <c r="T231" i="7" s="1"/>
  <c r="U231" i="7" s="1"/>
  <c r="H231" i="7"/>
  <c r="N230" i="7"/>
  <c r="T230" i="7" s="1"/>
  <c r="U230" i="7" s="1"/>
  <c r="H230" i="7"/>
  <c r="N229" i="7"/>
  <c r="T229" i="7" s="1"/>
  <c r="U229" i="7" s="1"/>
  <c r="H229" i="7"/>
  <c r="N228" i="7"/>
  <c r="T228" i="7" s="1"/>
  <c r="U228" i="7" s="1"/>
  <c r="H228" i="7"/>
  <c r="N227" i="7"/>
  <c r="T227" i="7" s="1"/>
  <c r="U227" i="7" s="1"/>
  <c r="H227" i="7"/>
  <c r="N226" i="7"/>
  <c r="T226" i="7" s="1"/>
  <c r="U226" i="7" s="1"/>
  <c r="H226" i="7"/>
  <c r="N225" i="7"/>
  <c r="T225" i="7" s="1"/>
  <c r="U225" i="7" s="1"/>
  <c r="H225" i="7"/>
  <c r="N224" i="7"/>
  <c r="T224" i="7" s="1"/>
  <c r="U224" i="7" s="1"/>
  <c r="H224" i="7"/>
  <c r="N223" i="7"/>
  <c r="T223" i="7" s="1"/>
  <c r="U223" i="7" s="1"/>
  <c r="H223" i="7"/>
  <c r="N222" i="7"/>
  <c r="T222" i="7" s="1"/>
  <c r="U222" i="7" s="1"/>
  <c r="H222" i="7"/>
  <c r="N221" i="7"/>
  <c r="T221" i="7" s="1"/>
  <c r="U221" i="7" s="1"/>
  <c r="H221" i="7"/>
  <c r="N220" i="7"/>
  <c r="T220" i="7" s="1"/>
  <c r="U220" i="7" s="1"/>
  <c r="H220" i="7"/>
  <c r="N219" i="7"/>
  <c r="T219" i="7" s="1"/>
  <c r="U219" i="7" s="1"/>
  <c r="H219" i="7"/>
  <c r="N218" i="7"/>
  <c r="T218" i="7" s="1"/>
  <c r="U218" i="7" s="1"/>
  <c r="H218" i="7"/>
  <c r="N217" i="7"/>
  <c r="T217" i="7" s="1"/>
  <c r="U217" i="7" s="1"/>
  <c r="H217" i="7"/>
  <c r="N216" i="7"/>
  <c r="T216" i="7" s="1"/>
  <c r="U216" i="7" s="1"/>
  <c r="H216" i="7"/>
  <c r="N215" i="7"/>
  <c r="T215" i="7" s="1"/>
  <c r="U215" i="7" s="1"/>
  <c r="H215" i="7"/>
  <c r="N214" i="7"/>
  <c r="T214" i="7" s="1"/>
  <c r="U214" i="7" s="1"/>
  <c r="H214" i="7"/>
  <c r="N213" i="7"/>
  <c r="T213" i="7" s="1"/>
  <c r="U213" i="7" s="1"/>
  <c r="H213" i="7"/>
  <c r="N212" i="7"/>
  <c r="T212" i="7" s="1"/>
  <c r="U212" i="7" s="1"/>
  <c r="H212" i="7"/>
  <c r="N211" i="7"/>
  <c r="T211" i="7" s="1"/>
  <c r="U211" i="7" s="1"/>
  <c r="H211" i="7"/>
  <c r="N210" i="7"/>
  <c r="T210" i="7" s="1"/>
  <c r="U210" i="7" s="1"/>
  <c r="H210" i="7"/>
  <c r="N209" i="7"/>
  <c r="T209" i="7" s="1"/>
  <c r="U209" i="7" s="1"/>
  <c r="H209" i="7"/>
  <c r="N208" i="7"/>
  <c r="T208" i="7" s="1"/>
  <c r="U208" i="7" s="1"/>
  <c r="H208" i="7"/>
  <c r="N207" i="7"/>
  <c r="T207" i="7" s="1"/>
  <c r="U207" i="7" s="1"/>
  <c r="H207" i="7"/>
  <c r="N206" i="7"/>
  <c r="T206" i="7" s="1"/>
  <c r="U206" i="7" s="1"/>
  <c r="H206" i="7"/>
  <c r="N205" i="7"/>
  <c r="T205" i="7" s="1"/>
  <c r="U205" i="7" s="1"/>
  <c r="H205" i="7"/>
  <c r="N204" i="7"/>
  <c r="T204" i="7" s="1"/>
  <c r="U204" i="7" s="1"/>
  <c r="H204" i="7"/>
  <c r="N203" i="7"/>
  <c r="T203" i="7" s="1"/>
  <c r="U203" i="7" s="1"/>
  <c r="H203" i="7"/>
  <c r="N202" i="7"/>
  <c r="T202" i="7" s="1"/>
  <c r="U202" i="7" s="1"/>
  <c r="H202" i="7"/>
  <c r="N201" i="7"/>
  <c r="T201" i="7" s="1"/>
  <c r="U201" i="7" s="1"/>
  <c r="H201" i="7"/>
  <c r="N200" i="7"/>
  <c r="T200" i="7" s="1"/>
  <c r="U200" i="7" s="1"/>
  <c r="H200" i="7"/>
  <c r="N199" i="7"/>
  <c r="T199" i="7" s="1"/>
  <c r="U199" i="7" s="1"/>
  <c r="H199" i="7"/>
  <c r="N198" i="7"/>
  <c r="T198" i="7" s="1"/>
  <c r="U198" i="7" s="1"/>
  <c r="H198" i="7"/>
  <c r="N197" i="7"/>
  <c r="T197" i="7" s="1"/>
  <c r="U197" i="7" s="1"/>
  <c r="H197" i="7"/>
  <c r="N196" i="7"/>
  <c r="T196" i="7" s="1"/>
  <c r="U196" i="7" s="1"/>
  <c r="H196" i="7"/>
  <c r="N195" i="7"/>
  <c r="T195" i="7" s="1"/>
  <c r="U195" i="7" s="1"/>
  <c r="H195" i="7"/>
  <c r="N194" i="7"/>
  <c r="T194" i="7" s="1"/>
  <c r="U194" i="7" s="1"/>
  <c r="H194" i="7"/>
  <c r="N193" i="7"/>
  <c r="T193" i="7" s="1"/>
  <c r="U193" i="7" s="1"/>
  <c r="H193" i="7"/>
  <c r="N192" i="7"/>
  <c r="T192" i="7" s="1"/>
  <c r="U192" i="7" s="1"/>
  <c r="H192" i="7"/>
  <c r="N191" i="7"/>
  <c r="T191" i="7" s="1"/>
  <c r="U191" i="7" s="1"/>
  <c r="H191" i="7"/>
  <c r="N190" i="7"/>
  <c r="T190" i="7" s="1"/>
  <c r="U190" i="7" s="1"/>
  <c r="H190" i="7"/>
  <c r="N189" i="7"/>
  <c r="T189" i="7" s="1"/>
  <c r="U189" i="7" s="1"/>
  <c r="H189" i="7"/>
  <c r="N188" i="7"/>
  <c r="T188" i="7" s="1"/>
  <c r="U188" i="7" s="1"/>
  <c r="H188" i="7"/>
  <c r="N187" i="7"/>
  <c r="T187" i="7" s="1"/>
  <c r="U187" i="7" s="1"/>
  <c r="H187" i="7"/>
  <c r="N186" i="7"/>
  <c r="T186" i="7" s="1"/>
  <c r="U186" i="7" s="1"/>
  <c r="H186" i="7"/>
  <c r="N185" i="7"/>
  <c r="T185" i="7" s="1"/>
  <c r="U185" i="7" s="1"/>
  <c r="H185" i="7"/>
  <c r="N184" i="7"/>
  <c r="T184" i="7" s="1"/>
  <c r="U184" i="7" s="1"/>
  <c r="H184" i="7"/>
  <c r="N183" i="7"/>
  <c r="T183" i="7" s="1"/>
  <c r="U183" i="7" s="1"/>
  <c r="H183" i="7"/>
  <c r="N182" i="7"/>
  <c r="T182" i="7" s="1"/>
  <c r="U182" i="7" s="1"/>
  <c r="H182" i="7"/>
  <c r="N181" i="7"/>
  <c r="T181" i="7" s="1"/>
  <c r="U181" i="7" s="1"/>
  <c r="H181" i="7"/>
  <c r="N180" i="7"/>
  <c r="T180" i="7" s="1"/>
  <c r="U180" i="7" s="1"/>
  <c r="H180" i="7"/>
  <c r="N179" i="7"/>
  <c r="T179" i="7" s="1"/>
  <c r="U179" i="7" s="1"/>
  <c r="H179" i="7"/>
  <c r="N178" i="7"/>
  <c r="T178" i="7" s="1"/>
  <c r="U178" i="7" s="1"/>
  <c r="H178" i="7"/>
  <c r="N177" i="7"/>
  <c r="T177" i="7" s="1"/>
  <c r="U177" i="7" s="1"/>
  <c r="H177" i="7"/>
  <c r="N176" i="7"/>
  <c r="T176" i="7" s="1"/>
  <c r="U176" i="7" s="1"/>
  <c r="H176" i="7"/>
  <c r="N175" i="7"/>
  <c r="T175" i="7" s="1"/>
  <c r="U175" i="7" s="1"/>
  <c r="H175" i="7"/>
  <c r="N174" i="7"/>
  <c r="T174" i="7" s="1"/>
  <c r="U174" i="7" s="1"/>
  <c r="H174" i="7"/>
  <c r="N173" i="7"/>
  <c r="T173" i="7" s="1"/>
  <c r="U173" i="7" s="1"/>
  <c r="H173" i="7"/>
  <c r="N172" i="7"/>
  <c r="T172" i="7" s="1"/>
  <c r="U172" i="7" s="1"/>
  <c r="H172" i="7"/>
  <c r="N171" i="7"/>
  <c r="T171" i="7" s="1"/>
  <c r="U171" i="7" s="1"/>
  <c r="H171" i="7"/>
  <c r="N170" i="7"/>
  <c r="T170" i="7" s="1"/>
  <c r="U170" i="7" s="1"/>
  <c r="H170" i="7"/>
  <c r="N169" i="7"/>
  <c r="T169" i="7" s="1"/>
  <c r="U169" i="7" s="1"/>
  <c r="H169" i="7"/>
  <c r="N168" i="7"/>
  <c r="T168" i="7" s="1"/>
  <c r="U168" i="7" s="1"/>
  <c r="H168" i="7"/>
  <c r="N167" i="7"/>
  <c r="T167" i="7" s="1"/>
  <c r="U167" i="7" s="1"/>
  <c r="H167" i="7"/>
  <c r="N166" i="7"/>
  <c r="T166" i="7" s="1"/>
  <c r="U166" i="7" s="1"/>
  <c r="H166" i="7"/>
  <c r="N165" i="7"/>
  <c r="T165" i="7" s="1"/>
  <c r="U165" i="7" s="1"/>
  <c r="H165" i="7"/>
  <c r="N164" i="7"/>
  <c r="T164" i="7" s="1"/>
  <c r="U164" i="7" s="1"/>
  <c r="H164" i="7"/>
  <c r="N163" i="7"/>
  <c r="T163" i="7" s="1"/>
  <c r="U163" i="7" s="1"/>
  <c r="H163" i="7"/>
  <c r="N162" i="7"/>
  <c r="T162" i="7" s="1"/>
  <c r="U162" i="7" s="1"/>
  <c r="H162" i="7"/>
  <c r="N161" i="7"/>
  <c r="T161" i="7" s="1"/>
  <c r="U161" i="7" s="1"/>
  <c r="H161" i="7"/>
  <c r="N160" i="7"/>
  <c r="T160" i="7" s="1"/>
  <c r="U160" i="7" s="1"/>
  <c r="H160" i="7"/>
  <c r="N159" i="7"/>
  <c r="T159" i="7" s="1"/>
  <c r="U159" i="7" s="1"/>
  <c r="H159" i="7"/>
  <c r="N158" i="7"/>
  <c r="T158" i="7" s="1"/>
  <c r="U158" i="7" s="1"/>
  <c r="H158" i="7"/>
  <c r="N157" i="7"/>
  <c r="T157" i="7" s="1"/>
  <c r="U157" i="7" s="1"/>
  <c r="H157" i="7"/>
  <c r="N156" i="7"/>
  <c r="T156" i="7" s="1"/>
  <c r="U156" i="7" s="1"/>
  <c r="H156" i="7"/>
  <c r="N155" i="7"/>
  <c r="T155" i="7" s="1"/>
  <c r="U155" i="7" s="1"/>
  <c r="H155" i="7"/>
  <c r="N154" i="7"/>
  <c r="T154" i="7" s="1"/>
  <c r="U154" i="7" s="1"/>
  <c r="H154" i="7"/>
  <c r="N153" i="7"/>
  <c r="T153" i="7" s="1"/>
  <c r="U153" i="7" s="1"/>
  <c r="H153" i="7"/>
  <c r="N152" i="7"/>
  <c r="T152" i="7" s="1"/>
  <c r="U152" i="7" s="1"/>
  <c r="H152" i="7"/>
  <c r="N151" i="7"/>
  <c r="T151" i="7" s="1"/>
  <c r="U151" i="7" s="1"/>
  <c r="H151" i="7"/>
  <c r="N150" i="7"/>
  <c r="T150" i="7" s="1"/>
  <c r="U150" i="7" s="1"/>
  <c r="H150" i="7"/>
  <c r="N149" i="7"/>
  <c r="T149" i="7" s="1"/>
  <c r="U149" i="7" s="1"/>
  <c r="H149" i="7"/>
  <c r="N148" i="7"/>
  <c r="T148" i="7" s="1"/>
  <c r="U148" i="7" s="1"/>
  <c r="H148" i="7"/>
  <c r="N147" i="7"/>
  <c r="T147" i="7" s="1"/>
  <c r="U147" i="7" s="1"/>
  <c r="H147" i="7"/>
  <c r="N146" i="7"/>
  <c r="T146" i="7" s="1"/>
  <c r="U146" i="7" s="1"/>
  <c r="H146" i="7"/>
  <c r="N145" i="7"/>
  <c r="T145" i="7" s="1"/>
  <c r="U145" i="7" s="1"/>
  <c r="H145" i="7"/>
  <c r="N144" i="7"/>
  <c r="T144" i="7" s="1"/>
  <c r="U144" i="7" s="1"/>
  <c r="H144" i="7"/>
  <c r="N143" i="7"/>
  <c r="T143" i="7" s="1"/>
  <c r="U143" i="7" s="1"/>
  <c r="H143" i="7"/>
  <c r="N142" i="7"/>
  <c r="T142" i="7" s="1"/>
  <c r="U142" i="7" s="1"/>
  <c r="H142" i="7"/>
  <c r="N141" i="7"/>
  <c r="T141" i="7" s="1"/>
  <c r="U141" i="7" s="1"/>
  <c r="H141" i="7"/>
  <c r="N140" i="7"/>
  <c r="T140" i="7" s="1"/>
  <c r="U140" i="7" s="1"/>
  <c r="H140" i="7"/>
  <c r="N139" i="7"/>
  <c r="T139" i="7" s="1"/>
  <c r="U139" i="7" s="1"/>
  <c r="H139" i="7"/>
  <c r="N138" i="7"/>
  <c r="T138" i="7" s="1"/>
  <c r="U138" i="7" s="1"/>
  <c r="H138" i="7"/>
  <c r="N137" i="7"/>
  <c r="T137" i="7" s="1"/>
  <c r="U137" i="7" s="1"/>
  <c r="H137" i="7"/>
  <c r="N136" i="7"/>
  <c r="T136" i="7" s="1"/>
  <c r="U136" i="7" s="1"/>
  <c r="H136" i="7"/>
  <c r="N135" i="7"/>
  <c r="T135" i="7" s="1"/>
  <c r="U135" i="7" s="1"/>
  <c r="H135" i="7"/>
  <c r="N134" i="7"/>
  <c r="T134" i="7" s="1"/>
  <c r="U134" i="7" s="1"/>
  <c r="H134" i="7"/>
  <c r="N133" i="7"/>
  <c r="T133" i="7" s="1"/>
  <c r="U133" i="7" s="1"/>
  <c r="H133" i="7"/>
  <c r="N132" i="7"/>
  <c r="T132" i="7" s="1"/>
  <c r="U132" i="7" s="1"/>
  <c r="H132" i="7"/>
  <c r="N131" i="7"/>
  <c r="T131" i="7" s="1"/>
  <c r="U131" i="7" s="1"/>
  <c r="H131" i="7"/>
  <c r="N130" i="7"/>
  <c r="T130" i="7" s="1"/>
  <c r="U130" i="7" s="1"/>
  <c r="H130" i="7"/>
  <c r="N129" i="7"/>
  <c r="T129" i="7" s="1"/>
  <c r="U129" i="7" s="1"/>
  <c r="H129" i="7"/>
  <c r="N128" i="7"/>
  <c r="T128" i="7" s="1"/>
  <c r="U128" i="7" s="1"/>
  <c r="H128" i="7"/>
  <c r="N127" i="7"/>
  <c r="T127" i="7" s="1"/>
  <c r="U127" i="7" s="1"/>
  <c r="H127" i="7"/>
  <c r="N126" i="7"/>
  <c r="T126" i="7" s="1"/>
  <c r="U126" i="7" s="1"/>
  <c r="H126" i="7"/>
  <c r="N125" i="7"/>
  <c r="T125" i="7" s="1"/>
  <c r="U125" i="7" s="1"/>
  <c r="H125" i="7"/>
  <c r="N124" i="7"/>
  <c r="T124" i="7" s="1"/>
  <c r="U124" i="7" s="1"/>
  <c r="H124" i="7"/>
  <c r="N123" i="7"/>
  <c r="T123" i="7" s="1"/>
  <c r="U123" i="7" s="1"/>
  <c r="H123" i="7"/>
  <c r="N122" i="7"/>
  <c r="T122" i="7" s="1"/>
  <c r="U122" i="7" s="1"/>
  <c r="H122" i="7"/>
  <c r="N121" i="7"/>
  <c r="T121" i="7" s="1"/>
  <c r="U121" i="7" s="1"/>
  <c r="H121" i="7"/>
  <c r="N120" i="7"/>
  <c r="T120" i="7" s="1"/>
  <c r="U120" i="7" s="1"/>
  <c r="H120" i="7"/>
  <c r="N119" i="7"/>
  <c r="T119" i="7" s="1"/>
  <c r="U119" i="7" s="1"/>
  <c r="H119" i="7"/>
  <c r="N118" i="7"/>
  <c r="T118" i="7" s="1"/>
  <c r="U118" i="7" s="1"/>
  <c r="H118" i="7"/>
  <c r="N117" i="7"/>
  <c r="T117" i="7" s="1"/>
  <c r="U117" i="7" s="1"/>
  <c r="H117" i="7"/>
  <c r="N116" i="7"/>
  <c r="T116" i="7" s="1"/>
  <c r="U116" i="7" s="1"/>
  <c r="H116" i="7"/>
  <c r="N115" i="7"/>
  <c r="T115" i="7" s="1"/>
  <c r="U115" i="7" s="1"/>
  <c r="H115" i="7"/>
  <c r="N114" i="7"/>
  <c r="T114" i="7" s="1"/>
  <c r="U114" i="7" s="1"/>
  <c r="H114" i="7"/>
  <c r="N113" i="7"/>
  <c r="T113" i="7" s="1"/>
  <c r="U113" i="7" s="1"/>
  <c r="H113" i="7"/>
  <c r="N112" i="7"/>
  <c r="T112" i="7" s="1"/>
  <c r="U112" i="7" s="1"/>
  <c r="H112" i="7"/>
  <c r="N111" i="7"/>
  <c r="T111" i="7" s="1"/>
  <c r="U111" i="7" s="1"/>
  <c r="H111" i="7"/>
  <c r="N110" i="7"/>
  <c r="T110" i="7" s="1"/>
  <c r="U110" i="7" s="1"/>
  <c r="H110" i="7"/>
  <c r="N109" i="7"/>
  <c r="T109" i="7" s="1"/>
  <c r="U109" i="7" s="1"/>
  <c r="H109" i="7"/>
  <c r="N108" i="7"/>
  <c r="T108" i="7" s="1"/>
  <c r="U108" i="7" s="1"/>
  <c r="H108" i="7"/>
  <c r="N107" i="7"/>
  <c r="T107" i="7" s="1"/>
  <c r="U107" i="7" s="1"/>
  <c r="H107" i="7"/>
  <c r="N106" i="7"/>
  <c r="T106" i="7" s="1"/>
  <c r="U106" i="7" s="1"/>
  <c r="H106" i="7"/>
  <c r="N105" i="7"/>
  <c r="T105" i="7" s="1"/>
  <c r="U105" i="7" s="1"/>
  <c r="H105" i="7"/>
  <c r="N104" i="7"/>
  <c r="T104" i="7" s="1"/>
  <c r="U104" i="7" s="1"/>
  <c r="H104" i="7"/>
  <c r="N103" i="7"/>
  <c r="T103" i="7" s="1"/>
  <c r="U103" i="7" s="1"/>
  <c r="H103" i="7"/>
  <c r="N102" i="7"/>
  <c r="T102" i="7" s="1"/>
  <c r="U102" i="7" s="1"/>
  <c r="H102" i="7"/>
  <c r="N101" i="7"/>
  <c r="T101" i="7" s="1"/>
  <c r="U101" i="7" s="1"/>
  <c r="H101" i="7"/>
  <c r="N100" i="7"/>
  <c r="T100" i="7" s="1"/>
  <c r="U100" i="7" s="1"/>
  <c r="H100" i="7"/>
  <c r="N99" i="7"/>
  <c r="T99" i="7" s="1"/>
  <c r="U99" i="7" s="1"/>
  <c r="H99" i="7"/>
  <c r="N98" i="7"/>
  <c r="T98" i="7" s="1"/>
  <c r="U98" i="7" s="1"/>
  <c r="H98" i="7"/>
  <c r="N97" i="7"/>
  <c r="T97" i="7" s="1"/>
  <c r="U97" i="7" s="1"/>
  <c r="H97" i="7"/>
  <c r="N96" i="7"/>
  <c r="T96" i="7" s="1"/>
  <c r="U96" i="7" s="1"/>
  <c r="H96" i="7"/>
  <c r="N95" i="7"/>
  <c r="T95" i="7" s="1"/>
  <c r="U95" i="7" s="1"/>
  <c r="H95" i="7"/>
  <c r="N94" i="7"/>
  <c r="T94" i="7" s="1"/>
  <c r="U94" i="7" s="1"/>
  <c r="H94" i="7"/>
  <c r="N93" i="7"/>
  <c r="T93" i="7" s="1"/>
  <c r="U93" i="7" s="1"/>
  <c r="H93" i="7"/>
  <c r="N92" i="7"/>
  <c r="T92" i="7" s="1"/>
  <c r="U92" i="7" s="1"/>
  <c r="H92" i="7"/>
  <c r="N91" i="7"/>
  <c r="T91" i="7" s="1"/>
  <c r="U91" i="7" s="1"/>
  <c r="H91" i="7"/>
  <c r="N90" i="7"/>
  <c r="T90" i="7" s="1"/>
  <c r="U90" i="7" s="1"/>
  <c r="H90" i="7"/>
  <c r="N89" i="7"/>
  <c r="T89" i="7" s="1"/>
  <c r="U89" i="7" s="1"/>
  <c r="H89" i="7"/>
  <c r="N88" i="7"/>
  <c r="T88" i="7" s="1"/>
  <c r="U88" i="7" s="1"/>
  <c r="H88" i="7"/>
  <c r="N87" i="7"/>
  <c r="T87" i="7" s="1"/>
  <c r="U87" i="7" s="1"/>
  <c r="H87" i="7"/>
  <c r="N86" i="7"/>
  <c r="T86" i="7" s="1"/>
  <c r="U86" i="7" s="1"/>
  <c r="H86" i="7"/>
  <c r="N85" i="7"/>
  <c r="T85" i="7" s="1"/>
  <c r="U85" i="7" s="1"/>
  <c r="H85" i="7"/>
  <c r="N84" i="7"/>
  <c r="T84" i="7" s="1"/>
  <c r="U84" i="7" s="1"/>
  <c r="H84" i="7"/>
  <c r="N83" i="7"/>
  <c r="T83" i="7" s="1"/>
  <c r="U83" i="7" s="1"/>
  <c r="H83" i="7"/>
  <c r="N82" i="7"/>
  <c r="T82" i="7" s="1"/>
  <c r="U82" i="7" s="1"/>
  <c r="H82" i="7"/>
  <c r="N81" i="7"/>
  <c r="T81" i="7" s="1"/>
  <c r="U81" i="7" s="1"/>
  <c r="H81" i="7"/>
  <c r="N80" i="7"/>
  <c r="T80" i="7" s="1"/>
  <c r="U80" i="7" s="1"/>
  <c r="H80" i="7"/>
  <c r="N79" i="7"/>
  <c r="T79" i="7" s="1"/>
  <c r="U79" i="7" s="1"/>
  <c r="H79" i="7"/>
  <c r="N78" i="7"/>
  <c r="T78" i="7" s="1"/>
  <c r="U78" i="7" s="1"/>
  <c r="H78" i="7"/>
  <c r="N77" i="7"/>
  <c r="T77" i="7" s="1"/>
  <c r="U77" i="7" s="1"/>
  <c r="H77" i="7"/>
  <c r="N76" i="7"/>
  <c r="T76" i="7" s="1"/>
  <c r="U76" i="7" s="1"/>
  <c r="H76" i="7"/>
  <c r="N75" i="7"/>
  <c r="T75" i="7" s="1"/>
  <c r="U75" i="7" s="1"/>
  <c r="H75" i="7"/>
  <c r="N74" i="7"/>
  <c r="T74" i="7" s="1"/>
  <c r="U74" i="7" s="1"/>
  <c r="H74" i="7"/>
  <c r="N73" i="7"/>
  <c r="T73" i="7" s="1"/>
  <c r="U73" i="7" s="1"/>
  <c r="H73" i="7"/>
  <c r="N72" i="7"/>
  <c r="T72" i="7" s="1"/>
  <c r="U72" i="7" s="1"/>
  <c r="H72" i="7"/>
  <c r="N71" i="7"/>
  <c r="T71" i="7" s="1"/>
  <c r="U71" i="7" s="1"/>
  <c r="H71" i="7"/>
  <c r="N70" i="7"/>
  <c r="T70" i="7" s="1"/>
  <c r="U70" i="7" s="1"/>
  <c r="H70" i="7"/>
  <c r="N69" i="7"/>
  <c r="T69" i="7" s="1"/>
  <c r="U69" i="7" s="1"/>
  <c r="H69" i="7"/>
  <c r="N68" i="7"/>
  <c r="T68" i="7" s="1"/>
  <c r="U68" i="7" s="1"/>
  <c r="H68" i="7"/>
  <c r="N67" i="7"/>
  <c r="T67" i="7" s="1"/>
  <c r="U67" i="7" s="1"/>
  <c r="H67" i="7"/>
  <c r="N66" i="7"/>
  <c r="T66" i="7" s="1"/>
  <c r="U66" i="7" s="1"/>
  <c r="H66" i="7"/>
  <c r="N65" i="7"/>
  <c r="T65" i="7" s="1"/>
  <c r="U65" i="7" s="1"/>
  <c r="H65" i="7"/>
  <c r="N64" i="7"/>
  <c r="T64" i="7" s="1"/>
  <c r="U64" i="7" s="1"/>
  <c r="H64" i="7"/>
  <c r="N63" i="7"/>
  <c r="T63" i="7" s="1"/>
  <c r="U63" i="7" s="1"/>
  <c r="H63" i="7"/>
  <c r="N62" i="7"/>
  <c r="T62" i="7" s="1"/>
  <c r="U62" i="7" s="1"/>
  <c r="H62" i="7"/>
  <c r="N61" i="7"/>
  <c r="T61" i="7" s="1"/>
  <c r="U61" i="7" s="1"/>
  <c r="H61" i="7"/>
  <c r="N60" i="7"/>
  <c r="T60" i="7" s="1"/>
  <c r="U60" i="7" s="1"/>
  <c r="H60" i="7"/>
  <c r="N59" i="7"/>
  <c r="T59" i="7" s="1"/>
  <c r="U59" i="7" s="1"/>
  <c r="H59" i="7"/>
  <c r="N58" i="7"/>
  <c r="T58" i="7" s="1"/>
  <c r="U58" i="7" s="1"/>
  <c r="H58" i="7"/>
  <c r="N57" i="7"/>
  <c r="T57" i="7" s="1"/>
  <c r="U57" i="7" s="1"/>
  <c r="H57" i="7"/>
  <c r="N56" i="7"/>
  <c r="T56" i="7" s="1"/>
  <c r="U56" i="7" s="1"/>
  <c r="H56" i="7"/>
  <c r="N55" i="7"/>
  <c r="T55" i="7" s="1"/>
  <c r="U55" i="7" s="1"/>
  <c r="H55" i="7"/>
  <c r="N54" i="7"/>
  <c r="T54" i="7" s="1"/>
  <c r="U54" i="7" s="1"/>
  <c r="H54" i="7"/>
  <c r="N53" i="7"/>
  <c r="T53" i="7" s="1"/>
  <c r="U53" i="7" s="1"/>
  <c r="H53" i="7"/>
  <c r="N52" i="7"/>
  <c r="T52" i="7" s="1"/>
  <c r="U52" i="7" s="1"/>
  <c r="H52" i="7"/>
  <c r="N51" i="7"/>
  <c r="T51" i="7" s="1"/>
  <c r="U51" i="7" s="1"/>
  <c r="H51" i="7"/>
  <c r="N50" i="7"/>
  <c r="T50" i="7" s="1"/>
  <c r="U50" i="7" s="1"/>
  <c r="H50" i="7"/>
  <c r="N49" i="7"/>
  <c r="T49" i="7" s="1"/>
  <c r="U49" i="7" s="1"/>
  <c r="H49" i="7"/>
  <c r="N48" i="7"/>
  <c r="T48" i="7" s="1"/>
  <c r="U48" i="7" s="1"/>
  <c r="H48" i="7"/>
  <c r="N47" i="7"/>
  <c r="T47" i="7" s="1"/>
  <c r="U47" i="7" s="1"/>
  <c r="H47" i="7"/>
  <c r="N46" i="7"/>
  <c r="T46" i="7" s="1"/>
  <c r="U46" i="7" s="1"/>
  <c r="H46" i="7"/>
  <c r="N45" i="7"/>
  <c r="T45" i="7" s="1"/>
  <c r="U45" i="7" s="1"/>
  <c r="H45" i="7"/>
  <c r="N44" i="7"/>
  <c r="T44" i="7" s="1"/>
  <c r="U44" i="7" s="1"/>
  <c r="H44" i="7"/>
  <c r="N43" i="7"/>
  <c r="T43" i="7" s="1"/>
  <c r="U43" i="7" s="1"/>
  <c r="H43" i="7"/>
  <c r="N42" i="7"/>
  <c r="T42" i="7" s="1"/>
  <c r="U42" i="7" s="1"/>
  <c r="H42" i="7"/>
  <c r="N41" i="7"/>
  <c r="T41" i="7" s="1"/>
  <c r="U41" i="7" s="1"/>
  <c r="H41" i="7"/>
  <c r="N40" i="7"/>
  <c r="T40" i="7" s="1"/>
  <c r="U40" i="7" s="1"/>
  <c r="H40" i="7"/>
  <c r="N39" i="7"/>
  <c r="T39" i="7" s="1"/>
  <c r="U39" i="7" s="1"/>
  <c r="H39" i="7"/>
  <c r="N38" i="7"/>
  <c r="T38" i="7" s="1"/>
  <c r="U38" i="7" s="1"/>
  <c r="H38" i="7"/>
  <c r="N37" i="7"/>
  <c r="T37" i="7" s="1"/>
  <c r="U37" i="7" s="1"/>
  <c r="H37" i="7"/>
  <c r="N36" i="7"/>
  <c r="T36" i="7" s="1"/>
  <c r="U36" i="7" s="1"/>
  <c r="H36" i="7"/>
  <c r="N35" i="7"/>
  <c r="T35" i="7" s="1"/>
  <c r="U35" i="7" s="1"/>
  <c r="H35" i="7"/>
  <c r="N34" i="7"/>
  <c r="T34" i="7" s="1"/>
  <c r="U34" i="7" s="1"/>
  <c r="H34" i="7"/>
  <c r="N33" i="7"/>
  <c r="T33" i="7" s="1"/>
  <c r="U33" i="7" s="1"/>
  <c r="H33" i="7"/>
  <c r="N32" i="7"/>
  <c r="T32" i="7" s="1"/>
  <c r="U32" i="7" s="1"/>
  <c r="H32" i="7"/>
  <c r="N31" i="7"/>
  <c r="T31" i="7" s="1"/>
  <c r="U31" i="7" s="1"/>
  <c r="H31" i="7"/>
  <c r="N30" i="7"/>
  <c r="T30" i="7" s="1"/>
  <c r="U30" i="7" s="1"/>
  <c r="H30" i="7"/>
  <c r="N29" i="7"/>
  <c r="T29" i="7" s="1"/>
  <c r="U29" i="7" s="1"/>
  <c r="H29" i="7"/>
  <c r="N28" i="7"/>
  <c r="T28" i="7" s="1"/>
  <c r="U28" i="7" s="1"/>
  <c r="H28" i="7"/>
  <c r="N27" i="7"/>
  <c r="H27" i="7"/>
  <c r="N26" i="7"/>
  <c r="H26" i="7"/>
  <c r="N25" i="7"/>
  <c r="H25" i="7"/>
  <c r="N24" i="7"/>
  <c r="H24" i="7"/>
  <c r="N23" i="7"/>
  <c r="H23" i="7"/>
  <c r="N22" i="7"/>
  <c r="H22" i="7"/>
  <c r="N21" i="7"/>
  <c r="H21" i="7"/>
  <c r="N20" i="7"/>
  <c r="H20" i="7"/>
  <c r="N19" i="7"/>
  <c r="H19" i="7"/>
  <c r="N18" i="7"/>
  <c r="H18" i="7"/>
  <c r="N17" i="7"/>
  <c r="H17" i="7"/>
  <c r="N16" i="7"/>
  <c r="H16" i="7"/>
  <c r="N15" i="7"/>
  <c r="H15" i="7"/>
  <c r="N14" i="7"/>
  <c r="H14" i="7"/>
  <c r="N13" i="7"/>
  <c r="H13" i="7"/>
  <c r="T6" i="7"/>
  <c r="U6" i="7" s="1"/>
  <c r="T5" i="7" l="1"/>
  <c r="U5" i="7" s="1"/>
  <c r="D6" i="15"/>
  <c r="C130" i="7"/>
  <c r="C129" i="7"/>
  <c r="C128" i="7"/>
  <c r="C127" i="7"/>
  <c r="C126" i="7"/>
  <c r="C125" i="7"/>
  <c r="C124" i="7"/>
  <c r="C123" i="7"/>
  <c r="C122" i="7"/>
  <c r="C121" i="7"/>
  <c r="C120" i="7"/>
  <c r="C119" i="7"/>
  <c r="C118" i="7"/>
  <c r="C117" i="7"/>
  <c r="C116" i="7"/>
  <c r="C115" i="7"/>
  <c r="C114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C84" i="7"/>
  <c r="C83" i="7"/>
  <c r="C82" i="7"/>
  <c r="C81" i="7"/>
  <c r="C80" i="7"/>
  <c r="C79" i="7"/>
  <c r="C78" i="7"/>
  <c r="C77" i="7"/>
  <c r="C76" i="7"/>
  <c r="C75" i="7"/>
  <c r="C74" i="7"/>
  <c r="C73" i="7"/>
  <c r="C72" i="7"/>
  <c r="C71" i="7"/>
  <c r="C70" i="7"/>
  <c r="C69" i="7"/>
  <c r="C68" i="7"/>
  <c r="C67" i="7"/>
  <c r="C66" i="7"/>
  <c r="C65" i="7"/>
  <c r="C64" i="7"/>
  <c r="C63" i="7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L6" i="7" l="1"/>
  <c r="T7" i="7" l="1"/>
  <c r="U7" i="7" s="1"/>
  <c r="T8" i="7"/>
  <c r="U8" i="7" s="1"/>
  <c r="T9" i="7"/>
  <c r="U9" i="7" s="1"/>
  <c r="T10" i="7"/>
  <c r="U10" i="7" s="1"/>
  <c r="T11" i="7"/>
  <c r="U11" i="7" s="1"/>
  <c r="T12" i="7"/>
  <c r="U12" i="7" s="1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5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5" i="7"/>
  <c r="T27" i="7"/>
  <c r="U27" i="7" s="1"/>
  <c r="T26" i="7"/>
  <c r="U26" i="7" s="1"/>
  <c r="T25" i="7"/>
  <c r="U25" i="7" s="1"/>
  <c r="T24" i="7"/>
  <c r="U24" i="7" s="1"/>
  <c r="T23" i="7"/>
  <c r="U23" i="7" s="1"/>
  <c r="T22" i="7"/>
  <c r="U22" i="7" s="1"/>
  <c r="T21" i="7"/>
  <c r="U21" i="7" s="1"/>
  <c r="T20" i="7"/>
  <c r="U20" i="7" s="1"/>
  <c r="T19" i="7"/>
  <c r="U19" i="7" s="1"/>
  <c r="T18" i="7"/>
  <c r="U18" i="7" s="1"/>
  <c r="T17" i="7"/>
  <c r="U17" i="7" s="1"/>
  <c r="T16" i="7"/>
  <c r="U16" i="7" s="1"/>
  <c r="T15" i="7"/>
  <c r="U15" i="7" s="1"/>
  <c r="T14" i="7"/>
  <c r="U14" i="7" s="1"/>
  <c r="T13" i="7"/>
  <c r="U13" i="7" s="1"/>
  <c r="A5" i="1" l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A1039" i="1"/>
  <c r="B1039" i="1"/>
  <c r="A1040" i="1"/>
  <c r="B1040" i="1"/>
  <c r="A1041" i="1"/>
  <c r="B1041" i="1"/>
  <c r="A1042" i="1"/>
  <c r="B1042" i="1"/>
  <c r="A1043" i="1"/>
  <c r="B1043" i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A1073" i="1"/>
  <c r="B1073" i="1"/>
  <c r="A1074" i="1"/>
  <c r="B1074" i="1"/>
  <c r="A1075" i="1"/>
  <c r="B1075" i="1"/>
  <c r="A1076" i="1"/>
  <c r="B1076" i="1"/>
  <c r="A1077" i="1"/>
  <c r="B1077" i="1"/>
  <c r="A1078" i="1"/>
  <c r="B1078" i="1"/>
  <c r="A1079" i="1"/>
  <c r="B1079" i="1"/>
  <c r="A1080" i="1"/>
  <c r="B1080" i="1"/>
  <c r="A1081" i="1"/>
  <c r="B1081" i="1"/>
  <c r="A1082" i="1"/>
  <c r="B1082" i="1"/>
  <c r="A1083" i="1"/>
  <c r="B1083" i="1"/>
  <c r="A1084" i="1"/>
  <c r="B1084" i="1"/>
  <c r="A1085" i="1"/>
  <c r="B1085" i="1"/>
  <c r="A1086" i="1"/>
  <c r="B1086" i="1"/>
  <c r="A1087" i="1"/>
  <c r="B1087" i="1"/>
  <c r="A1088" i="1"/>
  <c r="B1088" i="1"/>
  <c r="A1089" i="1"/>
  <c r="B1089" i="1"/>
  <c r="A1090" i="1"/>
  <c r="B1090" i="1"/>
  <c r="A1091" i="1"/>
  <c r="B1091" i="1"/>
  <c r="A1092" i="1"/>
  <c r="B1092" i="1"/>
  <c r="A1093" i="1"/>
  <c r="B1093" i="1"/>
  <c r="A1094" i="1"/>
  <c r="B1094" i="1"/>
  <c r="A1095" i="1"/>
  <c r="B1095" i="1"/>
  <c r="A1096" i="1"/>
  <c r="B1096" i="1"/>
  <c r="A1097" i="1"/>
  <c r="B1097" i="1"/>
  <c r="A1098" i="1"/>
  <c r="B1098" i="1"/>
  <c r="A1099" i="1"/>
  <c r="B1099" i="1"/>
  <c r="A1100" i="1"/>
  <c r="B1100" i="1"/>
  <c r="A1101" i="1"/>
  <c r="B1101" i="1"/>
  <c r="A1102" i="1"/>
  <c r="B1102" i="1"/>
  <c r="A1103" i="1"/>
  <c r="B1103" i="1"/>
  <c r="A1104" i="1"/>
  <c r="B1104" i="1"/>
  <c r="A1105" i="1"/>
  <c r="B1105" i="1"/>
  <c r="A1106" i="1"/>
  <c r="B1106" i="1"/>
  <c r="A1107" i="1"/>
  <c r="B1107" i="1"/>
  <c r="A1108" i="1"/>
  <c r="B1108" i="1"/>
  <c r="A1109" i="1"/>
  <c r="B1109" i="1"/>
  <c r="A1110" i="1"/>
  <c r="B1110" i="1"/>
  <c r="A1111" i="1"/>
  <c r="B1111" i="1"/>
  <c r="A1112" i="1"/>
  <c r="B1112" i="1"/>
  <c r="A1113" i="1"/>
  <c r="B1113" i="1"/>
  <c r="A1114" i="1"/>
  <c r="B1114" i="1"/>
  <c r="A1115" i="1"/>
  <c r="B1115" i="1"/>
  <c r="A1116" i="1"/>
  <c r="B1116" i="1"/>
  <c r="A1117" i="1"/>
  <c r="B1117" i="1"/>
  <c r="A1118" i="1"/>
  <c r="B1118" i="1"/>
  <c r="A1119" i="1"/>
  <c r="B1119" i="1"/>
  <c r="A1120" i="1"/>
  <c r="B1120" i="1"/>
  <c r="A1121" i="1"/>
  <c r="B1121" i="1"/>
  <c r="A1122" i="1"/>
  <c r="B1122" i="1"/>
  <c r="A1123" i="1"/>
  <c r="B1123" i="1"/>
  <c r="A1124" i="1"/>
  <c r="B1124" i="1"/>
  <c r="A1125" i="1"/>
  <c r="B1125" i="1"/>
  <c r="A1126" i="1"/>
  <c r="B1126" i="1"/>
  <c r="A1127" i="1"/>
  <c r="B1127" i="1"/>
  <c r="A1128" i="1"/>
  <c r="B1128" i="1"/>
  <c r="A1129" i="1"/>
  <c r="B1129" i="1"/>
  <c r="A1130" i="1"/>
  <c r="B1130" i="1"/>
  <c r="A1131" i="1"/>
  <c r="B1131" i="1"/>
  <c r="A1132" i="1"/>
  <c r="B1132" i="1"/>
  <c r="A1133" i="1"/>
  <c r="B1133" i="1"/>
  <c r="A1134" i="1"/>
  <c r="B1134" i="1"/>
  <c r="A1135" i="1"/>
  <c r="B1135" i="1"/>
  <c r="A1136" i="1"/>
  <c r="B1136" i="1"/>
  <c r="A1137" i="1"/>
  <c r="B1137" i="1"/>
  <c r="A1138" i="1"/>
  <c r="B1138" i="1"/>
  <c r="A1139" i="1"/>
  <c r="B1139" i="1"/>
  <c r="A1140" i="1"/>
  <c r="B1140" i="1"/>
  <c r="A1141" i="1"/>
  <c r="B1141" i="1"/>
  <c r="A1142" i="1"/>
  <c r="B1142" i="1"/>
  <c r="A1143" i="1"/>
  <c r="B1143" i="1"/>
  <c r="A1144" i="1"/>
  <c r="B1144" i="1"/>
  <c r="A1145" i="1"/>
  <c r="B1145" i="1"/>
  <c r="A1146" i="1"/>
  <c r="B1146" i="1"/>
  <c r="A1147" i="1"/>
  <c r="B1147" i="1"/>
  <c r="A1148" i="1"/>
  <c r="B1148" i="1"/>
  <c r="A1149" i="1"/>
  <c r="B1149" i="1"/>
  <c r="A1150" i="1"/>
  <c r="B1150" i="1"/>
  <c r="A1151" i="1"/>
  <c r="B1151" i="1"/>
  <c r="A1152" i="1"/>
  <c r="B1152" i="1"/>
  <c r="A1153" i="1"/>
  <c r="B1153" i="1"/>
  <c r="A1154" i="1"/>
  <c r="B1154" i="1"/>
  <c r="A1155" i="1"/>
  <c r="B1155" i="1"/>
  <c r="A1156" i="1"/>
  <c r="B1156" i="1"/>
  <c r="A1157" i="1"/>
  <c r="B1157" i="1"/>
  <c r="A1158" i="1"/>
  <c r="B1158" i="1"/>
  <c r="A1159" i="1"/>
  <c r="B1159" i="1"/>
  <c r="A1160" i="1"/>
  <c r="B1160" i="1"/>
  <c r="A1161" i="1"/>
  <c r="B1161" i="1"/>
  <c r="A1162" i="1"/>
  <c r="B1162" i="1"/>
  <c r="A1163" i="1"/>
  <c r="B1163" i="1"/>
  <c r="A1164" i="1"/>
  <c r="B1164" i="1"/>
  <c r="A1165" i="1"/>
  <c r="B1165" i="1"/>
  <c r="A1166" i="1"/>
  <c r="B1166" i="1"/>
  <c r="A1167" i="1"/>
  <c r="B1167" i="1"/>
  <c r="A1168" i="1"/>
  <c r="B1168" i="1"/>
  <c r="A1169" i="1"/>
  <c r="B1169" i="1"/>
  <c r="A1170" i="1"/>
  <c r="B1170" i="1"/>
  <c r="A1171" i="1"/>
  <c r="B1171" i="1"/>
  <c r="A1172" i="1"/>
  <c r="B1172" i="1"/>
  <c r="A1173" i="1"/>
  <c r="B1173" i="1"/>
  <c r="A1174" i="1"/>
  <c r="B1174" i="1"/>
  <c r="A1175" i="1"/>
  <c r="B1175" i="1"/>
  <c r="A1176" i="1"/>
  <c r="B1176" i="1"/>
  <c r="A1177" i="1"/>
  <c r="B1177" i="1"/>
  <c r="A1178" i="1"/>
  <c r="B1178" i="1"/>
  <c r="A1179" i="1"/>
  <c r="B1179" i="1"/>
  <c r="A1180" i="1"/>
  <c r="B1180" i="1"/>
  <c r="A1181" i="1"/>
  <c r="B1181" i="1"/>
  <c r="A1182" i="1"/>
  <c r="B1182" i="1"/>
  <c r="A1183" i="1"/>
  <c r="B1183" i="1"/>
  <c r="A1184" i="1"/>
  <c r="B1184" i="1"/>
  <c r="A1185" i="1"/>
  <c r="B1185" i="1"/>
  <c r="A1186" i="1"/>
  <c r="B1186" i="1"/>
  <c r="A1187" i="1"/>
  <c r="B1187" i="1"/>
  <c r="A1188" i="1"/>
  <c r="B1188" i="1"/>
  <c r="A1189" i="1"/>
  <c r="B1189" i="1"/>
  <c r="A1190" i="1"/>
  <c r="B1190" i="1"/>
  <c r="A1191" i="1"/>
  <c r="B1191" i="1"/>
  <c r="A1192" i="1"/>
  <c r="B1192" i="1"/>
  <c r="A1193" i="1"/>
  <c r="B1193" i="1"/>
  <c r="A1194" i="1"/>
  <c r="B1194" i="1"/>
  <c r="A1195" i="1"/>
  <c r="B1195" i="1"/>
  <c r="A1196" i="1"/>
  <c r="B1196" i="1"/>
  <c r="A1197" i="1"/>
  <c r="B1197" i="1"/>
  <c r="A1198" i="1"/>
  <c r="B1198" i="1"/>
  <c r="A1199" i="1"/>
  <c r="B1199" i="1"/>
  <c r="A1200" i="1"/>
  <c r="B1200" i="1"/>
  <c r="A1201" i="1"/>
  <c r="B1201" i="1"/>
  <c r="A1202" i="1"/>
  <c r="B1202" i="1"/>
  <c r="A1203" i="1"/>
  <c r="B1203" i="1"/>
  <c r="A1204" i="1"/>
  <c r="B1204" i="1"/>
  <c r="A1205" i="1"/>
  <c r="B1205" i="1"/>
  <c r="A1206" i="1"/>
  <c r="B1206" i="1"/>
  <c r="A1207" i="1"/>
  <c r="B1207" i="1"/>
  <c r="A1208" i="1"/>
  <c r="B1208" i="1"/>
  <c r="A1209" i="1"/>
  <c r="B1209" i="1"/>
  <c r="A1210" i="1"/>
  <c r="B1210" i="1"/>
  <c r="A1211" i="1"/>
  <c r="B1211" i="1"/>
  <c r="A1212" i="1"/>
  <c r="B1212" i="1"/>
  <c r="A1213" i="1"/>
  <c r="B1213" i="1"/>
  <c r="A1214" i="1"/>
  <c r="B1214" i="1"/>
  <c r="A1215" i="1"/>
  <c r="B1215" i="1"/>
  <c r="A1216" i="1"/>
  <c r="B1216" i="1"/>
  <c r="A1217" i="1"/>
  <c r="B1217" i="1"/>
  <c r="A1218" i="1"/>
  <c r="B1218" i="1"/>
  <c r="A1219" i="1"/>
  <c r="B1219" i="1"/>
  <c r="A1220" i="1"/>
  <c r="B1220" i="1"/>
  <c r="A1221" i="1"/>
  <c r="B1221" i="1"/>
  <c r="A1222" i="1"/>
  <c r="B1222" i="1"/>
  <c r="A1223" i="1"/>
  <c r="B1223" i="1"/>
  <c r="A1224" i="1"/>
  <c r="B1224" i="1"/>
  <c r="A1225" i="1"/>
  <c r="B1225" i="1"/>
  <c r="A1226" i="1"/>
  <c r="B1226" i="1"/>
  <c r="A1227" i="1"/>
  <c r="B1227" i="1"/>
  <c r="A1228" i="1"/>
  <c r="B1228" i="1"/>
  <c r="A1229" i="1"/>
  <c r="B1229" i="1"/>
  <c r="A1230" i="1"/>
  <c r="B1230" i="1"/>
  <c r="A1231" i="1"/>
  <c r="B1231" i="1"/>
  <c r="A1232" i="1"/>
  <c r="B1232" i="1"/>
  <c r="A1233" i="1"/>
  <c r="B1233" i="1"/>
  <c r="A1234" i="1"/>
  <c r="B1234" i="1"/>
  <c r="A1235" i="1"/>
  <c r="B1235" i="1"/>
  <c r="A1236" i="1"/>
  <c r="B1236" i="1"/>
  <c r="A1237" i="1"/>
  <c r="B1237" i="1"/>
  <c r="A1238" i="1"/>
  <c r="B1238" i="1"/>
  <c r="A1239" i="1"/>
  <c r="B1239" i="1"/>
  <c r="A1240" i="1"/>
  <c r="B1240" i="1"/>
  <c r="A1241" i="1"/>
  <c r="B1241" i="1"/>
  <c r="A1242" i="1"/>
  <c r="B1242" i="1"/>
  <c r="A1243" i="1"/>
  <c r="B1243" i="1"/>
  <c r="A1244" i="1"/>
  <c r="B1244" i="1"/>
  <c r="A1245" i="1"/>
  <c r="B1245" i="1"/>
  <c r="A1246" i="1"/>
  <c r="B1246" i="1"/>
  <c r="A1247" i="1"/>
  <c r="B1247" i="1"/>
  <c r="A1248" i="1"/>
  <c r="B1248" i="1"/>
  <c r="A1249" i="1"/>
  <c r="B1249" i="1"/>
  <c r="A1250" i="1"/>
  <c r="B1250" i="1"/>
  <c r="A1251" i="1"/>
  <c r="B1251" i="1"/>
  <c r="A1252" i="1"/>
  <c r="B1252" i="1"/>
  <c r="A1253" i="1"/>
  <c r="B1253" i="1"/>
  <c r="A1254" i="1"/>
  <c r="B1254" i="1"/>
  <c r="A1255" i="1"/>
  <c r="B1255" i="1"/>
  <c r="A1256" i="1"/>
  <c r="B1256" i="1"/>
  <c r="A1257" i="1"/>
  <c r="B1257" i="1"/>
  <c r="A1258" i="1"/>
  <c r="B1258" i="1"/>
  <c r="A1259" i="1"/>
  <c r="B1259" i="1"/>
  <c r="A1260" i="1"/>
  <c r="B1260" i="1"/>
  <c r="A1261" i="1"/>
  <c r="B1261" i="1"/>
  <c r="A1262" i="1"/>
  <c r="B1262" i="1"/>
  <c r="A1263" i="1"/>
  <c r="B1263" i="1"/>
  <c r="A1264" i="1"/>
  <c r="B1264" i="1"/>
  <c r="A1265" i="1"/>
  <c r="B1265" i="1"/>
  <c r="A1266" i="1"/>
  <c r="B1266" i="1"/>
  <c r="A1267" i="1"/>
  <c r="B1267" i="1"/>
  <c r="A1268" i="1"/>
  <c r="B1268" i="1"/>
  <c r="A1269" i="1"/>
  <c r="B1269" i="1"/>
  <c r="A1270" i="1"/>
  <c r="B1270" i="1"/>
  <c r="A1271" i="1"/>
  <c r="B1271" i="1"/>
  <c r="A1272" i="1"/>
  <c r="B1272" i="1"/>
  <c r="A1273" i="1"/>
  <c r="B1273" i="1"/>
  <c r="A1274" i="1"/>
  <c r="B1274" i="1"/>
  <c r="A1275" i="1"/>
  <c r="B1275" i="1"/>
  <c r="A1276" i="1"/>
  <c r="B1276" i="1"/>
  <c r="A1277" i="1"/>
  <c r="B1277" i="1"/>
  <c r="A1278" i="1"/>
  <c r="B1278" i="1"/>
  <c r="A1279" i="1"/>
  <c r="B1279" i="1"/>
  <c r="A1280" i="1"/>
  <c r="B1280" i="1"/>
  <c r="A1281" i="1"/>
  <c r="B1281" i="1"/>
  <c r="A1282" i="1"/>
  <c r="B1282" i="1"/>
  <c r="A1283" i="1"/>
  <c r="B1283" i="1"/>
  <c r="A1284" i="1"/>
  <c r="B1284" i="1"/>
  <c r="A1285" i="1"/>
  <c r="B1285" i="1"/>
  <c r="A1286" i="1"/>
  <c r="B1286" i="1"/>
  <c r="A1287" i="1"/>
  <c r="B1287" i="1"/>
  <c r="A1288" i="1"/>
  <c r="B1288" i="1"/>
  <c r="A1289" i="1"/>
  <c r="B1289" i="1"/>
  <c r="A1290" i="1"/>
  <c r="B1290" i="1"/>
  <c r="A1291" i="1"/>
  <c r="B1291" i="1"/>
  <c r="A1292" i="1"/>
  <c r="B1292" i="1"/>
  <c r="A1293" i="1"/>
  <c r="B1293" i="1"/>
  <c r="A1294" i="1"/>
  <c r="B1294" i="1"/>
  <c r="A1295" i="1"/>
  <c r="B1295" i="1"/>
  <c r="A1296" i="1"/>
  <c r="B1296" i="1"/>
  <c r="A1297" i="1"/>
  <c r="B1297" i="1"/>
  <c r="A1298" i="1"/>
  <c r="B1298" i="1"/>
  <c r="A1299" i="1"/>
  <c r="B1299" i="1"/>
  <c r="A1300" i="1"/>
  <c r="B1300" i="1"/>
  <c r="A1301" i="1"/>
  <c r="B1301" i="1"/>
  <c r="A1302" i="1"/>
  <c r="B1302" i="1"/>
  <c r="A1303" i="1"/>
  <c r="B1303" i="1"/>
  <c r="A1304" i="1"/>
  <c r="B1304" i="1"/>
  <c r="A1305" i="1"/>
  <c r="B1305" i="1"/>
  <c r="A1306" i="1"/>
  <c r="B1306" i="1"/>
  <c r="A1307" i="1"/>
  <c r="B1307" i="1"/>
  <c r="A1308" i="1"/>
  <c r="B1308" i="1"/>
  <c r="A1309" i="1"/>
  <c r="B1309" i="1"/>
  <c r="A1310" i="1"/>
  <c r="B1310" i="1"/>
  <c r="A1311" i="1"/>
  <c r="B1311" i="1"/>
  <c r="A1312" i="1"/>
  <c r="B1312" i="1"/>
  <c r="A1313" i="1"/>
  <c r="B1313" i="1"/>
  <c r="A1314" i="1"/>
  <c r="B1314" i="1"/>
  <c r="A1315" i="1"/>
  <c r="B1315" i="1"/>
  <c r="A1316" i="1"/>
  <c r="B1316" i="1"/>
  <c r="A1317" i="1"/>
  <c r="B1317" i="1"/>
  <c r="A1318" i="1"/>
  <c r="B1318" i="1"/>
  <c r="A1319" i="1"/>
  <c r="B1319" i="1"/>
  <c r="A1320" i="1"/>
  <c r="B1320" i="1"/>
  <c r="A1321" i="1"/>
  <c r="B1321" i="1"/>
  <c r="A1322" i="1"/>
  <c r="B1322" i="1"/>
  <c r="A1323" i="1"/>
  <c r="B1323" i="1"/>
  <c r="A1324" i="1"/>
  <c r="B1324" i="1"/>
  <c r="A1325" i="1"/>
  <c r="B1325" i="1"/>
  <c r="A1326" i="1"/>
  <c r="B1326" i="1"/>
  <c r="A1327" i="1"/>
  <c r="B1327" i="1"/>
  <c r="A1328" i="1"/>
  <c r="B1328" i="1"/>
  <c r="A1329" i="1"/>
  <c r="B1329" i="1"/>
  <c r="A1330" i="1"/>
  <c r="B1330" i="1"/>
  <c r="A1331" i="1"/>
  <c r="B1331" i="1"/>
  <c r="A1332" i="1"/>
  <c r="B1332" i="1"/>
  <c r="A1333" i="1"/>
  <c r="B1333" i="1"/>
  <c r="A1334" i="1"/>
  <c r="B1334" i="1"/>
  <c r="A1335" i="1"/>
  <c r="B1335" i="1"/>
  <c r="A1336" i="1"/>
  <c r="B1336" i="1"/>
  <c r="A1337" i="1"/>
  <c r="B1337" i="1"/>
  <c r="A1338" i="1"/>
  <c r="B1338" i="1"/>
  <c r="A1339" i="1"/>
  <c r="B1339" i="1"/>
  <c r="A1340" i="1"/>
  <c r="B1340" i="1"/>
  <c r="A1341" i="1"/>
  <c r="B1341" i="1"/>
  <c r="A1342" i="1"/>
  <c r="B1342" i="1"/>
  <c r="A1343" i="1"/>
  <c r="B1343" i="1"/>
  <c r="A1344" i="1"/>
  <c r="B1344" i="1"/>
  <c r="A1345" i="1"/>
  <c r="B1345" i="1"/>
  <c r="A1346" i="1"/>
  <c r="B1346" i="1"/>
  <c r="A1347" i="1"/>
  <c r="B1347" i="1"/>
  <c r="A1348" i="1"/>
  <c r="B1348" i="1"/>
  <c r="A1349" i="1"/>
  <c r="B1349" i="1"/>
  <c r="A1350" i="1"/>
  <c r="B1350" i="1"/>
  <c r="A1351" i="1"/>
  <c r="B1351" i="1"/>
  <c r="A1352" i="1"/>
  <c r="B1352" i="1"/>
  <c r="A1353" i="1"/>
  <c r="B1353" i="1"/>
  <c r="A1354" i="1"/>
  <c r="B1354" i="1"/>
  <c r="A1355" i="1"/>
  <c r="B1355" i="1"/>
  <c r="A1356" i="1"/>
  <c r="B1356" i="1"/>
  <c r="A1357" i="1"/>
  <c r="B1357" i="1"/>
  <c r="A1358" i="1"/>
  <c r="B1358" i="1"/>
  <c r="A1359" i="1"/>
  <c r="B1359" i="1"/>
  <c r="A1360" i="1"/>
  <c r="B1360" i="1"/>
  <c r="A1361" i="1"/>
  <c r="B1361" i="1"/>
  <c r="A1362" i="1"/>
  <c r="B1362" i="1"/>
  <c r="A1363" i="1"/>
  <c r="B136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370" i="1"/>
  <c r="B1370" i="1"/>
  <c r="A1371" i="1"/>
  <c r="B1371" i="1"/>
  <c r="A1372" i="1"/>
  <c r="B1372" i="1"/>
  <c r="A1373" i="1"/>
  <c r="B1373" i="1"/>
  <c r="A1374" i="1"/>
  <c r="B1374" i="1"/>
  <c r="A1375" i="1"/>
  <c r="B1375" i="1"/>
  <c r="A1376" i="1"/>
  <c r="B1376" i="1"/>
  <c r="A1377" i="1"/>
  <c r="B1377" i="1"/>
  <c r="A1378" i="1"/>
  <c r="B1378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B1385" i="1"/>
  <c r="A1386" i="1"/>
  <c r="B1386" i="1"/>
  <c r="A1387" i="1"/>
  <c r="B1387" i="1"/>
  <c r="A1388" i="1"/>
  <c r="B1388" i="1"/>
  <c r="A1389" i="1"/>
  <c r="B1389" i="1"/>
  <c r="A1390" i="1"/>
  <c r="B1390" i="1"/>
  <c r="A1391" i="1"/>
  <c r="B1391" i="1"/>
  <c r="A1392" i="1"/>
  <c r="B1392" i="1"/>
  <c r="A1393" i="1"/>
  <c r="B1393" i="1"/>
  <c r="A1394" i="1"/>
  <c r="B1394" i="1"/>
  <c r="A1395" i="1"/>
  <c r="B1395" i="1"/>
  <c r="A1396" i="1"/>
  <c r="B1396" i="1"/>
  <c r="A1397" i="1"/>
  <c r="B1397" i="1"/>
  <c r="A1398" i="1"/>
  <c r="B1398" i="1"/>
  <c r="A1399" i="1"/>
  <c r="B1399" i="1"/>
  <c r="A1400" i="1"/>
  <c r="B1400" i="1"/>
  <c r="A1401" i="1"/>
  <c r="B1401" i="1"/>
  <c r="A1402" i="1"/>
  <c r="B1402" i="1"/>
  <c r="A1403" i="1"/>
  <c r="B1403" i="1"/>
  <c r="A1404" i="1"/>
  <c r="B1404" i="1"/>
  <c r="A1405" i="1"/>
  <c r="B1405" i="1"/>
  <c r="A1406" i="1"/>
  <c r="B1406" i="1"/>
  <c r="A1407" i="1"/>
  <c r="B1407" i="1"/>
  <c r="A1408" i="1"/>
  <c r="B1408" i="1"/>
  <c r="A1409" i="1"/>
  <c r="B1409" i="1"/>
  <c r="A1410" i="1"/>
  <c r="B1410" i="1"/>
  <c r="A1411" i="1"/>
  <c r="B1411" i="1"/>
  <c r="A1412" i="1"/>
  <c r="B1412" i="1"/>
  <c r="A1413" i="1"/>
  <c r="B1413" i="1"/>
  <c r="A1414" i="1"/>
  <c r="B1414" i="1"/>
  <c r="A1415" i="1"/>
  <c r="B1415" i="1"/>
  <c r="A1416" i="1"/>
  <c r="B1416" i="1"/>
  <c r="A1417" i="1"/>
  <c r="B1417" i="1"/>
  <c r="A1418" i="1"/>
  <c r="B1418" i="1"/>
  <c r="A1419" i="1"/>
  <c r="B1419" i="1"/>
  <c r="A1420" i="1"/>
  <c r="B1420" i="1"/>
  <c r="A1421" i="1"/>
  <c r="B1421" i="1"/>
  <c r="A1422" i="1"/>
  <c r="B1422" i="1"/>
  <c r="A1423" i="1"/>
  <c r="B1423" i="1"/>
  <c r="A1424" i="1"/>
  <c r="B1424" i="1"/>
  <c r="A1425" i="1"/>
  <c r="B1425" i="1"/>
  <c r="A1426" i="1"/>
  <c r="B1426" i="1"/>
  <c r="A1427" i="1"/>
  <c r="B1427" i="1"/>
  <c r="A1428" i="1"/>
  <c r="B1428" i="1"/>
  <c r="A1429" i="1"/>
  <c r="B1429" i="1"/>
  <c r="A1430" i="1"/>
  <c r="B1430" i="1"/>
  <c r="A1431" i="1"/>
  <c r="B1431" i="1"/>
  <c r="A1432" i="1"/>
  <c r="B1432" i="1"/>
  <c r="A1433" i="1"/>
  <c r="B1433" i="1"/>
  <c r="A1434" i="1"/>
  <c r="B1434" i="1"/>
  <c r="A1435" i="1"/>
  <c r="B1435" i="1"/>
  <c r="A1436" i="1"/>
  <c r="B1436" i="1"/>
  <c r="A1437" i="1"/>
  <c r="B1437" i="1"/>
  <c r="A1438" i="1"/>
  <c r="B1438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46" i="1"/>
  <c r="B1446" i="1"/>
  <c r="A1447" i="1"/>
  <c r="B1447" i="1"/>
  <c r="A1448" i="1"/>
  <c r="B1448" i="1"/>
  <c r="A1449" i="1"/>
  <c r="B1449" i="1"/>
  <c r="A1450" i="1"/>
  <c r="B1450" i="1"/>
  <c r="A1451" i="1"/>
  <c r="B1451" i="1"/>
  <c r="A1452" i="1"/>
  <c r="B1452" i="1"/>
  <c r="A1453" i="1"/>
  <c r="B1453" i="1"/>
  <c r="A1454" i="1"/>
  <c r="B1454" i="1"/>
  <c r="A1455" i="1"/>
  <c r="B1455" i="1"/>
  <c r="A1456" i="1"/>
  <c r="B1456" i="1"/>
  <c r="A1457" i="1"/>
  <c r="B1457" i="1"/>
  <c r="A1458" i="1"/>
  <c r="B1458" i="1"/>
  <c r="A1459" i="1"/>
  <c r="B1459" i="1"/>
  <c r="A1460" i="1"/>
  <c r="B1460" i="1"/>
  <c r="A1461" i="1"/>
  <c r="B1461" i="1"/>
  <c r="A1462" i="1"/>
  <c r="B1462" i="1"/>
  <c r="A1463" i="1"/>
  <c r="B1463" i="1"/>
  <c r="A1464" i="1"/>
  <c r="B1464" i="1"/>
  <c r="A1465" i="1"/>
  <c r="B1465" i="1"/>
  <c r="A1466" i="1"/>
  <c r="B1466" i="1"/>
  <c r="A1467" i="1"/>
  <c r="B1467" i="1"/>
  <c r="A1468" i="1"/>
  <c r="B1468" i="1"/>
  <c r="A1469" i="1"/>
  <c r="B1469" i="1"/>
  <c r="A1470" i="1"/>
  <c r="B1470" i="1"/>
  <c r="A1471" i="1"/>
  <c r="B1471" i="1"/>
  <c r="B4" i="1"/>
  <c r="A4" i="1"/>
  <c r="K1471" i="1"/>
  <c r="K1470" i="1"/>
  <c r="P1470" i="1" s="1"/>
  <c r="K1469" i="1"/>
  <c r="P1469" i="1" s="1"/>
  <c r="K1468" i="1"/>
  <c r="P1468" i="1" s="1"/>
  <c r="K1467" i="1"/>
  <c r="P1467" i="1" s="1"/>
  <c r="K1466" i="1"/>
  <c r="P1466" i="1" s="1"/>
  <c r="K1465" i="1"/>
  <c r="P1465" i="1" s="1"/>
  <c r="K1464" i="1"/>
  <c r="K1463" i="1"/>
  <c r="K1462" i="1"/>
  <c r="P1462" i="1" s="1"/>
  <c r="K1461" i="1"/>
  <c r="P1461" i="1" s="1"/>
  <c r="K1460" i="1"/>
  <c r="P1460" i="1" s="1"/>
  <c r="K1459" i="1"/>
  <c r="P1459" i="1" s="1"/>
  <c r="K1458" i="1"/>
  <c r="P1458" i="1" s="1"/>
  <c r="K1457" i="1"/>
  <c r="K1456" i="1"/>
  <c r="K1455" i="1"/>
  <c r="K1454" i="1"/>
  <c r="K1453" i="1"/>
  <c r="K1452" i="1"/>
  <c r="K1451" i="1"/>
  <c r="K1450" i="1"/>
  <c r="K1449" i="1"/>
  <c r="K1448" i="1"/>
  <c r="P1448" i="1" s="1"/>
  <c r="K1447" i="1"/>
  <c r="P1447" i="1" s="1"/>
  <c r="K1446" i="1"/>
  <c r="P1446" i="1" s="1"/>
  <c r="K1445" i="1"/>
  <c r="K1444" i="1"/>
  <c r="P1444" i="1" s="1"/>
  <c r="K1443" i="1"/>
  <c r="P1443" i="1" s="1"/>
  <c r="K1442" i="1"/>
  <c r="P1442" i="1" s="1"/>
  <c r="K1441" i="1"/>
  <c r="K1440" i="1"/>
  <c r="P1440" i="1" s="1"/>
  <c r="K1439" i="1"/>
  <c r="P1439" i="1" s="1"/>
  <c r="K1438" i="1"/>
  <c r="P1438" i="1" s="1"/>
  <c r="K1437" i="1"/>
  <c r="P1437" i="1" s="1"/>
  <c r="K1436" i="1"/>
  <c r="K1435" i="1"/>
  <c r="K1434" i="1"/>
  <c r="P1434" i="1" s="1"/>
  <c r="K1433" i="1"/>
  <c r="P1433" i="1" s="1"/>
  <c r="K1432" i="1"/>
  <c r="P1432" i="1" s="1"/>
  <c r="K1431" i="1"/>
  <c r="P1431" i="1" s="1"/>
  <c r="K1430" i="1"/>
  <c r="P1430" i="1" s="1"/>
  <c r="K1429" i="1"/>
  <c r="P1429" i="1" s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P667" i="1" s="1"/>
  <c r="K666" i="1"/>
  <c r="K665" i="1"/>
  <c r="K664" i="1"/>
  <c r="K663" i="1"/>
  <c r="P663" i="1" s="1"/>
  <c r="K662" i="1"/>
  <c r="K661" i="1"/>
  <c r="K660" i="1"/>
  <c r="K659" i="1"/>
  <c r="P659" i="1" s="1"/>
  <c r="K658" i="1"/>
  <c r="K657" i="1"/>
  <c r="K656" i="1"/>
  <c r="K655" i="1"/>
  <c r="P655" i="1" s="1"/>
  <c r="K654" i="1"/>
  <c r="K653" i="1"/>
  <c r="K652" i="1"/>
  <c r="K651" i="1"/>
  <c r="P651" i="1" s="1"/>
  <c r="K650" i="1"/>
  <c r="K649" i="1"/>
  <c r="K648" i="1"/>
  <c r="K647" i="1"/>
  <c r="P647" i="1" s="1"/>
  <c r="K646" i="1"/>
  <c r="K645" i="1"/>
  <c r="K644" i="1"/>
  <c r="K643" i="1"/>
  <c r="P643" i="1" s="1"/>
  <c r="K642" i="1"/>
  <c r="K641" i="1"/>
  <c r="K640" i="1"/>
  <c r="K639" i="1"/>
  <c r="P639" i="1" s="1"/>
  <c r="K638" i="1"/>
  <c r="K637" i="1"/>
  <c r="K636" i="1"/>
  <c r="K635" i="1"/>
  <c r="P635" i="1" s="1"/>
  <c r="K634" i="1"/>
  <c r="K633" i="1"/>
  <c r="K632" i="1"/>
  <c r="K631" i="1"/>
  <c r="P631" i="1" s="1"/>
  <c r="K630" i="1"/>
  <c r="K629" i="1"/>
  <c r="K628" i="1"/>
  <c r="K627" i="1"/>
  <c r="P627" i="1" s="1"/>
  <c r="K626" i="1"/>
  <c r="K625" i="1"/>
  <c r="K624" i="1"/>
  <c r="K623" i="1"/>
  <c r="P623" i="1" s="1"/>
  <c r="K622" i="1"/>
  <c r="K621" i="1"/>
  <c r="K620" i="1"/>
  <c r="K619" i="1"/>
  <c r="P619" i="1" s="1"/>
  <c r="K618" i="1"/>
  <c r="K617" i="1"/>
  <c r="K616" i="1"/>
  <c r="K615" i="1"/>
  <c r="P615" i="1" s="1"/>
  <c r="K614" i="1"/>
  <c r="K613" i="1"/>
  <c r="K612" i="1"/>
  <c r="K611" i="1"/>
  <c r="P611" i="1" s="1"/>
  <c r="K610" i="1"/>
  <c r="K609" i="1"/>
  <c r="K608" i="1"/>
  <c r="K607" i="1"/>
  <c r="P607" i="1" s="1"/>
  <c r="K606" i="1"/>
  <c r="K605" i="1"/>
  <c r="K604" i="1"/>
  <c r="K603" i="1"/>
  <c r="P603" i="1" s="1"/>
  <c r="K602" i="1"/>
  <c r="K601" i="1"/>
  <c r="K600" i="1"/>
  <c r="K599" i="1"/>
  <c r="P599" i="1" s="1"/>
  <c r="K598" i="1"/>
  <c r="K597" i="1"/>
  <c r="K596" i="1"/>
  <c r="K595" i="1"/>
  <c r="P595" i="1" s="1"/>
  <c r="K594" i="1"/>
  <c r="K593" i="1"/>
  <c r="K592" i="1"/>
  <c r="K591" i="1"/>
  <c r="P591" i="1" s="1"/>
  <c r="K590" i="1"/>
  <c r="K589" i="1"/>
  <c r="K588" i="1"/>
  <c r="K587" i="1"/>
  <c r="P587" i="1" s="1"/>
  <c r="K586" i="1"/>
  <c r="K585" i="1"/>
  <c r="K584" i="1"/>
  <c r="K583" i="1"/>
  <c r="P583" i="1" s="1"/>
  <c r="K582" i="1"/>
  <c r="K581" i="1"/>
  <c r="K580" i="1"/>
  <c r="K579" i="1"/>
  <c r="P579" i="1" s="1"/>
  <c r="K578" i="1"/>
  <c r="K577" i="1"/>
  <c r="K576" i="1"/>
  <c r="K575" i="1"/>
  <c r="P575" i="1" s="1"/>
  <c r="K574" i="1"/>
  <c r="K573" i="1"/>
  <c r="K572" i="1"/>
  <c r="K571" i="1"/>
  <c r="P571" i="1" s="1"/>
  <c r="K570" i="1"/>
  <c r="K569" i="1"/>
  <c r="K568" i="1"/>
  <c r="K567" i="1"/>
  <c r="P567" i="1" s="1"/>
  <c r="K566" i="1"/>
  <c r="K565" i="1"/>
  <c r="K564" i="1"/>
  <c r="K563" i="1"/>
  <c r="P563" i="1" s="1"/>
  <c r="K562" i="1"/>
  <c r="K561" i="1"/>
  <c r="K560" i="1"/>
  <c r="K559" i="1"/>
  <c r="P559" i="1" s="1"/>
  <c r="K558" i="1"/>
  <c r="K557" i="1"/>
  <c r="K556" i="1"/>
  <c r="K555" i="1"/>
  <c r="P555" i="1" s="1"/>
  <c r="K554" i="1"/>
  <c r="K553" i="1"/>
  <c r="K552" i="1"/>
  <c r="K551" i="1"/>
  <c r="P551" i="1" s="1"/>
  <c r="K550" i="1"/>
  <c r="K549" i="1"/>
  <c r="K548" i="1"/>
  <c r="K547" i="1"/>
  <c r="P547" i="1" s="1"/>
  <c r="K546" i="1"/>
  <c r="K545" i="1"/>
  <c r="K544" i="1"/>
  <c r="K543" i="1"/>
  <c r="P543" i="1" s="1"/>
  <c r="K542" i="1"/>
  <c r="K541" i="1"/>
  <c r="K540" i="1"/>
  <c r="K539" i="1"/>
  <c r="P539" i="1" s="1"/>
  <c r="K538" i="1"/>
  <c r="K537" i="1"/>
  <c r="K536" i="1"/>
  <c r="K535" i="1"/>
  <c r="P535" i="1" s="1"/>
  <c r="K534" i="1"/>
  <c r="K533" i="1"/>
  <c r="K532" i="1"/>
  <c r="K531" i="1"/>
  <c r="P531" i="1" s="1"/>
  <c r="K530" i="1"/>
  <c r="K529" i="1"/>
  <c r="K528" i="1"/>
  <c r="K527" i="1"/>
  <c r="P527" i="1" s="1"/>
  <c r="K526" i="1"/>
  <c r="K525" i="1"/>
  <c r="K524" i="1"/>
  <c r="K523" i="1"/>
  <c r="P523" i="1" s="1"/>
  <c r="K522" i="1"/>
  <c r="K521" i="1"/>
  <c r="K520" i="1"/>
  <c r="K519" i="1"/>
  <c r="P519" i="1" s="1"/>
  <c r="K518" i="1"/>
  <c r="K517" i="1"/>
  <c r="K516" i="1"/>
  <c r="K515" i="1"/>
  <c r="P515" i="1" s="1"/>
  <c r="K514" i="1"/>
  <c r="K513" i="1"/>
  <c r="K512" i="1"/>
  <c r="K511" i="1"/>
  <c r="P511" i="1" s="1"/>
  <c r="K510" i="1"/>
  <c r="K509" i="1"/>
  <c r="K508" i="1"/>
  <c r="K507" i="1"/>
  <c r="P507" i="1" s="1"/>
  <c r="K506" i="1"/>
  <c r="K505" i="1"/>
  <c r="K504" i="1"/>
  <c r="K503" i="1"/>
  <c r="P503" i="1" s="1"/>
  <c r="K502" i="1"/>
  <c r="K501" i="1"/>
  <c r="K500" i="1"/>
  <c r="K499" i="1"/>
  <c r="P499" i="1" s="1"/>
  <c r="K498" i="1"/>
  <c r="K497" i="1"/>
  <c r="K496" i="1"/>
  <c r="K495" i="1"/>
  <c r="P495" i="1" s="1"/>
  <c r="K494" i="1"/>
  <c r="K493" i="1"/>
  <c r="K492" i="1"/>
  <c r="K491" i="1"/>
  <c r="P491" i="1" s="1"/>
  <c r="K490" i="1"/>
  <c r="K489" i="1"/>
  <c r="K488" i="1"/>
  <c r="K487" i="1"/>
  <c r="P487" i="1" s="1"/>
  <c r="K486" i="1"/>
  <c r="K485" i="1"/>
  <c r="K484" i="1"/>
  <c r="K483" i="1"/>
  <c r="P483" i="1" s="1"/>
  <c r="K482" i="1"/>
  <c r="K481" i="1"/>
  <c r="K480" i="1"/>
  <c r="K479" i="1"/>
  <c r="P479" i="1" s="1"/>
  <c r="K478" i="1"/>
  <c r="K477" i="1"/>
  <c r="K476" i="1"/>
  <c r="K475" i="1"/>
  <c r="P475" i="1" s="1"/>
  <c r="K474" i="1"/>
  <c r="K473" i="1"/>
  <c r="K472" i="1"/>
  <c r="K471" i="1"/>
  <c r="P471" i="1" s="1"/>
  <c r="K470" i="1"/>
  <c r="K469" i="1"/>
  <c r="K468" i="1"/>
  <c r="K467" i="1"/>
  <c r="P467" i="1" s="1"/>
  <c r="K466" i="1"/>
  <c r="K465" i="1"/>
  <c r="K464" i="1"/>
  <c r="K463" i="1"/>
  <c r="P463" i="1" s="1"/>
  <c r="K462" i="1"/>
  <c r="K461" i="1"/>
  <c r="K460" i="1"/>
  <c r="K459" i="1"/>
  <c r="P459" i="1" s="1"/>
  <c r="K458" i="1"/>
  <c r="K457" i="1"/>
  <c r="K456" i="1"/>
  <c r="K455" i="1"/>
  <c r="P455" i="1" s="1"/>
  <c r="K454" i="1"/>
  <c r="K453" i="1"/>
  <c r="K452" i="1"/>
  <c r="K451" i="1"/>
  <c r="P451" i="1" s="1"/>
  <c r="K450" i="1"/>
  <c r="K449" i="1"/>
  <c r="K448" i="1"/>
  <c r="K447" i="1"/>
  <c r="P447" i="1" s="1"/>
  <c r="K446" i="1"/>
  <c r="K445" i="1"/>
  <c r="K444" i="1"/>
  <c r="K443" i="1"/>
  <c r="P443" i="1" s="1"/>
  <c r="K442" i="1"/>
  <c r="K441" i="1"/>
  <c r="K440" i="1"/>
  <c r="K439" i="1"/>
  <c r="P439" i="1" s="1"/>
  <c r="K438" i="1"/>
  <c r="K437" i="1"/>
  <c r="K436" i="1"/>
  <c r="K435" i="1"/>
  <c r="P435" i="1" s="1"/>
  <c r="K434" i="1"/>
  <c r="K433" i="1"/>
  <c r="K432" i="1"/>
  <c r="K431" i="1"/>
  <c r="P431" i="1" s="1"/>
  <c r="K430" i="1"/>
  <c r="K429" i="1"/>
  <c r="K428" i="1"/>
  <c r="K427" i="1"/>
  <c r="P427" i="1" s="1"/>
  <c r="K426" i="1"/>
  <c r="K425" i="1"/>
  <c r="K424" i="1"/>
  <c r="K423" i="1"/>
  <c r="P423" i="1" s="1"/>
  <c r="K422" i="1"/>
  <c r="K421" i="1"/>
  <c r="K420" i="1"/>
  <c r="K419" i="1"/>
  <c r="P419" i="1" s="1"/>
  <c r="K418" i="1"/>
  <c r="K417" i="1"/>
  <c r="K416" i="1"/>
  <c r="K415" i="1"/>
  <c r="P415" i="1" s="1"/>
  <c r="K414" i="1"/>
  <c r="K413" i="1"/>
  <c r="K412" i="1"/>
  <c r="K411" i="1"/>
  <c r="P411" i="1" s="1"/>
  <c r="K410" i="1"/>
  <c r="K409" i="1"/>
  <c r="K408" i="1"/>
  <c r="K407" i="1"/>
  <c r="P407" i="1" s="1"/>
  <c r="K406" i="1"/>
  <c r="K405" i="1"/>
  <c r="K404" i="1"/>
  <c r="K403" i="1"/>
  <c r="P403" i="1" s="1"/>
  <c r="K402" i="1"/>
  <c r="K401" i="1"/>
  <c r="K400" i="1"/>
  <c r="K399" i="1"/>
  <c r="P399" i="1" s="1"/>
  <c r="K398" i="1"/>
  <c r="K397" i="1"/>
  <c r="K396" i="1"/>
  <c r="K395" i="1"/>
  <c r="P395" i="1" s="1"/>
  <c r="K394" i="1"/>
  <c r="K393" i="1"/>
  <c r="K392" i="1"/>
  <c r="K391" i="1"/>
  <c r="P391" i="1" s="1"/>
  <c r="K390" i="1"/>
  <c r="K389" i="1"/>
  <c r="K388" i="1"/>
  <c r="K387" i="1"/>
  <c r="P387" i="1" s="1"/>
  <c r="K386" i="1"/>
  <c r="K385" i="1"/>
  <c r="K384" i="1"/>
  <c r="K383" i="1"/>
  <c r="P383" i="1" s="1"/>
  <c r="K382" i="1"/>
  <c r="K381" i="1"/>
  <c r="K380" i="1"/>
  <c r="K379" i="1"/>
  <c r="P379" i="1" s="1"/>
  <c r="K378" i="1"/>
  <c r="K377" i="1"/>
  <c r="K376" i="1"/>
  <c r="K375" i="1"/>
  <c r="P375" i="1" s="1"/>
  <c r="K374" i="1"/>
  <c r="K373" i="1"/>
  <c r="K372" i="1"/>
  <c r="K371" i="1"/>
  <c r="P371" i="1" s="1"/>
  <c r="K370" i="1"/>
  <c r="K369" i="1"/>
  <c r="K368" i="1"/>
  <c r="K367" i="1"/>
  <c r="P367" i="1" s="1"/>
  <c r="K366" i="1"/>
  <c r="K365" i="1"/>
  <c r="K364" i="1"/>
  <c r="K363" i="1"/>
  <c r="P363" i="1" s="1"/>
  <c r="K362" i="1"/>
  <c r="K361" i="1"/>
  <c r="K360" i="1"/>
  <c r="K359" i="1"/>
  <c r="P359" i="1" s="1"/>
  <c r="K358" i="1"/>
  <c r="K357" i="1"/>
  <c r="K356" i="1"/>
  <c r="K355" i="1"/>
  <c r="P355" i="1" s="1"/>
  <c r="K354" i="1"/>
  <c r="K353" i="1"/>
  <c r="K352" i="1"/>
  <c r="K351" i="1"/>
  <c r="P351" i="1" s="1"/>
  <c r="K350" i="1"/>
  <c r="K349" i="1"/>
  <c r="K348" i="1"/>
  <c r="K347" i="1"/>
  <c r="P347" i="1" s="1"/>
  <c r="K346" i="1"/>
  <c r="K345" i="1"/>
  <c r="K344" i="1"/>
  <c r="K343" i="1"/>
  <c r="P343" i="1" s="1"/>
  <c r="K342" i="1"/>
  <c r="K341" i="1"/>
  <c r="K340" i="1"/>
  <c r="K339" i="1"/>
  <c r="P339" i="1" s="1"/>
  <c r="K338" i="1"/>
  <c r="K337" i="1"/>
  <c r="K336" i="1"/>
  <c r="K335" i="1"/>
  <c r="P335" i="1" s="1"/>
  <c r="K334" i="1"/>
  <c r="K333" i="1"/>
  <c r="K332" i="1"/>
  <c r="K331" i="1"/>
  <c r="P331" i="1" s="1"/>
  <c r="K330" i="1"/>
  <c r="K329" i="1"/>
  <c r="K328" i="1"/>
  <c r="K327" i="1"/>
  <c r="P327" i="1" s="1"/>
  <c r="K326" i="1"/>
  <c r="K325" i="1"/>
  <c r="K324" i="1"/>
  <c r="K323" i="1"/>
  <c r="P323" i="1" s="1"/>
  <c r="K322" i="1"/>
  <c r="K321" i="1"/>
  <c r="K320" i="1"/>
  <c r="K319" i="1"/>
  <c r="P319" i="1" s="1"/>
  <c r="K318" i="1"/>
  <c r="K317" i="1"/>
  <c r="K316" i="1"/>
  <c r="K315" i="1"/>
  <c r="P315" i="1" s="1"/>
  <c r="K314" i="1"/>
  <c r="K313" i="1"/>
  <c r="K312" i="1"/>
  <c r="K311" i="1"/>
  <c r="P311" i="1" s="1"/>
  <c r="K310" i="1"/>
  <c r="K309" i="1"/>
  <c r="K308" i="1"/>
  <c r="K307" i="1"/>
  <c r="P307" i="1" s="1"/>
  <c r="K306" i="1"/>
  <c r="K305" i="1"/>
  <c r="K304" i="1"/>
  <c r="K303" i="1"/>
  <c r="P303" i="1" s="1"/>
  <c r="K302" i="1"/>
  <c r="K301" i="1"/>
  <c r="K300" i="1"/>
  <c r="K299" i="1"/>
  <c r="P299" i="1" s="1"/>
  <c r="K298" i="1"/>
  <c r="K297" i="1"/>
  <c r="K296" i="1"/>
  <c r="K295" i="1"/>
  <c r="P295" i="1" s="1"/>
  <c r="K294" i="1"/>
  <c r="P294" i="1" s="1"/>
  <c r="K293" i="1"/>
  <c r="P293" i="1" s="1"/>
  <c r="K292" i="1"/>
  <c r="P292" i="1" s="1"/>
  <c r="K291" i="1"/>
  <c r="P291" i="1" s="1"/>
  <c r="K290" i="1"/>
  <c r="P290" i="1" s="1"/>
  <c r="K289" i="1"/>
  <c r="P289" i="1" s="1"/>
  <c r="K288" i="1"/>
  <c r="S288" i="1" s="1"/>
  <c r="K287" i="1"/>
  <c r="P287" i="1" s="1"/>
  <c r="K286" i="1"/>
  <c r="P286" i="1" s="1"/>
  <c r="K285" i="1"/>
  <c r="P285" i="1" s="1"/>
  <c r="K284" i="1"/>
  <c r="P284" i="1" s="1"/>
  <c r="K283" i="1"/>
  <c r="S283" i="1" s="1"/>
  <c r="K282" i="1"/>
  <c r="S282" i="1" s="1"/>
  <c r="K281" i="1"/>
  <c r="P281" i="1" s="1"/>
  <c r="K280" i="1"/>
  <c r="K279" i="1"/>
  <c r="P279" i="1" s="1"/>
  <c r="K278" i="1"/>
  <c r="S278" i="1" s="1"/>
  <c r="K277" i="1"/>
  <c r="P277" i="1" s="1"/>
  <c r="K276" i="1"/>
  <c r="P276" i="1" s="1"/>
  <c r="K275" i="1"/>
  <c r="S275" i="1" s="1"/>
  <c r="K274" i="1"/>
  <c r="S274" i="1" s="1"/>
  <c r="K273" i="1"/>
  <c r="S273" i="1" s="1"/>
  <c r="K272" i="1"/>
  <c r="S272" i="1" s="1"/>
  <c r="K271" i="1"/>
  <c r="P271" i="1" s="1"/>
  <c r="K270" i="1"/>
  <c r="S270" i="1" s="1"/>
  <c r="K269" i="1"/>
  <c r="S269" i="1" s="1"/>
  <c r="K268" i="1"/>
  <c r="P268" i="1" s="1"/>
  <c r="K267" i="1"/>
  <c r="P267" i="1" s="1"/>
  <c r="K266" i="1"/>
  <c r="P266" i="1" s="1"/>
  <c r="K265" i="1"/>
  <c r="P265" i="1" s="1"/>
  <c r="K264" i="1"/>
  <c r="S264" i="1" s="1"/>
  <c r="K263" i="1"/>
  <c r="P263" i="1" s="1"/>
  <c r="K262" i="1"/>
  <c r="S262" i="1" s="1"/>
  <c r="K261" i="1"/>
  <c r="P261" i="1" s="1"/>
  <c r="K260" i="1"/>
  <c r="P260" i="1" s="1"/>
  <c r="K259" i="1"/>
  <c r="P259" i="1" s="1"/>
  <c r="K258" i="1"/>
  <c r="P258" i="1" s="1"/>
  <c r="K257" i="1"/>
  <c r="S257" i="1" s="1"/>
  <c r="K256" i="1"/>
  <c r="P256" i="1" s="1"/>
  <c r="K255" i="1"/>
  <c r="S255" i="1" s="1"/>
  <c r="K254" i="1"/>
  <c r="S254" i="1" s="1"/>
  <c r="K253" i="1"/>
  <c r="P253" i="1" s="1"/>
  <c r="K252" i="1"/>
  <c r="K251" i="1"/>
  <c r="P251" i="1" s="1"/>
  <c r="K250" i="1"/>
  <c r="S250" i="1" s="1"/>
  <c r="K249" i="1"/>
  <c r="P249" i="1" s="1"/>
  <c r="K248" i="1"/>
  <c r="S248" i="1" s="1"/>
  <c r="K247" i="1"/>
  <c r="S247" i="1" s="1"/>
  <c r="K246" i="1"/>
  <c r="S246" i="1" s="1"/>
  <c r="K245" i="1"/>
  <c r="S245" i="1" s="1"/>
  <c r="K244" i="1"/>
  <c r="P244" i="1" s="1"/>
  <c r="K243" i="1"/>
  <c r="S243" i="1" s="1"/>
  <c r="K242" i="1"/>
  <c r="S242" i="1" s="1"/>
  <c r="K241" i="1"/>
  <c r="S241" i="1" s="1"/>
  <c r="K240" i="1"/>
  <c r="K239" i="1"/>
  <c r="P239" i="1" s="1"/>
  <c r="K238" i="1"/>
  <c r="S238" i="1" s="1"/>
  <c r="K237" i="1"/>
  <c r="S237" i="1" s="1"/>
  <c r="K236" i="1"/>
  <c r="S236" i="1" s="1"/>
  <c r="K235" i="1"/>
  <c r="P235" i="1" s="1"/>
  <c r="K234" i="1"/>
  <c r="P234" i="1" s="1"/>
  <c r="K233" i="1"/>
  <c r="P233" i="1" s="1"/>
  <c r="K232" i="1"/>
  <c r="P232" i="1" s="1"/>
  <c r="K231" i="1"/>
  <c r="S231" i="1" s="1"/>
  <c r="K230" i="1"/>
  <c r="S230" i="1" s="1"/>
  <c r="K229" i="1"/>
  <c r="P229" i="1" s="1"/>
  <c r="K228" i="1"/>
  <c r="S228" i="1" s="1"/>
  <c r="K227" i="1"/>
  <c r="P227" i="1" s="1"/>
  <c r="K226" i="1"/>
  <c r="S226" i="1" s="1"/>
  <c r="K225" i="1"/>
  <c r="P225" i="1" s="1"/>
  <c r="K224" i="1"/>
  <c r="S224" i="1" s="1"/>
  <c r="K223" i="1"/>
  <c r="S223" i="1" s="1"/>
  <c r="K222" i="1"/>
  <c r="S222" i="1" s="1"/>
  <c r="K221" i="1"/>
  <c r="P221" i="1" s="1"/>
  <c r="K220" i="1"/>
  <c r="P220" i="1" s="1"/>
  <c r="K219" i="1"/>
  <c r="P219" i="1" s="1"/>
  <c r="K218" i="1"/>
  <c r="S218" i="1" s="1"/>
  <c r="K217" i="1"/>
  <c r="P217" i="1" s="1"/>
  <c r="K216" i="1"/>
  <c r="S216" i="1" s="1"/>
  <c r="K215" i="1"/>
  <c r="S215" i="1" s="1"/>
  <c r="K214" i="1"/>
  <c r="S214" i="1" s="1"/>
  <c r="K213" i="1"/>
  <c r="P213" i="1" s="1"/>
  <c r="K212" i="1"/>
  <c r="P212" i="1" s="1"/>
  <c r="K211" i="1"/>
  <c r="P211" i="1" s="1"/>
  <c r="K210" i="1"/>
  <c r="S210" i="1" s="1"/>
  <c r="K209" i="1"/>
  <c r="P209" i="1" s="1"/>
  <c r="K208" i="1"/>
  <c r="S208" i="1" s="1"/>
  <c r="K207" i="1"/>
  <c r="K206" i="1"/>
  <c r="S206" i="1" s="1"/>
  <c r="K205" i="1"/>
  <c r="S205" i="1" s="1"/>
  <c r="K204" i="1"/>
  <c r="P204" i="1" s="1"/>
  <c r="K203" i="1"/>
  <c r="S203" i="1" s="1"/>
  <c r="K202" i="1"/>
  <c r="P202" i="1" s="1"/>
  <c r="K201" i="1"/>
  <c r="S201" i="1" s="1"/>
  <c r="K200" i="1"/>
  <c r="S200" i="1" s="1"/>
  <c r="K199" i="1"/>
  <c r="S199" i="1" s="1"/>
  <c r="K198" i="1"/>
  <c r="S198" i="1" s="1"/>
  <c r="K197" i="1"/>
  <c r="P197" i="1" s="1"/>
  <c r="K196" i="1"/>
  <c r="S196" i="1" s="1"/>
  <c r="K195" i="1"/>
  <c r="P195" i="1" s="1"/>
  <c r="K194" i="1"/>
  <c r="S194" i="1" s="1"/>
  <c r="K193" i="1"/>
  <c r="S193" i="1" s="1"/>
  <c r="K192" i="1"/>
  <c r="P192" i="1" s="1"/>
  <c r="K191" i="1"/>
  <c r="S191" i="1" s="1"/>
  <c r="K190" i="1"/>
  <c r="S190" i="1" s="1"/>
  <c r="K189" i="1"/>
  <c r="P189" i="1" s="1"/>
  <c r="K188" i="1"/>
  <c r="S188" i="1" s="1"/>
  <c r="K187" i="1"/>
  <c r="S187" i="1" s="1"/>
  <c r="K186" i="1"/>
  <c r="S186" i="1" s="1"/>
  <c r="K185" i="1"/>
  <c r="S185" i="1" s="1"/>
  <c r="K184" i="1"/>
  <c r="K183" i="1"/>
  <c r="S183" i="1" s="1"/>
  <c r="K182" i="1"/>
  <c r="S182" i="1" s="1"/>
  <c r="K181" i="1"/>
  <c r="P181" i="1" s="1"/>
  <c r="K180" i="1"/>
  <c r="P180" i="1" s="1"/>
  <c r="K179" i="1"/>
  <c r="S179" i="1" s="1"/>
  <c r="K178" i="1"/>
  <c r="S178" i="1" s="1"/>
  <c r="K177" i="1"/>
  <c r="P177" i="1" s="1"/>
  <c r="K176" i="1"/>
  <c r="S176" i="1" s="1"/>
  <c r="K175" i="1"/>
  <c r="S175" i="1" s="1"/>
  <c r="K174" i="1"/>
  <c r="S174" i="1" s="1"/>
  <c r="K173" i="1"/>
  <c r="K172" i="1"/>
  <c r="K171" i="1"/>
  <c r="S171" i="1" s="1"/>
  <c r="K170" i="1"/>
  <c r="S170" i="1" s="1"/>
  <c r="K169" i="1"/>
  <c r="S169" i="1" s="1"/>
  <c r="K168" i="1"/>
  <c r="S168" i="1" s="1"/>
  <c r="K167" i="1"/>
  <c r="P167" i="1" s="1"/>
  <c r="K166" i="1"/>
  <c r="K165" i="1"/>
  <c r="P165" i="1" s="1"/>
  <c r="K164" i="1"/>
  <c r="S164" i="1" s="1"/>
  <c r="K163" i="1"/>
  <c r="S163" i="1" s="1"/>
  <c r="K162" i="1"/>
  <c r="S162" i="1" s="1"/>
  <c r="K161" i="1"/>
  <c r="P161" i="1" s="1"/>
  <c r="K160" i="1"/>
  <c r="P160" i="1" s="1"/>
  <c r="K159" i="1"/>
  <c r="S159" i="1" s="1"/>
  <c r="K158" i="1"/>
  <c r="S158" i="1" s="1"/>
  <c r="K157" i="1"/>
  <c r="P157" i="1" s="1"/>
  <c r="K156" i="1"/>
  <c r="P156" i="1" s="1"/>
  <c r="K155" i="1"/>
  <c r="P155" i="1" s="1"/>
  <c r="K154" i="1"/>
  <c r="S154" i="1" s="1"/>
  <c r="K153" i="1"/>
  <c r="P153" i="1" s="1"/>
  <c r="K152" i="1"/>
  <c r="S152" i="1" s="1"/>
  <c r="K151" i="1"/>
  <c r="S151" i="1" s="1"/>
  <c r="K150" i="1"/>
  <c r="S150" i="1" s="1"/>
  <c r="K149" i="1"/>
  <c r="P149" i="1" s="1"/>
  <c r="K148" i="1"/>
  <c r="P148" i="1" s="1"/>
  <c r="K147" i="1"/>
  <c r="S147" i="1" s="1"/>
  <c r="K146" i="1"/>
  <c r="S146" i="1" s="1"/>
  <c r="K145" i="1"/>
  <c r="S145" i="1" s="1"/>
  <c r="K144" i="1"/>
  <c r="S144" i="1" s="1"/>
  <c r="K143" i="1"/>
  <c r="P143" i="1" s="1"/>
  <c r="K142" i="1"/>
  <c r="P142" i="1" s="1"/>
  <c r="K141" i="1"/>
  <c r="P141" i="1" s="1"/>
  <c r="K140" i="1"/>
  <c r="S140" i="1" s="1"/>
  <c r="K139" i="1"/>
  <c r="S139" i="1" s="1"/>
  <c r="K138" i="1"/>
  <c r="S138" i="1" s="1"/>
  <c r="K137" i="1"/>
  <c r="P137" i="1" s="1"/>
  <c r="K136" i="1"/>
  <c r="P136" i="1" s="1"/>
  <c r="K135" i="1"/>
  <c r="S135" i="1" s="1"/>
  <c r="K134" i="1"/>
  <c r="S134" i="1" s="1"/>
  <c r="K133" i="1"/>
  <c r="P133" i="1" s="1"/>
  <c r="K132" i="1"/>
  <c r="P132" i="1" s="1"/>
  <c r="K131" i="1"/>
  <c r="S131" i="1" s="1"/>
  <c r="K130" i="1"/>
  <c r="S130" i="1" s="1"/>
  <c r="K129" i="1"/>
  <c r="P129" i="1" s="1"/>
  <c r="K128" i="1"/>
  <c r="S128" i="1" s="1"/>
  <c r="K127" i="1"/>
  <c r="S127" i="1" s="1"/>
  <c r="K126" i="1"/>
  <c r="S126" i="1" s="1"/>
  <c r="K125" i="1"/>
  <c r="S125" i="1" s="1"/>
  <c r="K124" i="1"/>
  <c r="S124" i="1" s="1"/>
  <c r="K123" i="1"/>
  <c r="K122" i="1"/>
  <c r="P122" i="1" s="1"/>
  <c r="K121" i="1"/>
  <c r="S121" i="1" s="1"/>
  <c r="K120" i="1"/>
  <c r="P120" i="1" s="1"/>
  <c r="K119" i="1"/>
  <c r="P119" i="1" s="1"/>
  <c r="K118" i="1"/>
  <c r="P118" i="1" s="1"/>
  <c r="K117" i="1"/>
  <c r="P117" i="1" s="1"/>
  <c r="K116" i="1"/>
  <c r="S116" i="1" s="1"/>
  <c r="K115" i="1"/>
  <c r="P115" i="1" s="1"/>
  <c r="K114" i="1"/>
  <c r="S114" i="1" s="1"/>
  <c r="K113" i="1"/>
  <c r="S113" i="1" s="1"/>
  <c r="K112" i="1"/>
  <c r="K111" i="1"/>
  <c r="S111" i="1" s="1"/>
  <c r="K110" i="1"/>
  <c r="P110" i="1" s="1"/>
  <c r="K109" i="1"/>
  <c r="P109" i="1" s="1"/>
  <c r="K108" i="1"/>
  <c r="S108" i="1" s="1"/>
  <c r="K107" i="1"/>
  <c r="S107" i="1" s="1"/>
  <c r="K106" i="1"/>
  <c r="S106" i="1" s="1"/>
  <c r="K105" i="1"/>
  <c r="P105" i="1" s="1"/>
  <c r="K104" i="1"/>
  <c r="P104" i="1" s="1"/>
  <c r="K103" i="1"/>
  <c r="P103" i="1" s="1"/>
  <c r="K102" i="1"/>
  <c r="S102" i="1" s="1"/>
  <c r="K101" i="1"/>
  <c r="S101" i="1" s="1"/>
  <c r="K100" i="1"/>
  <c r="S100" i="1" s="1"/>
  <c r="K99" i="1"/>
  <c r="P99" i="1" s="1"/>
  <c r="K98" i="1"/>
  <c r="P98" i="1" s="1"/>
  <c r="K97" i="1"/>
  <c r="S97" i="1" s="1"/>
  <c r="K96" i="1"/>
  <c r="S96" i="1" s="1"/>
  <c r="K95" i="1"/>
  <c r="P95" i="1" s="1"/>
  <c r="K94" i="1"/>
  <c r="S94" i="1" s="1"/>
  <c r="K93" i="1"/>
  <c r="S93" i="1" s="1"/>
  <c r="K92" i="1"/>
  <c r="S92" i="1" s="1"/>
  <c r="K91" i="1"/>
  <c r="P91" i="1" s="1"/>
  <c r="K90" i="1"/>
  <c r="P90" i="1" s="1"/>
  <c r="K89" i="1"/>
  <c r="P89" i="1" s="1"/>
  <c r="K88" i="1"/>
  <c r="P88" i="1" s="1"/>
  <c r="K87" i="1"/>
  <c r="S87" i="1" s="1"/>
  <c r="K86" i="1"/>
  <c r="S86" i="1" s="1"/>
  <c r="K85" i="1"/>
  <c r="P85" i="1" s="1"/>
  <c r="K84" i="1"/>
  <c r="P84" i="1" s="1"/>
  <c r="K83" i="1"/>
  <c r="P83" i="1" s="1"/>
  <c r="K82" i="1"/>
  <c r="S82" i="1" s="1"/>
  <c r="K81" i="1"/>
  <c r="P81" i="1" s="1"/>
  <c r="K80" i="1"/>
  <c r="P80" i="1" s="1"/>
  <c r="K79" i="1"/>
  <c r="S79" i="1" s="1"/>
  <c r="K78" i="1"/>
  <c r="S78" i="1" s="1"/>
  <c r="K77" i="1"/>
  <c r="K76" i="1"/>
  <c r="P76" i="1" s="1"/>
  <c r="K75" i="1"/>
  <c r="P75" i="1" s="1"/>
  <c r="K74" i="1"/>
  <c r="P74" i="1" s="1"/>
  <c r="K73" i="1"/>
  <c r="S73" i="1" s="1"/>
  <c r="K72" i="1"/>
  <c r="S72" i="1" s="1"/>
  <c r="K71" i="1"/>
  <c r="S71" i="1" s="1"/>
  <c r="K70" i="1"/>
  <c r="S70" i="1" s="1"/>
  <c r="K69" i="1"/>
  <c r="P69" i="1" s="1"/>
  <c r="K68" i="1"/>
  <c r="P68" i="1" s="1"/>
  <c r="K67" i="1"/>
  <c r="S67" i="1" s="1"/>
  <c r="K66" i="1"/>
  <c r="S66" i="1" s="1"/>
  <c r="K65" i="1"/>
  <c r="P65" i="1" s="1"/>
  <c r="K64" i="1"/>
  <c r="S64" i="1" s="1"/>
  <c r="K63" i="1"/>
  <c r="P63" i="1" s="1"/>
  <c r="K62" i="1"/>
  <c r="S62" i="1" s="1"/>
  <c r="K61" i="1"/>
  <c r="S61" i="1" s="1"/>
  <c r="K60" i="1"/>
  <c r="P60" i="1" s="1"/>
  <c r="K59" i="1"/>
  <c r="P59" i="1" s="1"/>
  <c r="K58" i="1"/>
  <c r="S58" i="1" s="1"/>
  <c r="K57" i="1"/>
  <c r="S57" i="1" s="1"/>
  <c r="K56" i="1"/>
  <c r="P56" i="1" s="1"/>
  <c r="K55" i="1"/>
  <c r="P55" i="1" s="1"/>
  <c r="K54" i="1"/>
  <c r="P54" i="1" s="1"/>
  <c r="K53" i="1"/>
  <c r="S53" i="1" s="1"/>
  <c r="K52" i="1"/>
  <c r="S52" i="1" s="1"/>
  <c r="K51" i="1"/>
  <c r="P51" i="1" s="1"/>
  <c r="K50" i="1"/>
  <c r="P50" i="1" s="1"/>
  <c r="K49" i="1"/>
  <c r="K48" i="1"/>
  <c r="P48" i="1" s="1"/>
  <c r="K47" i="1"/>
  <c r="P47" i="1" s="1"/>
  <c r="K46" i="1"/>
  <c r="S46" i="1" s="1"/>
  <c r="K45" i="1"/>
  <c r="P45" i="1" s="1"/>
  <c r="K44" i="1"/>
  <c r="P44" i="1" s="1"/>
  <c r="K43" i="1"/>
  <c r="S43" i="1" s="1"/>
  <c r="K42" i="1"/>
  <c r="S42" i="1" s="1"/>
  <c r="K41" i="1"/>
  <c r="P41" i="1" s="1"/>
  <c r="K40" i="1"/>
  <c r="K39" i="1"/>
  <c r="S39" i="1" s="1"/>
  <c r="K38" i="1"/>
  <c r="S38" i="1" s="1"/>
  <c r="K37" i="1"/>
  <c r="P37" i="1" s="1"/>
  <c r="K36" i="1"/>
  <c r="S36" i="1" s="1"/>
  <c r="K35" i="1"/>
  <c r="S35" i="1" s="1"/>
  <c r="K34" i="1"/>
  <c r="S34" i="1" s="1"/>
  <c r="K33" i="1"/>
  <c r="P33" i="1" s="1"/>
  <c r="K32" i="1"/>
  <c r="P32" i="1" s="1"/>
  <c r="K31" i="1"/>
  <c r="S31" i="1" s="1"/>
  <c r="K30" i="1"/>
  <c r="S30" i="1" s="1"/>
  <c r="K29" i="1"/>
  <c r="S29" i="1" s="1"/>
  <c r="K28" i="1"/>
  <c r="S28" i="1" s="1"/>
  <c r="K27" i="1"/>
  <c r="P27" i="1" s="1"/>
  <c r="K26" i="1"/>
  <c r="P26" i="1" s="1"/>
  <c r="K25" i="1"/>
  <c r="P25" i="1" s="1"/>
  <c r="K24" i="1"/>
  <c r="S24" i="1" s="1"/>
  <c r="K23" i="1"/>
  <c r="S23" i="1" s="1"/>
  <c r="K22" i="1"/>
  <c r="S22" i="1" s="1"/>
  <c r="K21" i="1"/>
  <c r="P21" i="1" s="1"/>
  <c r="K20" i="1"/>
  <c r="P20" i="1" s="1"/>
  <c r="K19" i="1"/>
  <c r="P19" i="1" s="1"/>
  <c r="K18" i="1"/>
  <c r="S18" i="1" s="1"/>
  <c r="K17" i="1"/>
  <c r="S17" i="1" s="1"/>
  <c r="K16" i="1"/>
  <c r="P16" i="1" s="1"/>
  <c r="K15" i="1"/>
  <c r="P15" i="1" s="1"/>
  <c r="K14" i="1"/>
  <c r="P14" i="1" s="1"/>
  <c r="K13" i="1"/>
  <c r="P13" i="1" s="1"/>
  <c r="K12" i="1"/>
  <c r="S12" i="1" s="1"/>
  <c r="K11" i="1"/>
  <c r="S11" i="1" s="1"/>
  <c r="K10" i="1"/>
  <c r="S10" i="1" s="1"/>
  <c r="K9" i="1"/>
  <c r="P9" i="1" s="1"/>
  <c r="K8" i="1"/>
  <c r="S8" i="1" s="1"/>
  <c r="K7" i="1"/>
  <c r="S7" i="1" s="1"/>
  <c r="K6" i="1"/>
  <c r="S6" i="1" s="1"/>
  <c r="K5" i="1"/>
  <c r="P5" i="1" s="1"/>
  <c r="K4" i="1"/>
  <c r="P4" i="1" s="1"/>
  <c r="O1471" i="1"/>
  <c r="N1471" i="1"/>
  <c r="M1471" i="1"/>
  <c r="L1471" i="1"/>
  <c r="O1470" i="1"/>
  <c r="N1470" i="1"/>
  <c r="M1470" i="1"/>
  <c r="L1470" i="1"/>
  <c r="O1469" i="1"/>
  <c r="N1469" i="1"/>
  <c r="M1469" i="1"/>
  <c r="L1469" i="1"/>
  <c r="O1468" i="1"/>
  <c r="N1468" i="1"/>
  <c r="M1468" i="1"/>
  <c r="L1468" i="1"/>
  <c r="O1467" i="1"/>
  <c r="N1467" i="1"/>
  <c r="M1467" i="1"/>
  <c r="L1467" i="1"/>
  <c r="O1466" i="1"/>
  <c r="N1466" i="1"/>
  <c r="M1466" i="1"/>
  <c r="L1466" i="1"/>
  <c r="O1465" i="1"/>
  <c r="N1465" i="1"/>
  <c r="M1465" i="1"/>
  <c r="L1465" i="1"/>
  <c r="O1464" i="1"/>
  <c r="N1464" i="1"/>
  <c r="M1464" i="1"/>
  <c r="L1464" i="1"/>
  <c r="O1463" i="1"/>
  <c r="N1463" i="1"/>
  <c r="M1463" i="1"/>
  <c r="L1463" i="1"/>
  <c r="O1462" i="1"/>
  <c r="N1462" i="1"/>
  <c r="M1462" i="1"/>
  <c r="L1462" i="1"/>
  <c r="O1461" i="1"/>
  <c r="N1461" i="1"/>
  <c r="M1461" i="1"/>
  <c r="L1461" i="1"/>
  <c r="O1460" i="1"/>
  <c r="N1460" i="1"/>
  <c r="M1460" i="1"/>
  <c r="L1460" i="1"/>
  <c r="O1459" i="1"/>
  <c r="N1459" i="1"/>
  <c r="M1459" i="1"/>
  <c r="L1459" i="1"/>
  <c r="O1458" i="1"/>
  <c r="N1458" i="1"/>
  <c r="M1458" i="1"/>
  <c r="L1458" i="1"/>
  <c r="O1457" i="1"/>
  <c r="N1457" i="1"/>
  <c r="M1457" i="1"/>
  <c r="L1457" i="1"/>
  <c r="O1456" i="1"/>
  <c r="N1456" i="1"/>
  <c r="M1456" i="1"/>
  <c r="L1456" i="1"/>
  <c r="O1455" i="1"/>
  <c r="N1455" i="1"/>
  <c r="M1455" i="1"/>
  <c r="L1455" i="1"/>
  <c r="O1454" i="1"/>
  <c r="N1454" i="1"/>
  <c r="M1454" i="1"/>
  <c r="L1454" i="1"/>
  <c r="O1453" i="1"/>
  <c r="N1453" i="1"/>
  <c r="M1453" i="1"/>
  <c r="L1453" i="1"/>
  <c r="O1452" i="1"/>
  <c r="N1452" i="1"/>
  <c r="M1452" i="1"/>
  <c r="L1452" i="1"/>
  <c r="O1451" i="1"/>
  <c r="N1451" i="1"/>
  <c r="M1451" i="1"/>
  <c r="L1451" i="1"/>
  <c r="O1450" i="1"/>
  <c r="N1450" i="1"/>
  <c r="M1450" i="1"/>
  <c r="L1450" i="1"/>
  <c r="O1449" i="1"/>
  <c r="N1449" i="1"/>
  <c r="M1449" i="1"/>
  <c r="L1449" i="1"/>
  <c r="O1448" i="1"/>
  <c r="N1448" i="1"/>
  <c r="M1448" i="1"/>
  <c r="L1448" i="1"/>
  <c r="O1447" i="1"/>
  <c r="N1447" i="1"/>
  <c r="M1447" i="1"/>
  <c r="L1447" i="1"/>
  <c r="O1446" i="1"/>
  <c r="N1446" i="1"/>
  <c r="M1446" i="1"/>
  <c r="L1446" i="1"/>
  <c r="O1445" i="1"/>
  <c r="N1445" i="1"/>
  <c r="M1445" i="1"/>
  <c r="L1445" i="1"/>
  <c r="O1444" i="1"/>
  <c r="N1444" i="1"/>
  <c r="M1444" i="1"/>
  <c r="L1444" i="1"/>
  <c r="O1443" i="1"/>
  <c r="N1443" i="1"/>
  <c r="M1443" i="1"/>
  <c r="L1443" i="1"/>
  <c r="O1442" i="1"/>
  <c r="N1442" i="1"/>
  <c r="M1442" i="1"/>
  <c r="L1442" i="1"/>
  <c r="O1441" i="1"/>
  <c r="N1441" i="1"/>
  <c r="M1441" i="1"/>
  <c r="L1441" i="1"/>
  <c r="O1440" i="1"/>
  <c r="N1440" i="1"/>
  <c r="M1440" i="1"/>
  <c r="L1440" i="1"/>
  <c r="O1439" i="1"/>
  <c r="N1439" i="1"/>
  <c r="M1439" i="1"/>
  <c r="L1439" i="1"/>
  <c r="O1438" i="1"/>
  <c r="N1438" i="1"/>
  <c r="M1438" i="1"/>
  <c r="L1438" i="1"/>
  <c r="O1437" i="1"/>
  <c r="N1437" i="1"/>
  <c r="M1437" i="1"/>
  <c r="L1437" i="1"/>
  <c r="O1436" i="1"/>
  <c r="N1436" i="1"/>
  <c r="M1436" i="1"/>
  <c r="L1436" i="1"/>
  <c r="O1435" i="1"/>
  <c r="N1435" i="1"/>
  <c r="M1435" i="1"/>
  <c r="L1435" i="1"/>
  <c r="O1434" i="1"/>
  <c r="N1434" i="1"/>
  <c r="M1434" i="1"/>
  <c r="L1434" i="1"/>
  <c r="O1433" i="1"/>
  <c r="N1433" i="1"/>
  <c r="M1433" i="1"/>
  <c r="L1433" i="1"/>
  <c r="O1432" i="1"/>
  <c r="N1432" i="1"/>
  <c r="M1432" i="1"/>
  <c r="L1432" i="1"/>
  <c r="O1431" i="1"/>
  <c r="N1431" i="1"/>
  <c r="M1431" i="1"/>
  <c r="L1431" i="1"/>
  <c r="O1430" i="1"/>
  <c r="N1430" i="1"/>
  <c r="M1430" i="1"/>
  <c r="L1430" i="1"/>
  <c r="O1429" i="1"/>
  <c r="N1429" i="1"/>
  <c r="M1429" i="1"/>
  <c r="L1429" i="1"/>
  <c r="O1428" i="1"/>
  <c r="N1428" i="1"/>
  <c r="M1428" i="1"/>
  <c r="L1428" i="1"/>
  <c r="O1427" i="1"/>
  <c r="N1427" i="1"/>
  <c r="M1427" i="1"/>
  <c r="L1427" i="1"/>
  <c r="O1426" i="1"/>
  <c r="N1426" i="1"/>
  <c r="M1426" i="1"/>
  <c r="L1426" i="1"/>
  <c r="O1425" i="1"/>
  <c r="N1425" i="1"/>
  <c r="M1425" i="1"/>
  <c r="L1425" i="1"/>
  <c r="O1424" i="1"/>
  <c r="N1424" i="1"/>
  <c r="M1424" i="1"/>
  <c r="L1424" i="1"/>
  <c r="O1423" i="1"/>
  <c r="N1423" i="1"/>
  <c r="M1423" i="1"/>
  <c r="L1423" i="1"/>
  <c r="O1422" i="1"/>
  <c r="N1422" i="1"/>
  <c r="M1422" i="1"/>
  <c r="L1422" i="1"/>
  <c r="O1421" i="1"/>
  <c r="N1421" i="1"/>
  <c r="M1421" i="1"/>
  <c r="L1421" i="1"/>
  <c r="O1420" i="1"/>
  <c r="N1420" i="1"/>
  <c r="M1420" i="1"/>
  <c r="L1420" i="1"/>
  <c r="O1419" i="1"/>
  <c r="N1419" i="1"/>
  <c r="M1419" i="1"/>
  <c r="L1419" i="1"/>
  <c r="O1418" i="1"/>
  <c r="N1418" i="1"/>
  <c r="M1418" i="1"/>
  <c r="L1418" i="1"/>
  <c r="O1417" i="1"/>
  <c r="N1417" i="1"/>
  <c r="M1417" i="1"/>
  <c r="L1417" i="1"/>
  <c r="O1416" i="1"/>
  <c r="N1416" i="1"/>
  <c r="M1416" i="1"/>
  <c r="L1416" i="1"/>
  <c r="O1415" i="1"/>
  <c r="N1415" i="1"/>
  <c r="M1415" i="1"/>
  <c r="L1415" i="1"/>
  <c r="O1414" i="1"/>
  <c r="N1414" i="1"/>
  <c r="M1414" i="1"/>
  <c r="L1414" i="1"/>
  <c r="O1413" i="1"/>
  <c r="N1413" i="1"/>
  <c r="M1413" i="1"/>
  <c r="L1413" i="1"/>
  <c r="O1412" i="1"/>
  <c r="N1412" i="1"/>
  <c r="M1412" i="1"/>
  <c r="L1412" i="1"/>
  <c r="O1411" i="1"/>
  <c r="N1411" i="1"/>
  <c r="M1411" i="1"/>
  <c r="L1411" i="1"/>
  <c r="O1410" i="1"/>
  <c r="N1410" i="1"/>
  <c r="M1410" i="1"/>
  <c r="L1410" i="1"/>
  <c r="O1409" i="1"/>
  <c r="N1409" i="1"/>
  <c r="M1409" i="1"/>
  <c r="L1409" i="1"/>
  <c r="O1408" i="1"/>
  <c r="N1408" i="1"/>
  <c r="M1408" i="1"/>
  <c r="L1408" i="1"/>
  <c r="O1407" i="1"/>
  <c r="N1407" i="1"/>
  <c r="M1407" i="1"/>
  <c r="L1407" i="1"/>
  <c r="O1406" i="1"/>
  <c r="N1406" i="1"/>
  <c r="M1406" i="1"/>
  <c r="L1406" i="1"/>
  <c r="O1405" i="1"/>
  <c r="N1405" i="1"/>
  <c r="M1405" i="1"/>
  <c r="L1405" i="1"/>
  <c r="O1404" i="1"/>
  <c r="N1404" i="1"/>
  <c r="M1404" i="1"/>
  <c r="L1404" i="1"/>
  <c r="O1403" i="1"/>
  <c r="N1403" i="1"/>
  <c r="M1403" i="1"/>
  <c r="L1403" i="1"/>
  <c r="O1402" i="1"/>
  <c r="N1402" i="1"/>
  <c r="M1402" i="1"/>
  <c r="L1402" i="1"/>
  <c r="O1401" i="1"/>
  <c r="N1401" i="1"/>
  <c r="M1401" i="1"/>
  <c r="L1401" i="1"/>
  <c r="O1400" i="1"/>
  <c r="N1400" i="1"/>
  <c r="M1400" i="1"/>
  <c r="L1400" i="1"/>
  <c r="O1399" i="1"/>
  <c r="N1399" i="1"/>
  <c r="M1399" i="1"/>
  <c r="L1399" i="1"/>
  <c r="O1398" i="1"/>
  <c r="N1398" i="1"/>
  <c r="M1398" i="1"/>
  <c r="L1398" i="1"/>
  <c r="O1397" i="1"/>
  <c r="N1397" i="1"/>
  <c r="M1397" i="1"/>
  <c r="L1397" i="1"/>
  <c r="O1396" i="1"/>
  <c r="N1396" i="1"/>
  <c r="M1396" i="1"/>
  <c r="L1396" i="1"/>
  <c r="O1395" i="1"/>
  <c r="N1395" i="1"/>
  <c r="M1395" i="1"/>
  <c r="L1395" i="1"/>
  <c r="O1394" i="1"/>
  <c r="N1394" i="1"/>
  <c r="M1394" i="1"/>
  <c r="L1394" i="1"/>
  <c r="O1393" i="1"/>
  <c r="N1393" i="1"/>
  <c r="M1393" i="1"/>
  <c r="L1393" i="1"/>
  <c r="O1392" i="1"/>
  <c r="N1392" i="1"/>
  <c r="M1392" i="1"/>
  <c r="L1392" i="1"/>
  <c r="O1391" i="1"/>
  <c r="N1391" i="1"/>
  <c r="M1391" i="1"/>
  <c r="L1391" i="1"/>
  <c r="O1390" i="1"/>
  <c r="N1390" i="1"/>
  <c r="M1390" i="1"/>
  <c r="L1390" i="1"/>
  <c r="O1389" i="1"/>
  <c r="N1389" i="1"/>
  <c r="M1389" i="1"/>
  <c r="L1389" i="1"/>
  <c r="O1388" i="1"/>
  <c r="N1388" i="1"/>
  <c r="M1388" i="1"/>
  <c r="L1388" i="1"/>
  <c r="O1387" i="1"/>
  <c r="N1387" i="1"/>
  <c r="M1387" i="1"/>
  <c r="L1387" i="1"/>
  <c r="O1386" i="1"/>
  <c r="N1386" i="1"/>
  <c r="M1386" i="1"/>
  <c r="L1386" i="1"/>
  <c r="O1385" i="1"/>
  <c r="N1385" i="1"/>
  <c r="M1385" i="1"/>
  <c r="L1385" i="1"/>
  <c r="O1384" i="1"/>
  <c r="N1384" i="1"/>
  <c r="M1384" i="1"/>
  <c r="L1384" i="1"/>
  <c r="O1383" i="1"/>
  <c r="N1383" i="1"/>
  <c r="M1383" i="1"/>
  <c r="L1383" i="1"/>
  <c r="O1382" i="1"/>
  <c r="N1382" i="1"/>
  <c r="M1382" i="1"/>
  <c r="L1382" i="1"/>
  <c r="O1381" i="1"/>
  <c r="N1381" i="1"/>
  <c r="M1381" i="1"/>
  <c r="L1381" i="1"/>
  <c r="O1380" i="1"/>
  <c r="N1380" i="1"/>
  <c r="M1380" i="1"/>
  <c r="L1380" i="1"/>
  <c r="O1379" i="1"/>
  <c r="N1379" i="1"/>
  <c r="M1379" i="1"/>
  <c r="L1379" i="1"/>
  <c r="O1378" i="1"/>
  <c r="N1378" i="1"/>
  <c r="M1378" i="1"/>
  <c r="L1378" i="1"/>
  <c r="O1377" i="1"/>
  <c r="N1377" i="1"/>
  <c r="M1377" i="1"/>
  <c r="L1377" i="1"/>
  <c r="O1376" i="1"/>
  <c r="N1376" i="1"/>
  <c r="M1376" i="1"/>
  <c r="L1376" i="1"/>
  <c r="O1375" i="1"/>
  <c r="N1375" i="1"/>
  <c r="M1375" i="1"/>
  <c r="L1375" i="1"/>
  <c r="O1374" i="1"/>
  <c r="N1374" i="1"/>
  <c r="M1374" i="1"/>
  <c r="L1374" i="1"/>
  <c r="O1373" i="1"/>
  <c r="N1373" i="1"/>
  <c r="M1373" i="1"/>
  <c r="L1373" i="1"/>
  <c r="O1372" i="1"/>
  <c r="N1372" i="1"/>
  <c r="M1372" i="1"/>
  <c r="L1372" i="1"/>
  <c r="O1371" i="1"/>
  <c r="N1371" i="1"/>
  <c r="M1371" i="1"/>
  <c r="L1371" i="1"/>
  <c r="O1370" i="1"/>
  <c r="N1370" i="1"/>
  <c r="M1370" i="1"/>
  <c r="L1370" i="1"/>
  <c r="O1369" i="1"/>
  <c r="N1369" i="1"/>
  <c r="M1369" i="1"/>
  <c r="L1369" i="1"/>
  <c r="O1368" i="1"/>
  <c r="N1368" i="1"/>
  <c r="M1368" i="1"/>
  <c r="L1368" i="1"/>
  <c r="O1367" i="1"/>
  <c r="N1367" i="1"/>
  <c r="M1367" i="1"/>
  <c r="L1367" i="1"/>
  <c r="O1366" i="1"/>
  <c r="N1366" i="1"/>
  <c r="M1366" i="1"/>
  <c r="L1366" i="1"/>
  <c r="O1365" i="1"/>
  <c r="N1365" i="1"/>
  <c r="M1365" i="1"/>
  <c r="L1365" i="1"/>
  <c r="O1364" i="1"/>
  <c r="N1364" i="1"/>
  <c r="M1364" i="1"/>
  <c r="L1364" i="1"/>
  <c r="O1363" i="1"/>
  <c r="N1363" i="1"/>
  <c r="M1363" i="1"/>
  <c r="L1363" i="1"/>
  <c r="O1362" i="1"/>
  <c r="N1362" i="1"/>
  <c r="M1362" i="1"/>
  <c r="L1362" i="1"/>
  <c r="O1361" i="1"/>
  <c r="N1361" i="1"/>
  <c r="M1361" i="1"/>
  <c r="L1361" i="1"/>
  <c r="O1360" i="1"/>
  <c r="N1360" i="1"/>
  <c r="M1360" i="1"/>
  <c r="L1360" i="1"/>
  <c r="O1359" i="1"/>
  <c r="N1359" i="1"/>
  <c r="M1359" i="1"/>
  <c r="L1359" i="1"/>
  <c r="O1358" i="1"/>
  <c r="N1358" i="1"/>
  <c r="M1358" i="1"/>
  <c r="L1358" i="1"/>
  <c r="O1357" i="1"/>
  <c r="N1357" i="1"/>
  <c r="M1357" i="1"/>
  <c r="L1357" i="1"/>
  <c r="O1356" i="1"/>
  <c r="N1356" i="1"/>
  <c r="M1356" i="1"/>
  <c r="L1356" i="1"/>
  <c r="O1355" i="1"/>
  <c r="N1355" i="1"/>
  <c r="M1355" i="1"/>
  <c r="L1355" i="1"/>
  <c r="O1354" i="1"/>
  <c r="N1354" i="1"/>
  <c r="M1354" i="1"/>
  <c r="L1354" i="1"/>
  <c r="O1353" i="1"/>
  <c r="N1353" i="1"/>
  <c r="M1353" i="1"/>
  <c r="L1353" i="1"/>
  <c r="O1352" i="1"/>
  <c r="N1352" i="1"/>
  <c r="M1352" i="1"/>
  <c r="L1352" i="1"/>
  <c r="O1351" i="1"/>
  <c r="N1351" i="1"/>
  <c r="M1351" i="1"/>
  <c r="L1351" i="1"/>
  <c r="O1350" i="1"/>
  <c r="N1350" i="1"/>
  <c r="M1350" i="1"/>
  <c r="L1350" i="1"/>
  <c r="O1349" i="1"/>
  <c r="N1349" i="1"/>
  <c r="M1349" i="1"/>
  <c r="L1349" i="1"/>
  <c r="O1348" i="1"/>
  <c r="N1348" i="1"/>
  <c r="M1348" i="1"/>
  <c r="L1348" i="1"/>
  <c r="O1347" i="1"/>
  <c r="N1347" i="1"/>
  <c r="M1347" i="1"/>
  <c r="L1347" i="1"/>
  <c r="O1346" i="1"/>
  <c r="N1346" i="1"/>
  <c r="M1346" i="1"/>
  <c r="L1346" i="1"/>
  <c r="O1345" i="1"/>
  <c r="N1345" i="1"/>
  <c r="M1345" i="1"/>
  <c r="L1345" i="1"/>
  <c r="O1344" i="1"/>
  <c r="N1344" i="1"/>
  <c r="M1344" i="1"/>
  <c r="L1344" i="1"/>
  <c r="O1343" i="1"/>
  <c r="N1343" i="1"/>
  <c r="M1343" i="1"/>
  <c r="L1343" i="1"/>
  <c r="O1342" i="1"/>
  <c r="N1342" i="1"/>
  <c r="M1342" i="1"/>
  <c r="L1342" i="1"/>
  <c r="O1341" i="1"/>
  <c r="N1341" i="1"/>
  <c r="M1341" i="1"/>
  <c r="L1341" i="1"/>
  <c r="O1340" i="1"/>
  <c r="N1340" i="1"/>
  <c r="M1340" i="1"/>
  <c r="L1340" i="1"/>
  <c r="O1339" i="1"/>
  <c r="N1339" i="1"/>
  <c r="M1339" i="1"/>
  <c r="L1339" i="1"/>
  <c r="O1338" i="1"/>
  <c r="N1338" i="1"/>
  <c r="M1338" i="1"/>
  <c r="L1338" i="1"/>
  <c r="O1337" i="1"/>
  <c r="N1337" i="1"/>
  <c r="M1337" i="1"/>
  <c r="L1337" i="1"/>
  <c r="O1336" i="1"/>
  <c r="N1336" i="1"/>
  <c r="M1336" i="1"/>
  <c r="L1336" i="1"/>
  <c r="O1335" i="1"/>
  <c r="N1335" i="1"/>
  <c r="M1335" i="1"/>
  <c r="L1335" i="1"/>
  <c r="O1334" i="1"/>
  <c r="N1334" i="1"/>
  <c r="M1334" i="1"/>
  <c r="L1334" i="1"/>
  <c r="O1333" i="1"/>
  <c r="N1333" i="1"/>
  <c r="M1333" i="1"/>
  <c r="L1333" i="1"/>
  <c r="O1332" i="1"/>
  <c r="N1332" i="1"/>
  <c r="M1332" i="1"/>
  <c r="L1332" i="1"/>
  <c r="O1331" i="1"/>
  <c r="N1331" i="1"/>
  <c r="M1331" i="1"/>
  <c r="L1331" i="1"/>
  <c r="O1330" i="1"/>
  <c r="N1330" i="1"/>
  <c r="M1330" i="1"/>
  <c r="L1330" i="1"/>
  <c r="O1329" i="1"/>
  <c r="N1329" i="1"/>
  <c r="M1329" i="1"/>
  <c r="L1329" i="1"/>
  <c r="O1328" i="1"/>
  <c r="N1328" i="1"/>
  <c r="M1328" i="1"/>
  <c r="L1328" i="1"/>
  <c r="O1327" i="1"/>
  <c r="N1327" i="1"/>
  <c r="M1327" i="1"/>
  <c r="L1327" i="1"/>
  <c r="O1326" i="1"/>
  <c r="N1326" i="1"/>
  <c r="M1326" i="1"/>
  <c r="L1326" i="1"/>
  <c r="O1325" i="1"/>
  <c r="N1325" i="1"/>
  <c r="M1325" i="1"/>
  <c r="L1325" i="1"/>
  <c r="O1324" i="1"/>
  <c r="N1324" i="1"/>
  <c r="M1324" i="1"/>
  <c r="L1324" i="1"/>
  <c r="O1323" i="1"/>
  <c r="N1323" i="1"/>
  <c r="M1323" i="1"/>
  <c r="L1323" i="1"/>
  <c r="O1322" i="1"/>
  <c r="N1322" i="1"/>
  <c r="M1322" i="1"/>
  <c r="L1322" i="1"/>
  <c r="O1321" i="1"/>
  <c r="N1321" i="1"/>
  <c r="M1321" i="1"/>
  <c r="L1321" i="1"/>
  <c r="O1320" i="1"/>
  <c r="N1320" i="1"/>
  <c r="M1320" i="1"/>
  <c r="L1320" i="1"/>
  <c r="O1319" i="1"/>
  <c r="N1319" i="1"/>
  <c r="M1319" i="1"/>
  <c r="L1319" i="1"/>
  <c r="O1318" i="1"/>
  <c r="N1318" i="1"/>
  <c r="M1318" i="1"/>
  <c r="L1318" i="1"/>
  <c r="O1317" i="1"/>
  <c r="N1317" i="1"/>
  <c r="M1317" i="1"/>
  <c r="L1317" i="1"/>
  <c r="O1316" i="1"/>
  <c r="N1316" i="1"/>
  <c r="M1316" i="1"/>
  <c r="L1316" i="1"/>
  <c r="O1315" i="1"/>
  <c r="N1315" i="1"/>
  <c r="M1315" i="1"/>
  <c r="L1315" i="1"/>
  <c r="O1314" i="1"/>
  <c r="N1314" i="1"/>
  <c r="M1314" i="1"/>
  <c r="L1314" i="1"/>
  <c r="O1313" i="1"/>
  <c r="N1313" i="1"/>
  <c r="M1313" i="1"/>
  <c r="L1313" i="1"/>
  <c r="O1312" i="1"/>
  <c r="N1312" i="1"/>
  <c r="M1312" i="1"/>
  <c r="L1312" i="1"/>
  <c r="O1311" i="1"/>
  <c r="N1311" i="1"/>
  <c r="M1311" i="1"/>
  <c r="L1311" i="1"/>
  <c r="O1310" i="1"/>
  <c r="N1310" i="1"/>
  <c r="M1310" i="1"/>
  <c r="L1310" i="1"/>
  <c r="O1309" i="1"/>
  <c r="N1309" i="1"/>
  <c r="M1309" i="1"/>
  <c r="L1309" i="1"/>
  <c r="O1308" i="1"/>
  <c r="N1308" i="1"/>
  <c r="M1308" i="1"/>
  <c r="L1308" i="1"/>
  <c r="O1307" i="1"/>
  <c r="N1307" i="1"/>
  <c r="M1307" i="1"/>
  <c r="L1307" i="1"/>
  <c r="O1306" i="1"/>
  <c r="N1306" i="1"/>
  <c r="M1306" i="1"/>
  <c r="L1306" i="1"/>
  <c r="O1305" i="1"/>
  <c r="N1305" i="1"/>
  <c r="M1305" i="1"/>
  <c r="L1305" i="1"/>
  <c r="O1304" i="1"/>
  <c r="N1304" i="1"/>
  <c r="M1304" i="1"/>
  <c r="L1304" i="1"/>
  <c r="O1303" i="1"/>
  <c r="N1303" i="1"/>
  <c r="M1303" i="1"/>
  <c r="L1303" i="1"/>
  <c r="O1302" i="1"/>
  <c r="N1302" i="1"/>
  <c r="M1302" i="1"/>
  <c r="L1302" i="1"/>
  <c r="O1301" i="1"/>
  <c r="N1301" i="1"/>
  <c r="M1301" i="1"/>
  <c r="L1301" i="1"/>
  <c r="O1300" i="1"/>
  <c r="N1300" i="1"/>
  <c r="M1300" i="1"/>
  <c r="L1300" i="1"/>
  <c r="O1299" i="1"/>
  <c r="N1299" i="1"/>
  <c r="M1299" i="1"/>
  <c r="L1299" i="1"/>
  <c r="O1298" i="1"/>
  <c r="N1298" i="1"/>
  <c r="M1298" i="1"/>
  <c r="L1298" i="1"/>
  <c r="O1297" i="1"/>
  <c r="N1297" i="1"/>
  <c r="M1297" i="1"/>
  <c r="L1297" i="1"/>
  <c r="O1296" i="1"/>
  <c r="N1296" i="1"/>
  <c r="M1296" i="1"/>
  <c r="L1296" i="1"/>
  <c r="O1295" i="1"/>
  <c r="N1295" i="1"/>
  <c r="M1295" i="1"/>
  <c r="L1295" i="1"/>
  <c r="O1294" i="1"/>
  <c r="N1294" i="1"/>
  <c r="M1294" i="1"/>
  <c r="L1294" i="1"/>
  <c r="O1293" i="1"/>
  <c r="N1293" i="1"/>
  <c r="M1293" i="1"/>
  <c r="L1293" i="1"/>
  <c r="O1292" i="1"/>
  <c r="N1292" i="1"/>
  <c r="M1292" i="1"/>
  <c r="L1292" i="1"/>
  <c r="O1291" i="1"/>
  <c r="N1291" i="1"/>
  <c r="M1291" i="1"/>
  <c r="L1291" i="1"/>
  <c r="O1290" i="1"/>
  <c r="N1290" i="1"/>
  <c r="M1290" i="1"/>
  <c r="L1290" i="1"/>
  <c r="O1289" i="1"/>
  <c r="N1289" i="1"/>
  <c r="M1289" i="1"/>
  <c r="L1289" i="1"/>
  <c r="O1288" i="1"/>
  <c r="N1288" i="1"/>
  <c r="M1288" i="1"/>
  <c r="L1288" i="1"/>
  <c r="O1287" i="1"/>
  <c r="N1287" i="1"/>
  <c r="M1287" i="1"/>
  <c r="L1287" i="1"/>
  <c r="O1286" i="1"/>
  <c r="N1286" i="1"/>
  <c r="M1286" i="1"/>
  <c r="L1286" i="1"/>
  <c r="O1285" i="1"/>
  <c r="N1285" i="1"/>
  <c r="M1285" i="1"/>
  <c r="L1285" i="1"/>
  <c r="O1284" i="1"/>
  <c r="N1284" i="1"/>
  <c r="M1284" i="1"/>
  <c r="L1284" i="1"/>
  <c r="O1283" i="1"/>
  <c r="N1283" i="1"/>
  <c r="M1283" i="1"/>
  <c r="L1283" i="1"/>
  <c r="O1282" i="1"/>
  <c r="N1282" i="1"/>
  <c r="M1282" i="1"/>
  <c r="L1282" i="1"/>
  <c r="O1281" i="1"/>
  <c r="N1281" i="1"/>
  <c r="M1281" i="1"/>
  <c r="L1281" i="1"/>
  <c r="O1280" i="1"/>
  <c r="N1280" i="1"/>
  <c r="M1280" i="1"/>
  <c r="L1280" i="1"/>
  <c r="O1279" i="1"/>
  <c r="N1279" i="1"/>
  <c r="M1279" i="1"/>
  <c r="L1279" i="1"/>
  <c r="O1278" i="1"/>
  <c r="N1278" i="1"/>
  <c r="M1278" i="1"/>
  <c r="L1278" i="1"/>
  <c r="O1277" i="1"/>
  <c r="N1277" i="1"/>
  <c r="M1277" i="1"/>
  <c r="L1277" i="1"/>
  <c r="O1276" i="1"/>
  <c r="N1276" i="1"/>
  <c r="M1276" i="1"/>
  <c r="L1276" i="1"/>
  <c r="O1275" i="1"/>
  <c r="N1275" i="1"/>
  <c r="M1275" i="1"/>
  <c r="L1275" i="1"/>
  <c r="O1274" i="1"/>
  <c r="N1274" i="1"/>
  <c r="M1274" i="1"/>
  <c r="L1274" i="1"/>
  <c r="O1273" i="1"/>
  <c r="N1273" i="1"/>
  <c r="M1273" i="1"/>
  <c r="L1273" i="1"/>
  <c r="O1272" i="1"/>
  <c r="N1272" i="1"/>
  <c r="M1272" i="1"/>
  <c r="L1272" i="1"/>
  <c r="O1271" i="1"/>
  <c r="N1271" i="1"/>
  <c r="M1271" i="1"/>
  <c r="L1271" i="1"/>
  <c r="O1270" i="1"/>
  <c r="N1270" i="1"/>
  <c r="M1270" i="1"/>
  <c r="L1270" i="1"/>
  <c r="O1269" i="1"/>
  <c r="N1269" i="1"/>
  <c r="M1269" i="1"/>
  <c r="L1269" i="1"/>
  <c r="O1268" i="1"/>
  <c r="N1268" i="1"/>
  <c r="M1268" i="1"/>
  <c r="L1268" i="1"/>
  <c r="O1267" i="1"/>
  <c r="N1267" i="1"/>
  <c r="M1267" i="1"/>
  <c r="L1267" i="1"/>
  <c r="O1266" i="1"/>
  <c r="N1266" i="1"/>
  <c r="M1266" i="1"/>
  <c r="L1266" i="1"/>
  <c r="O1265" i="1"/>
  <c r="N1265" i="1"/>
  <c r="M1265" i="1"/>
  <c r="L1265" i="1"/>
  <c r="O1264" i="1"/>
  <c r="N1264" i="1"/>
  <c r="M1264" i="1"/>
  <c r="L1264" i="1"/>
  <c r="O1263" i="1"/>
  <c r="N1263" i="1"/>
  <c r="M1263" i="1"/>
  <c r="L1263" i="1"/>
  <c r="O1262" i="1"/>
  <c r="N1262" i="1"/>
  <c r="M1262" i="1"/>
  <c r="L1262" i="1"/>
  <c r="O1261" i="1"/>
  <c r="N1261" i="1"/>
  <c r="M1261" i="1"/>
  <c r="L1261" i="1"/>
  <c r="O1260" i="1"/>
  <c r="N1260" i="1"/>
  <c r="M1260" i="1"/>
  <c r="L1260" i="1"/>
  <c r="O1259" i="1"/>
  <c r="N1259" i="1"/>
  <c r="M1259" i="1"/>
  <c r="L1259" i="1"/>
  <c r="O1258" i="1"/>
  <c r="N1258" i="1"/>
  <c r="M1258" i="1"/>
  <c r="L1258" i="1"/>
  <c r="O1257" i="1"/>
  <c r="N1257" i="1"/>
  <c r="M1257" i="1"/>
  <c r="L1257" i="1"/>
  <c r="O1256" i="1"/>
  <c r="N1256" i="1"/>
  <c r="M1256" i="1"/>
  <c r="L1256" i="1"/>
  <c r="O1255" i="1"/>
  <c r="N1255" i="1"/>
  <c r="M1255" i="1"/>
  <c r="L1255" i="1"/>
  <c r="O1254" i="1"/>
  <c r="N1254" i="1"/>
  <c r="M1254" i="1"/>
  <c r="L1254" i="1"/>
  <c r="O1253" i="1"/>
  <c r="N1253" i="1"/>
  <c r="M1253" i="1"/>
  <c r="L1253" i="1"/>
  <c r="O1252" i="1"/>
  <c r="N1252" i="1"/>
  <c r="M1252" i="1"/>
  <c r="L1252" i="1"/>
  <c r="O1251" i="1"/>
  <c r="N1251" i="1"/>
  <c r="M1251" i="1"/>
  <c r="L1251" i="1"/>
  <c r="O1250" i="1"/>
  <c r="N1250" i="1"/>
  <c r="M1250" i="1"/>
  <c r="L1250" i="1"/>
  <c r="O1249" i="1"/>
  <c r="N1249" i="1"/>
  <c r="M1249" i="1"/>
  <c r="L1249" i="1"/>
  <c r="O1248" i="1"/>
  <c r="N1248" i="1"/>
  <c r="M1248" i="1"/>
  <c r="L1248" i="1"/>
  <c r="O1247" i="1"/>
  <c r="N1247" i="1"/>
  <c r="M1247" i="1"/>
  <c r="L1247" i="1"/>
  <c r="O1246" i="1"/>
  <c r="N1246" i="1"/>
  <c r="M1246" i="1"/>
  <c r="L1246" i="1"/>
  <c r="O1245" i="1"/>
  <c r="N1245" i="1"/>
  <c r="M1245" i="1"/>
  <c r="L1245" i="1"/>
  <c r="O1244" i="1"/>
  <c r="N1244" i="1"/>
  <c r="M1244" i="1"/>
  <c r="L1244" i="1"/>
  <c r="O1243" i="1"/>
  <c r="N1243" i="1"/>
  <c r="M1243" i="1"/>
  <c r="L1243" i="1"/>
  <c r="O1242" i="1"/>
  <c r="N1242" i="1"/>
  <c r="M1242" i="1"/>
  <c r="L1242" i="1"/>
  <c r="O1241" i="1"/>
  <c r="N1241" i="1"/>
  <c r="M1241" i="1"/>
  <c r="L1241" i="1"/>
  <c r="O1240" i="1"/>
  <c r="N1240" i="1"/>
  <c r="M1240" i="1"/>
  <c r="L1240" i="1"/>
  <c r="O1239" i="1"/>
  <c r="N1239" i="1"/>
  <c r="M1239" i="1"/>
  <c r="L1239" i="1"/>
  <c r="O1238" i="1"/>
  <c r="N1238" i="1"/>
  <c r="M1238" i="1"/>
  <c r="L1238" i="1"/>
  <c r="O1237" i="1"/>
  <c r="N1237" i="1"/>
  <c r="M1237" i="1"/>
  <c r="L1237" i="1"/>
  <c r="O1236" i="1"/>
  <c r="N1236" i="1"/>
  <c r="M1236" i="1"/>
  <c r="L1236" i="1"/>
  <c r="O1235" i="1"/>
  <c r="N1235" i="1"/>
  <c r="M1235" i="1"/>
  <c r="L1235" i="1"/>
  <c r="O1234" i="1"/>
  <c r="N1234" i="1"/>
  <c r="M1234" i="1"/>
  <c r="L1234" i="1"/>
  <c r="O1233" i="1"/>
  <c r="N1233" i="1"/>
  <c r="M1233" i="1"/>
  <c r="L1233" i="1"/>
  <c r="O1232" i="1"/>
  <c r="N1232" i="1"/>
  <c r="M1232" i="1"/>
  <c r="L1232" i="1"/>
  <c r="O1231" i="1"/>
  <c r="N1231" i="1"/>
  <c r="M1231" i="1"/>
  <c r="L1231" i="1"/>
  <c r="O1230" i="1"/>
  <c r="N1230" i="1"/>
  <c r="M1230" i="1"/>
  <c r="L1230" i="1"/>
  <c r="O1229" i="1"/>
  <c r="N1229" i="1"/>
  <c r="M1229" i="1"/>
  <c r="L1229" i="1"/>
  <c r="O1228" i="1"/>
  <c r="N1228" i="1"/>
  <c r="M1228" i="1"/>
  <c r="L1228" i="1"/>
  <c r="O1227" i="1"/>
  <c r="N1227" i="1"/>
  <c r="M1227" i="1"/>
  <c r="L1227" i="1"/>
  <c r="O1226" i="1"/>
  <c r="N1226" i="1"/>
  <c r="M1226" i="1"/>
  <c r="L1226" i="1"/>
  <c r="O1225" i="1"/>
  <c r="N1225" i="1"/>
  <c r="M1225" i="1"/>
  <c r="L1225" i="1"/>
  <c r="O1224" i="1"/>
  <c r="N1224" i="1"/>
  <c r="M1224" i="1"/>
  <c r="L1224" i="1"/>
  <c r="O1223" i="1"/>
  <c r="N1223" i="1"/>
  <c r="M1223" i="1"/>
  <c r="L1223" i="1"/>
  <c r="O1222" i="1"/>
  <c r="N1222" i="1"/>
  <c r="M1222" i="1"/>
  <c r="L1222" i="1"/>
  <c r="O1221" i="1"/>
  <c r="N1221" i="1"/>
  <c r="M1221" i="1"/>
  <c r="L1221" i="1"/>
  <c r="O1220" i="1"/>
  <c r="N1220" i="1"/>
  <c r="M1220" i="1"/>
  <c r="L1220" i="1"/>
  <c r="O1219" i="1"/>
  <c r="N1219" i="1"/>
  <c r="M1219" i="1"/>
  <c r="L1219" i="1"/>
  <c r="O1218" i="1"/>
  <c r="N1218" i="1"/>
  <c r="M1218" i="1"/>
  <c r="L1218" i="1"/>
  <c r="O1217" i="1"/>
  <c r="N1217" i="1"/>
  <c r="M1217" i="1"/>
  <c r="L1217" i="1"/>
  <c r="O1216" i="1"/>
  <c r="N1216" i="1"/>
  <c r="M1216" i="1"/>
  <c r="L1216" i="1"/>
  <c r="O1215" i="1"/>
  <c r="N1215" i="1"/>
  <c r="M1215" i="1"/>
  <c r="L1215" i="1"/>
  <c r="O1214" i="1"/>
  <c r="N1214" i="1"/>
  <c r="M1214" i="1"/>
  <c r="L1214" i="1"/>
  <c r="O1213" i="1"/>
  <c r="N1213" i="1"/>
  <c r="M1213" i="1"/>
  <c r="L1213" i="1"/>
  <c r="O1212" i="1"/>
  <c r="N1212" i="1"/>
  <c r="M1212" i="1"/>
  <c r="L1212" i="1"/>
  <c r="O1211" i="1"/>
  <c r="N1211" i="1"/>
  <c r="M1211" i="1"/>
  <c r="L1211" i="1"/>
  <c r="O1210" i="1"/>
  <c r="N1210" i="1"/>
  <c r="M1210" i="1"/>
  <c r="L1210" i="1"/>
  <c r="O1209" i="1"/>
  <c r="N1209" i="1"/>
  <c r="M1209" i="1"/>
  <c r="L1209" i="1"/>
  <c r="O1208" i="1"/>
  <c r="N1208" i="1"/>
  <c r="M1208" i="1"/>
  <c r="L1208" i="1"/>
  <c r="O1207" i="1"/>
  <c r="N1207" i="1"/>
  <c r="M1207" i="1"/>
  <c r="L1207" i="1"/>
  <c r="O1206" i="1"/>
  <c r="N1206" i="1"/>
  <c r="M1206" i="1"/>
  <c r="L1206" i="1"/>
  <c r="O1205" i="1"/>
  <c r="N1205" i="1"/>
  <c r="M1205" i="1"/>
  <c r="L1205" i="1"/>
  <c r="O1204" i="1"/>
  <c r="N1204" i="1"/>
  <c r="M1204" i="1"/>
  <c r="L1204" i="1"/>
  <c r="O1203" i="1"/>
  <c r="N1203" i="1"/>
  <c r="M1203" i="1"/>
  <c r="L1203" i="1"/>
  <c r="O1202" i="1"/>
  <c r="N1202" i="1"/>
  <c r="M1202" i="1"/>
  <c r="L1202" i="1"/>
  <c r="O1201" i="1"/>
  <c r="N1201" i="1"/>
  <c r="M1201" i="1"/>
  <c r="L1201" i="1"/>
  <c r="O1200" i="1"/>
  <c r="N1200" i="1"/>
  <c r="M1200" i="1"/>
  <c r="L1200" i="1"/>
  <c r="O1199" i="1"/>
  <c r="N1199" i="1"/>
  <c r="M1199" i="1"/>
  <c r="L1199" i="1"/>
  <c r="O1198" i="1"/>
  <c r="N1198" i="1"/>
  <c r="M1198" i="1"/>
  <c r="L1198" i="1"/>
  <c r="O1197" i="1"/>
  <c r="N1197" i="1"/>
  <c r="M1197" i="1"/>
  <c r="L1197" i="1"/>
  <c r="O1196" i="1"/>
  <c r="N1196" i="1"/>
  <c r="M1196" i="1"/>
  <c r="L1196" i="1"/>
  <c r="O1195" i="1"/>
  <c r="N1195" i="1"/>
  <c r="M1195" i="1"/>
  <c r="L1195" i="1"/>
  <c r="O1194" i="1"/>
  <c r="N1194" i="1"/>
  <c r="M1194" i="1"/>
  <c r="L1194" i="1"/>
  <c r="O1193" i="1"/>
  <c r="N1193" i="1"/>
  <c r="M1193" i="1"/>
  <c r="L1193" i="1"/>
  <c r="O1192" i="1"/>
  <c r="N1192" i="1"/>
  <c r="M1192" i="1"/>
  <c r="L1192" i="1"/>
  <c r="O1191" i="1"/>
  <c r="N1191" i="1"/>
  <c r="M1191" i="1"/>
  <c r="L1191" i="1"/>
  <c r="O1190" i="1"/>
  <c r="N1190" i="1"/>
  <c r="M1190" i="1"/>
  <c r="L1190" i="1"/>
  <c r="O1189" i="1"/>
  <c r="N1189" i="1"/>
  <c r="M1189" i="1"/>
  <c r="L1189" i="1"/>
  <c r="O1188" i="1"/>
  <c r="N1188" i="1"/>
  <c r="M1188" i="1"/>
  <c r="L1188" i="1"/>
  <c r="O1187" i="1"/>
  <c r="N1187" i="1"/>
  <c r="M1187" i="1"/>
  <c r="L1187" i="1"/>
  <c r="O1186" i="1"/>
  <c r="N1186" i="1"/>
  <c r="M1186" i="1"/>
  <c r="L1186" i="1"/>
  <c r="O1185" i="1"/>
  <c r="N1185" i="1"/>
  <c r="M1185" i="1"/>
  <c r="L1185" i="1"/>
  <c r="O1184" i="1"/>
  <c r="N1184" i="1"/>
  <c r="M1184" i="1"/>
  <c r="L1184" i="1"/>
  <c r="O1183" i="1"/>
  <c r="N1183" i="1"/>
  <c r="M1183" i="1"/>
  <c r="L1183" i="1"/>
  <c r="O1182" i="1"/>
  <c r="N1182" i="1"/>
  <c r="M1182" i="1"/>
  <c r="L1182" i="1"/>
  <c r="O1181" i="1"/>
  <c r="N1181" i="1"/>
  <c r="M1181" i="1"/>
  <c r="L1181" i="1"/>
  <c r="O1180" i="1"/>
  <c r="N1180" i="1"/>
  <c r="M1180" i="1"/>
  <c r="L1180" i="1"/>
  <c r="O1179" i="1"/>
  <c r="N1179" i="1"/>
  <c r="M1179" i="1"/>
  <c r="L1179" i="1"/>
  <c r="O1178" i="1"/>
  <c r="N1178" i="1"/>
  <c r="M1178" i="1"/>
  <c r="L1178" i="1"/>
  <c r="O1177" i="1"/>
  <c r="N1177" i="1"/>
  <c r="M1177" i="1"/>
  <c r="L1177" i="1"/>
  <c r="O1176" i="1"/>
  <c r="N1176" i="1"/>
  <c r="M1176" i="1"/>
  <c r="L1176" i="1"/>
  <c r="O1175" i="1"/>
  <c r="N1175" i="1"/>
  <c r="M1175" i="1"/>
  <c r="L1175" i="1"/>
  <c r="O1174" i="1"/>
  <c r="N1174" i="1"/>
  <c r="M1174" i="1"/>
  <c r="L1174" i="1"/>
  <c r="O1173" i="1"/>
  <c r="N1173" i="1"/>
  <c r="M1173" i="1"/>
  <c r="L1173" i="1"/>
  <c r="O1172" i="1"/>
  <c r="N1172" i="1"/>
  <c r="M1172" i="1"/>
  <c r="L1172" i="1"/>
  <c r="O1171" i="1"/>
  <c r="N1171" i="1"/>
  <c r="M1171" i="1"/>
  <c r="L1171" i="1"/>
  <c r="O1170" i="1"/>
  <c r="N1170" i="1"/>
  <c r="M1170" i="1"/>
  <c r="L1170" i="1"/>
  <c r="O1169" i="1"/>
  <c r="N1169" i="1"/>
  <c r="M1169" i="1"/>
  <c r="L1169" i="1"/>
  <c r="O1168" i="1"/>
  <c r="N1168" i="1"/>
  <c r="M1168" i="1"/>
  <c r="L1168" i="1"/>
  <c r="O1167" i="1"/>
  <c r="N1167" i="1"/>
  <c r="M1167" i="1"/>
  <c r="L1167" i="1"/>
  <c r="O1166" i="1"/>
  <c r="N1166" i="1"/>
  <c r="M1166" i="1"/>
  <c r="L1166" i="1"/>
  <c r="O1165" i="1"/>
  <c r="N1165" i="1"/>
  <c r="M1165" i="1"/>
  <c r="L1165" i="1"/>
  <c r="O1164" i="1"/>
  <c r="N1164" i="1"/>
  <c r="M1164" i="1"/>
  <c r="L1164" i="1"/>
  <c r="O1163" i="1"/>
  <c r="N1163" i="1"/>
  <c r="M1163" i="1"/>
  <c r="L1163" i="1"/>
  <c r="O1162" i="1"/>
  <c r="N1162" i="1"/>
  <c r="M1162" i="1"/>
  <c r="L1162" i="1"/>
  <c r="O1161" i="1"/>
  <c r="N1161" i="1"/>
  <c r="M1161" i="1"/>
  <c r="L1161" i="1"/>
  <c r="O1160" i="1"/>
  <c r="N1160" i="1"/>
  <c r="M1160" i="1"/>
  <c r="L1160" i="1"/>
  <c r="O1159" i="1"/>
  <c r="N1159" i="1"/>
  <c r="M1159" i="1"/>
  <c r="L1159" i="1"/>
  <c r="O1158" i="1"/>
  <c r="N1158" i="1"/>
  <c r="M1158" i="1"/>
  <c r="L1158" i="1"/>
  <c r="O1157" i="1"/>
  <c r="N1157" i="1"/>
  <c r="M1157" i="1"/>
  <c r="L1157" i="1"/>
  <c r="O1156" i="1"/>
  <c r="N1156" i="1"/>
  <c r="M1156" i="1"/>
  <c r="L1156" i="1"/>
  <c r="O1155" i="1"/>
  <c r="N1155" i="1"/>
  <c r="M1155" i="1"/>
  <c r="L1155" i="1"/>
  <c r="O1154" i="1"/>
  <c r="N1154" i="1"/>
  <c r="M1154" i="1"/>
  <c r="L1154" i="1"/>
  <c r="O1153" i="1"/>
  <c r="N1153" i="1"/>
  <c r="M1153" i="1"/>
  <c r="L1153" i="1"/>
  <c r="O1152" i="1"/>
  <c r="N1152" i="1"/>
  <c r="M1152" i="1"/>
  <c r="L1152" i="1"/>
  <c r="O1151" i="1"/>
  <c r="N1151" i="1"/>
  <c r="M1151" i="1"/>
  <c r="L1151" i="1"/>
  <c r="O1150" i="1"/>
  <c r="N1150" i="1"/>
  <c r="M1150" i="1"/>
  <c r="L1150" i="1"/>
  <c r="O1149" i="1"/>
  <c r="N1149" i="1"/>
  <c r="M1149" i="1"/>
  <c r="L1149" i="1"/>
  <c r="O1148" i="1"/>
  <c r="N1148" i="1"/>
  <c r="M1148" i="1"/>
  <c r="L1148" i="1"/>
  <c r="O1147" i="1"/>
  <c r="N1147" i="1"/>
  <c r="M1147" i="1"/>
  <c r="L1147" i="1"/>
  <c r="O1146" i="1"/>
  <c r="N1146" i="1"/>
  <c r="M1146" i="1"/>
  <c r="L1146" i="1"/>
  <c r="O1145" i="1"/>
  <c r="N1145" i="1"/>
  <c r="M1145" i="1"/>
  <c r="L1145" i="1"/>
  <c r="O1144" i="1"/>
  <c r="N1144" i="1"/>
  <c r="M1144" i="1"/>
  <c r="L1144" i="1"/>
  <c r="O1143" i="1"/>
  <c r="N1143" i="1"/>
  <c r="M1143" i="1"/>
  <c r="L1143" i="1"/>
  <c r="O1142" i="1"/>
  <c r="N1142" i="1"/>
  <c r="M1142" i="1"/>
  <c r="L1142" i="1"/>
  <c r="O1141" i="1"/>
  <c r="N1141" i="1"/>
  <c r="M1141" i="1"/>
  <c r="L1141" i="1"/>
  <c r="O1140" i="1"/>
  <c r="N1140" i="1"/>
  <c r="M1140" i="1"/>
  <c r="L1140" i="1"/>
  <c r="O1139" i="1"/>
  <c r="N1139" i="1"/>
  <c r="M1139" i="1"/>
  <c r="L1139" i="1"/>
  <c r="O1138" i="1"/>
  <c r="N1138" i="1"/>
  <c r="M1138" i="1"/>
  <c r="L1138" i="1"/>
  <c r="O1137" i="1"/>
  <c r="N1137" i="1"/>
  <c r="M1137" i="1"/>
  <c r="L1137" i="1"/>
  <c r="O1136" i="1"/>
  <c r="N1136" i="1"/>
  <c r="M1136" i="1"/>
  <c r="L1136" i="1"/>
  <c r="O1135" i="1"/>
  <c r="N1135" i="1"/>
  <c r="M1135" i="1"/>
  <c r="L1135" i="1"/>
  <c r="O1134" i="1"/>
  <c r="N1134" i="1"/>
  <c r="M1134" i="1"/>
  <c r="L1134" i="1"/>
  <c r="O1133" i="1"/>
  <c r="N1133" i="1"/>
  <c r="M1133" i="1"/>
  <c r="L1133" i="1"/>
  <c r="O1132" i="1"/>
  <c r="N1132" i="1"/>
  <c r="M1132" i="1"/>
  <c r="L1132" i="1"/>
  <c r="O1131" i="1"/>
  <c r="N1131" i="1"/>
  <c r="M1131" i="1"/>
  <c r="L1131" i="1"/>
  <c r="O1130" i="1"/>
  <c r="N1130" i="1"/>
  <c r="M1130" i="1"/>
  <c r="L1130" i="1"/>
  <c r="O1129" i="1"/>
  <c r="N1129" i="1"/>
  <c r="M1129" i="1"/>
  <c r="L1129" i="1"/>
  <c r="O1128" i="1"/>
  <c r="N1128" i="1"/>
  <c r="M1128" i="1"/>
  <c r="L1128" i="1"/>
  <c r="O1127" i="1"/>
  <c r="N1127" i="1"/>
  <c r="M1127" i="1"/>
  <c r="L1127" i="1"/>
  <c r="O1126" i="1"/>
  <c r="N1126" i="1"/>
  <c r="M1126" i="1"/>
  <c r="L1126" i="1"/>
  <c r="O1125" i="1"/>
  <c r="N1125" i="1"/>
  <c r="M1125" i="1"/>
  <c r="L1125" i="1"/>
  <c r="O1124" i="1"/>
  <c r="N1124" i="1"/>
  <c r="M1124" i="1"/>
  <c r="L1124" i="1"/>
  <c r="O1123" i="1"/>
  <c r="N1123" i="1"/>
  <c r="M1123" i="1"/>
  <c r="L1123" i="1"/>
  <c r="O1122" i="1"/>
  <c r="N1122" i="1"/>
  <c r="M1122" i="1"/>
  <c r="L1122" i="1"/>
  <c r="O1121" i="1"/>
  <c r="N1121" i="1"/>
  <c r="M1121" i="1"/>
  <c r="L1121" i="1"/>
  <c r="O1120" i="1"/>
  <c r="N1120" i="1"/>
  <c r="M1120" i="1"/>
  <c r="L1120" i="1"/>
  <c r="O1119" i="1"/>
  <c r="N1119" i="1"/>
  <c r="M1119" i="1"/>
  <c r="L1119" i="1"/>
  <c r="O1118" i="1"/>
  <c r="N1118" i="1"/>
  <c r="M1118" i="1"/>
  <c r="L1118" i="1"/>
  <c r="O1117" i="1"/>
  <c r="N1117" i="1"/>
  <c r="M1117" i="1"/>
  <c r="L1117" i="1"/>
  <c r="O1116" i="1"/>
  <c r="N1116" i="1"/>
  <c r="M1116" i="1"/>
  <c r="L1116" i="1"/>
  <c r="O1115" i="1"/>
  <c r="N1115" i="1"/>
  <c r="M1115" i="1"/>
  <c r="L1115" i="1"/>
  <c r="O1114" i="1"/>
  <c r="N1114" i="1"/>
  <c r="M1114" i="1"/>
  <c r="L1114" i="1"/>
  <c r="O1113" i="1"/>
  <c r="N1113" i="1"/>
  <c r="M1113" i="1"/>
  <c r="L1113" i="1"/>
  <c r="O1112" i="1"/>
  <c r="N1112" i="1"/>
  <c r="M1112" i="1"/>
  <c r="L1112" i="1"/>
  <c r="O1111" i="1"/>
  <c r="N1111" i="1"/>
  <c r="M1111" i="1"/>
  <c r="L1111" i="1"/>
  <c r="O1110" i="1"/>
  <c r="N1110" i="1"/>
  <c r="M1110" i="1"/>
  <c r="L1110" i="1"/>
  <c r="O1109" i="1"/>
  <c r="N1109" i="1"/>
  <c r="M1109" i="1"/>
  <c r="L1109" i="1"/>
  <c r="O1108" i="1"/>
  <c r="N1108" i="1"/>
  <c r="M1108" i="1"/>
  <c r="L1108" i="1"/>
  <c r="O1107" i="1"/>
  <c r="N1107" i="1"/>
  <c r="M1107" i="1"/>
  <c r="L1107" i="1"/>
  <c r="O1106" i="1"/>
  <c r="N1106" i="1"/>
  <c r="M1106" i="1"/>
  <c r="L1106" i="1"/>
  <c r="O1105" i="1"/>
  <c r="N1105" i="1"/>
  <c r="M1105" i="1"/>
  <c r="L1105" i="1"/>
  <c r="O1104" i="1"/>
  <c r="N1104" i="1"/>
  <c r="M1104" i="1"/>
  <c r="L1104" i="1"/>
  <c r="O1103" i="1"/>
  <c r="N1103" i="1"/>
  <c r="M1103" i="1"/>
  <c r="L1103" i="1"/>
  <c r="O1102" i="1"/>
  <c r="N1102" i="1"/>
  <c r="M1102" i="1"/>
  <c r="L1102" i="1"/>
  <c r="O1101" i="1"/>
  <c r="N1101" i="1"/>
  <c r="M1101" i="1"/>
  <c r="L1101" i="1"/>
  <c r="O1100" i="1"/>
  <c r="N1100" i="1"/>
  <c r="M1100" i="1"/>
  <c r="L1100" i="1"/>
  <c r="O1099" i="1"/>
  <c r="N1099" i="1"/>
  <c r="M1099" i="1"/>
  <c r="L1099" i="1"/>
  <c r="O1098" i="1"/>
  <c r="N1098" i="1"/>
  <c r="M1098" i="1"/>
  <c r="L1098" i="1"/>
  <c r="O1097" i="1"/>
  <c r="N1097" i="1"/>
  <c r="M1097" i="1"/>
  <c r="L1097" i="1"/>
  <c r="O1096" i="1"/>
  <c r="N1096" i="1"/>
  <c r="M1096" i="1"/>
  <c r="L1096" i="1"/>
  <c r="O1095" i="1"/>
  <c r="N1095" i="1"/>
  <c r="M1095" i="1"/>
  <c r="L1095" i="1"/>
  <c r="O1094" i="1"/>
  <c r="N1094" i="1"/>
  <c r="M1094" i="1"/>
  <c r="L1094" i="1"/>
  <c r="O1093" i="1"/>
  <c r="N1093" i="1"/>
  <c r="M1093" i="1"/>
  <c r="L1093" i="1"/>
  <c r="O1092" i="1"/>
  <c r="N1092" i="1"/>
  <c r="M1092" i="1"/>
  <c r="L1092" i="1"/>
  <c r="O1091" i="1"/>
  <c r="N1091" i="1"/>
  <c r="M1091" i="1"/>
  <c r="L1091" i="1"/>
  <c r="O1090" i="1"/>
  <c r="N1090" i="1"/>
  <c r="M1090" i="1"/>
  <c r="L1090" i="1"/>
  <c r="O1089" i="1"/>
  <c r="N1089" i="1"/>
  <c r="M1089" i="1"/>
  <c r="L1089" i="1"/>
  <c r="O1088" i="1"/>
  <c r="N1088" i="1"/>
  <c r="M1088" i="1"/>
  <c r="L1088" i="1"/>
  <c r="O1087" i="1"/>
  <c r="N1087" i="1"/>
  <c r="M1087" i="1"/>
  <c r="L1087" i="1"/>
  <c r="O1086" i="1"/>
  <c r="N1086" i="1"/>
  <c r="M1086" i="1"/>
  <c r="L1086" i="1"/>
  <c r="O1085" i="1"/>
  <c r="N1085" i="1"/>
  <c r="M1085" i="1"/>
  <c r="L1085" i="1"/>
  <c r="O1084" i="1"/>
  <c r="N1084" i="1"/>
  <c r="M1084" i="1"/>
  <c r="L1084" i="1"/>
  <c r="O1083" i="1"/>
  <c r="N1083" i="1"/>
  <c r="M1083" i="1"/>
  <c r="L1083" i="1"/>
  <c r="O1082" i="1"/>
  <c r="N1082" i="1"/>
  <c r="M1082" i="1"/>
  <c r="L1082" i="1"/>
  <c r="O1081" i="1"/>
  <c r="N1081" i="1"/>
  <c r="M1081" i="1"/>
  <c r="L1081" i="1"/>
  <c r="O1080" i="1"/>
  <c r="N1080" i="1"/>
  <c r="M1080" i="1"/>
  <c r="L1080" i="1"/>
  <c r="O1079" i="1"/>
  <c r="N1079" i="1"/>
  <c r="M1079" i="1"/>
  <c r="L1079" i="1"/>
  <c r="O1078" i="1"/>
  <c r="N1078" i="1"/>
  <c r="M1078" i="1"/>
  <c r="L1078" i="1"/>
  <c r="O1077" i="1"/>
  <c r="N1077" i="1"/>
  <c r="M1077" i="1"/>
  <c r="L1077" i="1"/>
  <c r="O1076" i="1"/>
  <c r="N1076" i="1"/>
  <c r="M1076" i="1"/>
  <c r="L1076" i="1"/>
  <c r="O1075" i="1"/>
  <c r="N1075" i="1"/>
  <c r="M1075" i="1"/>
  <c r="L1075" i="1"/>
  <c r="O1074" i="1"/>
  <c r="N1074" i="1"/>
  <c r="M1074" i="1"/>
  <c r="L1074" i="1"/>
  <c r="O1073" i="1"/>
  <c r="N1073" i="1"/>
  <c r="M1073" i="1"/>
  <c r="L1073" i="1"/>
  <c r="O1072" i="1"/>
  <c r="N1072" i="1"/>
  <c r="M1072" i="1"/>
  <c r="L1072" i="1"/>
  <c r="O1071" i="1"/>
  <c r="N1071" i="1"/>
  <c r="M1071" i="1"/>
  <c r="L1071" i="1"/>
  <c r="O1070" i="1"/>
  <c r="N1070" i="1"/>
  <c r="M1070" i="1"/>
  <c r="L1070" i="1"/>
  <c r="O1069" i="1"/>
  <c r="N1069" i="1"/>
  <c r="M1069" i="1"/>
  <c r="L1069" i="1"/>
  <c r="O1068" i="1"/>
  <c r="N1068" i="1"/>
  <c r="M1068" i="1"/>
  <c r="L1068" i="1"/>
  <c r="O1067" i="1"/>
  <c r="N1067" i="1"/>
  <c r="M1067" i="1"/>
  <c r="L1067" i="1"/>
  <c r="O1066" i="1"/>
  <c r="N1066" i="1"/>
  <c r="M1066" i="1"/>
  <c r="L1066" i="1"/>
  <c r="O1065" i="1"/>
  <c r="N1065" i="1"/>
  <c r="M1065" i="1"/>
  <c r="L1065" i="1"/>
  <c r="O1064" i="1"/>
  <c r="N1064" i="1"/>
  <c r="M1064" i="1"/>
  <c r="L1064" i="1"/>
  <c r="O1063" i="1"/>
  <c r="N1063" i="1"/>
  <c r="M1063" i="1"/>
  <c r="L1063" i="1"/>
  <c r="O1062" i="1"/>
  <c r="N1062" i="1"/>
  <c r="M1062" i="1"/>
  <c r="L1062" i="1"/>
  <c r="O1061" i="1"/>
  <c r="N1061" i="1"/>
  <c r="M1061" i="1"/>
  <c r="L1061" i="1"/>
  <c r="O1060" i="1"/>
  <c r="N1060" i="1"/>
  <c r="M1060" i="1"/>
  <c r="L1060" i="1"/>
  <c r="O1059" i="1"/>
  <c r="N1059" i="1"/>
  <c r="M1059" i="1"/>
  <c r="L1059" i="1"/>
  <c r="O1058" i="1"/>
  <c r="N1058" i="1"/>
  <c r="M1058" i="1"/>
  <c r="L1058" i="1"/>
  <c r="O1057" i="1"/>
  <c r="N1057" i="1"/>
  <c r="M1057" i="1"/>
  <c r="L1057" i="1"/>
  <c r="O1056" i="1"/>
  <c r="N1056" i="1"/>
  <c r="M1056" i="1"/>
  <c r="L1056" i="1"/>
  <c r="O1055" i="1"/>
  <c r="N1055" i="1"/>
  <c r="M1055" i="1"/>
  <c r="L1055" i="1"/>
  <c r="O1054" i="1"/>
  <c r="N1054" i="1"/>
  <c r="M1054" i="1"/>
  <c r="L1054" i="1"/>
  <c r="O1053" i="1"/>
  <c r="N1053" i="1"/>
  <c r="M1053" i="1"/>
  <c r="L1053" i="1"/>
  <c r="O1052" i="1"/>
  <c r="N1052" i="1"/>
  <c r="M1052" i="1"/>
  <c r="L1052" i="1"/>
  <c r="O1051" i="1"/>
  <c r="N1051" i="1"/>
  <c r="M1051" i="1"/>
  <c r="L1051" i="1"/>
  <c r="O1050" i="1"/>
  <c r="N1050" i="1"/>
  <c r="M1050" i="1"/>
  <c r="L1050" i="1"/>
  <c r="O1049" i="1"/>
  <c r="N1049" i="1"/>
  <c r="M1049" i="1"/>
  <c r="L1049" i="1"/>
  <c r="O1048" i="1"/>
  <c r="N1048" i="1"/>
  <c r="M1048" i="1"/>
  <c r="L1048" i="1"/>
  <c r="O1047" i="1"/>
  <c r="N1047" i="1"/>
  <c r="M1047" i="1"/>
  <c r="L1047" i="1"/>
  <c r="O1046" i="1"/>
  <c r="N1046" i="1"/>
  <c r="M1046" i="1"/>
  <c r="L1046" i="1"/>
  <c r="O1045" i="1"/>
  <c r="N1045" i="1"/>
  <c r="M1045" i="1"/>
  <c r="L1045" i="1"/>
  <c r="O1044" i="1"/>
  <c r="N1044" i="1"/>
  <c r="M1044" i="1"/>
  <c r="L1044" i="1"/>
  <c r="O1043" i="1"/>
  <c r="N1043" i="1"/>
  <c r="M1043" i="1"/>
  <c r="L1043" i="1"/>
  <c r="O1042" i="1"/>
  <c r="N1042" i="1"/>
  <c r="M1042" i="1"/>
  <c r="L1042" i="1"/>
  <c r="O1041" i="1"/>
  <c r="N1041" i="1"/>
  <c r="M1041" i="1"/>
  <c r="L1041" i="1"/>
  <c r="O1040" i="1"/>
  <c r="N1040" i="1"/>
  <c r="M1040" i="1"/>
  <c r="L1040" i="1"/>
  <c r="O1039" i="1"/>
  <c r="N1039" i="1"/>
  <c r="M1039" i="1"/>
  <c r="L1039" i="1"/>
  <c r="O1038" i="1"/>
  <c r="N1038" i="1"/>
  <c r="M1038" i="1"/>
  <c r="L1038" i="1"/>
  <c r="O1037" i="1"/>
  <c r="N1037" i="1"/>
  <c r="M1037" i="1"/>
  <c r="L1037" i="1"/>
  <c r="O1036" i="1"/>
  <c r="N1036" i="1"/>
  <c r="M1036" i="1"/>
  <c r="L1036" i="1"/>
  <c r="O1035" i="1"/>
  <c r="N1035" i="1"/>
  <c r="M1035" i="1"/>
  <c r="L1035" i="1"/>
  <c r="O1034" i="1"/>
  <c r="N1034" i="1"/>
  <c r="M1034" i="1"/>
  <c r="L1034" i="1"/>
  <c r="O1033" i="1"/>
  <c r="N1033" i="1"/>
  <c r="M1033" i="1"/>
  <c r="L1033" i="1"/>
  <c r="O1032" i="1"/>
  <c r="N1032" i="1"/>
  <c r="M1032" i="1"/>
  <c r="L1032" i="1"/>
  <c r="O1031" i="1"/>
  <c r="N1031" i="1"/>
  <c r="M1031" i="1"/>
  <c r="L1031" i="1"/>
  <c r="O1030" i="1"/>
  <c r="N1030" i="1"/>
  <c r="M1030" i="1"/>
  <c r="L1030" i="1"/>
  <c r="O1029" i="1"/>
  <c r="N1029" i="1"/>
  <c r="M1029" i="1"/>
  <c r="L1029" i="1"/>
  <c r="O1028" i="1"/>
  <c r="N1028" i="1"/>
  <c r="M1028" i="1"/>
  <c r="L1028" i="1"/>
  <c r="O1027" i="1"/>
  <c r="N1027" i="1"/>
  <c r="M1027" i="1"/>
  <c r="L1027" i="1"/>
  <c r="O1026" i="1"/>
  <c r="N1026" i="1"/>
  <c r="M1026" i="1"/>
  <c r="L1026" i="1"/>
  <c r="O1025" i="1"/>
  <c r="N1025" i="1"/>
  <c r="M1025" i="1"/>
  <c r="L1025" i="1"/>
  <c r="O1024" i="1"/>
  <c r="N1024" i="1"/>
  <c r="M1024" i="1"/>
  <c r="L1024" i="1"/>
  <c r="O1023" i="1"/>
  <c r="N1023" i="1"/>
  <c r="M1023" i="1"/>
  <c r="L1023" i="1"/>
  <c r="O1022" i="1"/>
  <c r="N1022" i="1"/>
  <c r="M1022" i="1"/>
  <c r="L1022" i="1"/>
  <c r="O1021" i="1"/>
  <c r="N1021" i="1"/>
  <c r="M1021" i="1"/>
  <c r="L1021" i="1"/>
  <c r="O1020" i="1"/>
  <c r="N1020" i="1"/>
  <c r="M1020" i="1"/>
  <c r="L1020" i="1"/>
  <c r="O1019" i="1"/>
  <c r="N1019" i="1"/>
  <c r="M1019" i="1"/>
  <c r="L1019" i="1"/>
  <c r="O1018" i="1"/>
  <c r="N1018" i="1"/>
  <c r="M1018" i="1"/>
  <c r="L1018" i="1"/>
  <c r="O1017" i="1"/>
  <c r="N1017" i="1"/>
  <c r="M1017" i="1"/>
  <c r="L1017" i="1"/>
  <c r="O1016" i="1"/>
  <c r="N1016" i="1"/>
  <c r="M1016" i="1"/>
  <c r="L1016" i="1"/>
  <c r="O1015" i="1"/>
  <c r="N1015" i="1"/>
  <c r="M1015" i="1"/>
  <c r="L1015" i="1"/>
  <c r="O1014" i="1"/>
  <c r="N1014" i="1"/>
  <c r="M1014" i="1"/>
  <c r="L1014" i="1"/>
  <c r="O1013" i="1"/>
  <c r="N1013" i="1"/>
  <c r="M1013" i="1"/>
  <c r="L1013" i="1"/>
  <c r="O1012" i="1"/>
  <c r="N1012" i="1"/>
  <c r="M1012" i="1"/>
  <c r="L1012" i="1"/>
  <c r="O1011" i="1"/>
  <c r="N1011" i="1"/>
  <c r="M1011" i="1"/>
  <c r="L1011" i="1"/>
  <c r="O1010" i="1"/>
  <c r="N1010" i="1"/>
  <c r="M1010" i="1"/>
  <c r="L1010" i="1"/>
  <c r="O1009" i="1"/>
  <c r="N1009" i="1"/>
  <c r="M1009" i="1"/>
  <c r="L1009" i="1"/>
  <c r="O1008" i="1"/>
  <c r="N1008" i="1"/>
  <c r="M1008" i="1"/>
  <c r="L1008" i="1"/>
  <c r="O1007" i="1"/>
  <c r="N1007" i="1"/>
  <c r="M1007" i="1"/>
  <c r="L1007" i="1"/>
  <c r="O1006" i="1"/>
  <c r="N1006" i="1"/>
  <c r="M1006" i="1"/>
  <c r="L1006" i="1"/>
  <c r="O1005" i="1"/>
  <c r="N1005" i="1"/>
  <c r="M1005" i="1"/>
  <c r="L1005" i="1"/>
  <c r="O1004" i="1"/>
  <c r="N1004" i="1"/>
  <c r="M1004" i="1"/>
  <c r="L1004" i="1"/>
  <c r="O1003" i="1"/>
  <c r="N1003" i="1"/>
  <c r="M1003" i="1"/>
  <c r="L1003" i="1"/>
  <c r="O1002" i="1"/>
  <c r="N1002" i="1"/>
  <c r="M1002" i="1"/>
  <c r="L1002" i="1"/>
  <c r="O1001" i="1"/>
  <c r="N1001" i="1"/>
  <c r="M1001" i="1"/>
  <c r="L1001" i="1"/>
  <c r="O1000" i="1"/>
  <c r="N1000" i="1"/>
  <c r="M1000" i="1"/>
  <c r="L1000" i="1"/>
  <c r="O999" i="1"/>
  <c r="N999" i="1"/>
  <c r="M999" i="1"/>
  <c r="L999" i="1"/>
  <c r="O998" i="1"/>
  <c r="N998" i="1"/>
  <c r="M998" i="1"/>
  <c r="L998" i="1"/>
  <c r="O997" i="1"/>
  <c r="N997" i="1"/>
  <c r="M997" i="1"/>
  <c r="L997" i="1"/>
  <c r="O996" i="1"/>
  <c r="N996" i="1"/>
  <c r="M996" i="1"/>
  <c r="L996" i="1"/>
  <c r="O995" i="1"/>
  <c r="N995" i="1"/>
  <c r="M995" i="1"/>
  <c r="L995" i="1"/>
  <c r="O994" i="1"/>
  <c r="N994" i="1"/>
  <c r="M994" i="1"/>
  <c r="L994" i="1"/>
  <c r="O993" i="1"/>
  <c r="N993" i="1"/>
  <c r="M993" i="1"/>
  <c r="L993" i="1"/>
  <c r="O992" i="1"/>
  <c r="N992" i="1"/>
  <c r="M992" i="1"/>
  <c r="L992" i="1"/>
  <c r="O991" i="1"/>
  <c r="N991" i="1"/>
  <c r="M991" i="1"/>
  <c r="L991" i="1"/>
  <c r="O990" i="1"/>
  <c r="N990" i="1"/>
  <c r="M990" i="1"/>
  <c r="L990" i="1"/>
  <c r="O989" i="1"/>
  <c r="N989" i="1"/>
  <c r="M989" i="1"/>
  <c r="L989" i="1"/>
  <c r="O988" i="1"/>
  <c r="N988" i="1"/>
  <c r="M988" i="1"/>
  <c r="L988" i="1"/>
  <c r="O987" i="1"/>
  <c r="N987" i="1"/>
  <c r="M987" i="1"/>
  <c r="L987" i="1"/>
  <c r="O986" i="1"/>
  <c r="N986" i="1"/>
  <c r="M986" i="1"/>
  <c r="L986" i="1"/>
  <c r="O985" i="1"/>
  <c r="N985" i="1"/>
  <c r="M985" i="1"/>
  <c r="L985" i="1"/>
  <c r="O984" i="1"/>
  <c r="N984" i="1"/>
  <c r="M984" i="1"/>
  <c r="L984" i="1"/>
  <c r="O983" i="1"/>
  <c r="N983" i="1"/>
  <c r="M983" i="1"/>
  <c r="L983" i="1"/>
  <c r="O982" i="1"/>
  <c r="N982" i="1"/>
  <c r="M982" i="1"/>
  <c r="L982" i="1"/>
  <c r="O981" i="1"/>
  <c r="N981" i="1"/>
  <c r="M981" i="1"/>
  <c r="L981" i="1"/>
  <c r="O980" i="1"/>
  <c r="N980" i="1"/>
  <c r="M980" i="1"/>
  <c r="L980" i="1"/>
  <c r="O979" i="1"/>
  <c r="N979" i="1"/>
  <c r="M979" i="1"/>
  <c r="L979" i="1"/>
  <c r="O978" i="1"/>
  <c r="N978" i="1"/>
  <c r="M978" i="1"/>
  <c r="L978" i="1"/>
  <c r="O977" i="1"/>
  <c r="N977" i="1"/>
  <c r="M977" i="1"/>
  <c r="L977" i="1"/>
  <c r="O976" i="1"/>
  <c r="N976" i="1"/>
  <c r="M976" i="1"/>
  <c r="L976" i="1"/>
  <c r="O975" i="1"/>
  <c r="N975" i="1"/>
  <c r="M975" i="1"/>
  <c r="L975" i="1"/>
  <c r="O974" i="1"/>
  <c r="N974" i="1"/>
  <c r="M974" i="1"/>
  <c r="L974" i="1"/>
  <c r="O973" i="1"/>
  <c r="N973" i="1"/>
  <c r="M973" i="1"/>
  <c r="L973" i="1"/>
  <c r="O972" i="1"/>
  <c r="N972" i="1"/>
  <c r="M972" i="1"/>
  <c r="L972" i="1"/>
  <c r="O971" i="1"/>
  <c r="N971" i="1"/>
  <c r="M971" i="1"/>
  <c r="L971" i="1"/>
  <c r="O970" i="1"/>
  <c r="N970" i="1"/>
  <c r="M970" i="1"/>
  <c r="L970" i="1"/>
  <c r="O969" i="1"/>
  <c r="N969" i="1"/>
  <c r="M969" i="1"/>
  <c r="L969" i="1"/>
  <c r="O968" i="1"/>
  <c r="N968" i="1"/>
  <c r="M968" i="1"/>
  <c r="L968" i="1"/>
  <c r="O967" i="1"/>
  <c r="N967" i="1"/>
  <c r="M967" i="1"/>
  <c r="L967" i="1"/>
  <c r="O966" i="1"/>
  <c r="N966" i="1"/>
  <c r="M966" i="1"/>
  <c r="L966" i="1"/>
  <c r="O965" i="1"/>
  <c r="N965" i="1"/>
  <c r="M965" i="1"/>
  <c r="L965" i="1"/>
  <c r="O964" i="1"/>
  <c r="N964" i="1"/>
  <c r="M964" i="1"/>
  <c r="L964" i="1"/>
  <c r="O963" i="1"/>
  <c r="N963" i="1"/>
  <c r="M963" i="1"/>
  <c r="L963" i="1"/>
  <c r="O962" i="1"/>
  <c r="N962" i="1"/>
  <c r="M962" i="1"/>
  <c r="L962" i="1"/>
  <c r="O961" i="1"/>
  <c r="N961" i="1"/>
  <c r="M961" i="1"/>
  <c r="L961" i="1"/>
  <c r="O960" i="1"/>
  <c r="N960" i="1"/>
  <c r="M960" i="1"/>
  <c r="L960" i="1"/>
  <c r="O959" i="1"/>
  <c r="N959" i="1"/>
  <c r="M959" i="1"/>
  <c r="L959" i="1"/>
  <c r="O958" i="1"/>
  <c r="N958" i="1"/>
  <c r="M958" i="1"/>
  <c r="L958" i="1"/>
  <c r="O957" i="1"/>
  <c r="N957" i="1"/>
  <c r="M957" i="1"/>
  <c r="L957" i="1"/>
  <c r="O956" i="1"/>
  <c r="N956" i="1"/>
  <c r="M956" i="1"/>
  <c r="L956" i="1"/>
  <c r="O955" i="1"/>
  <c r="N955" i="1"/>
  <c r="M955" i="1"/>
  <c r="L955" i="1"/>
  <c r="O954" i="1"/>
  <c r="N954" i="1"/>
  <c r="M954" i="1"/>
  <c r="L954" i="1"/>
  <c r="O953" i="1"/>
  <c r="N953" i="1"/>
  <c r="M953" i="1"/>
  <c r="L953" i="1"/>
  <c r="O952" i="1"/>
  <c r="N952" i="1"/>
  <c r="M952" i="1"/>
  <c r="L952" i="1"/>
  <c r="O951" i="1"/>
  <c r="N951" i="1"/>
  <c r="M951" i="1"/>
  <c r="L951" i="1"/>
  <c r="O950" i="1"/>
  <c r="N950" i="1"/>
  <c r="M950" i="1"/>
  <c r="L950" i="1"/>
  <c r="O949" i="1"/>
  <c r="N949" i="1"/>
  <c r="M949" i="1"/>
  <c r="L949" i="1"/>
  <c r="O948" i="1"/>
  <c r="N948" i="1"/>
  <c r="M948" i="1"/>
  <c r="L948" i="1"/>
  <c r="O947" i="1"/>
  <c r="N947" i="1"/>
  <c r="M947" i="1"/>
  <c r="L947" i="1"/>
  <c r="O946" i="1"/>
  <c r="N946" i="1"/>
  <c r="M946" i="1"/>
  <c r="L946" i="1"/>
  <c r="O945" i="1"/>
  <c r="N945" i="1"/>
  <c r="M945" i="1"/>
  <c r="L945" i="1"/>
  <c r="O944" i="1"/>
  <c r="N944" i="1"/>
  <c r="M944" i="1"/>
  <c r="L944" i="1"/>
  <c r="O943" i="1"/>
  <c r="N943" i="1"/>
  <c r="M943" i="1"/>
  <c r="L943" i="1"/>
  <c r="O942" i="1"/>
  <c r="N942" i="1"/>
  <c r="M942" i="1"/>
  <c r="L942" i="1"/>
  <c r="O941" i="1"/>
  <c r="N941" i="1"/>
  <c r="M941" i="1"/>
  <c r="L941" i="1"/>
  <c r="O940" i="1"/>
  <c r="N940" i="1"/>
  <c r="M940" i="1"/>
  <c r="L940" i="1"/>
  <c r="O939" i="1"/>
  <c r="N939" i="1"/>
  <c r="M939" i="1"/>
  <c r="L939" i="1"/>
  <c r="O938" i="1"/>
  <c r="N938" i="1"/>
  <c r="M938" i="1"/>
  <c r="L938" i="1"/>
  <c r="O937" i="1"/>
  <c r="N937" i="1"/>
  <c r="M937" i="1"/>
  <c r="L937" i="1"/>
  <c r="O936" i="1"/>
  <c r="N936" i="1"/>
  <c r="M936" i="1"/>
  <c r="L936" i="1"/>
  <c r="O935" i="1"/>
  <c r="N935" i="1"/>
  <c r="M935" i="1"/>
  <c r="L935" i="1"/>
  <c r="O934" i="1"/>
  <c r="N934" i="1"/>
  <c r="M934" i="1"/>
  <c r="L934" i="1"/>
  <c r="O933" i="1"/>
  <c r="N933" i="1"/>
  <c r="M933" i="1"/>
  <c r="L933" i="1"/>
  <c r="O932" i="1"/>
  <c r="N932" i="1"/>
  <c r="M932" i="1"/>
  <c r="L932" i="1"/>
  <c r="O931" i="1"/>
  <c r="N931" i="1"/>
  <c r="M931" i="1"/>
  <c r="L931" i="1"/>
  <c r="O930" i="1"/>
  <c r="N930" i="1"/>
  <c r="M930" i="1"/>
  <c r="L930" i="1"/>
  <c r="O929" i="1"/>
  <c r="N929" i="1"/>
  <c r="M929" i="1"/>
  <c r="L929" i="1"/>
  <c r="O928" i="1"/>
  <c r="N928" i="1"/>
  <c r="M928" i="1"/>
  <c r="L928" i="1"/>
  <c r="O927" i="1"/>
  <c r="N927" i="1"/>
  <c r="M927" i="1"/>
  <c r="L927" i="1"/>
  <c r="O926" i="1"/>
  <c r="N926" i="1"/>
  <c r="M926" i="1"/>
  <c r="L926" i="1"/>
  <c r="O925" i="1"/>
  <c r="N925" i="1"/>
  <c r="M925" i="1"/>
  <c r="L925" i="1"/>
  <c r="O924" i="1"/>
  <c r="N924" i="1"/>
  <c r="M924" i="1"/>
  <c r="L924" i="1"/>
  <c r="O923" i="1"/>
  <c r="N923" i="1"/>
  <c r="M923" i="1"/>
  <c r="L923" i="1"/>
  <c r="O922" i="1"/>
  <c r="N922" i="1"/>
  <c r="M922" i="1"/>
  <c r="L922" i="1"/>
  <c r="O921" i="1"/>
  <c r="N921" i="1"/>
  <c r="M921" i="1"/>
  <c r="L921" i="1"/>
  <c r="O920" i="1"/>
  <c r="N920" i="1"/>
  <c r="M920" i="1"/>
  <c r="L920" i="1"/>
  <c r="O919" i="1"/>
  <c r="N919" i="1"/>
  <c r="M919" i="1"/>
  <c r="L919" i="1"/>
  <c r="O918" i="1"/>
  <c r="N918" i="1"/>
  <c r="M918" i="1"/>
  <c r="L918" i="1"/>
  <c r="O917" i="1"/>
  <c r="N917" i="1"/>
  <c r="M917" i="1"/>
  <c r="L917" i="1"/>
  <c r="O916" i="1"/>
  <c r="N916" i="1"/>
  <c r="M916" i="1"/>
  <c r="L916" i="1"/>
  <c r="O915" i="1"/>
  <c r="N915" i="1"/>
  <c r="M915" i="1"/>
  <c r="L915" i="1"/>
  <c r="O914" i="1"/>
  <c r="N914" i="1"/>
  <c r="M914" i="1"/>
  <c r="L914" i="1"/>
  <c r="O913" i="1"/>
  <c r="N913" i="1"/>
  <c r="M913" i="1"/>
  <c r="L913" i="1"/>
  <c r="O912" i="1"/>
  <c r="N912" i="1"/>
  <c r="M912" i="1"/>
  <c r="L912" i="1"/>
  <c r="O911" i="1"/>
  <c r="N911" i="1"/>
  <c r="M911" i="1"/>
  <c r="L911" i="1"/>
  <c r="O910" i="1"/>
  <c r="N910" i="1"/>
  <c r="M910" i="1"/>
  <c r="L910" i="1"/>
  <c r="O909" i="1"/>
  <c r="N909" i="1"/>
  <c r="M909" i="1"/>
  <c r="L909" i="1"/>
  <c r="O908" i="1"/>
  <c r="N908" i="1"/>
  <c r="M908" i="1"/>
  <c r="L908" i="1"/>
  <c r="O907" i="1"/>
  <c r="N907" i="1"/>
  <c r="M907" i="1"/>
  <c r="L907" i="1"/>
  <c r="O906" i="1"/>
  <c r="N906" i="1"/>
  <c r="M906" i="1"/>
  <c r="L906" i="1"/>
  <c r="O905" i="1"/>
  <c r="N905" i="1"/>
  <c r="M905" i="1"/>
  <c r="L905" i="1"/>
  <c r="O904" i="1"/>
  <c r="N904" i="1"/>
  <c r="M904" i="1"/>
  <c r="L904" i="1"/>
  <c r="O903" i="1"/>
  <c r="N903" i="1"/>
  <c r="M903" i="1"/>
  <c r="L903" i="1"/>
  <c r="O902" i="1"/>
  <c r="N902" i="1"/>
  <c r="M902" i="1"/>
  <c r="L902" i="1"/>
  <c r="O901" i="1"/>
  <c r="N901" i="1"/>
  <c r="M901" i="1"/>
  <c r="L901" i="1"/>
  <c r="O900" i="1"/>
  <c r="N900" i="1"/>
  <c r="M900" i="1"/>
  <c r="L900" i="1"/>
  <c r="O899" i="1"/>
  <c r="N899" i="1"/>
  <c r="M899" i="1"/>
  <c r="L899" i="1"/>
  <c r="O898" i="1"/>
  <c r="N898" i="1"/>
  <c r="M898" i="1"/>
  <c r="L898" i="1"/>
  <c r="O897" i="1"/>
  <c r="N897" i="1"/>
  <c r="M897" i="1"/>
  <c r="L897" i="1"/>
  <c r="O896" i="1"/>
  <c r="N896" i="1"/>
  <c r="M896" i="1"/>
  <c r="L896" i="1"/>
  <c r="O895" i="1"/>
  <c r="N895" i="1"/>
  <c r="M895" i="1"/>
  <c r="L895" i="1"/>
  <c r="O894" i="1"/>
  <c r="N894" i="1"/>
  <c r="M894" i="1"/>
  <c r="L894" i="1"/>
  <c r="O893" i="1"/>
  <c r="N893" i="1"/>
  <c r="M893" i="1"/>
  <c r="L893" i="1"/>
  <c r="O892" i="1"/>
  <c r="N892" i="1"/>
  <c r="M892" i="1"/>
  <c r="L892" i="1"/>
  <c r="O891" i="1"/>
  <c r="N891" i="1"/>
  <c r="M891" i="1"/>
  <c r="L891" i="1"/>
  <c r="O890" i="1"/>
  <c r="N890" i="1"/>
  <c r="M890" i="1"/>
  <c r="L890" i="1"/>
  <c r="O889" i="1"/>
  <c r="N889" i="1"/>
  <c r="M889" i="1"/>
  <c r="L889" i="1"/>
  <c r="O888" i="1"/>
  <c r="N888" i="1"/>
  <c r="M888" i="1"/>
  <c r="L888" i="1"/>
  <c r="O887" i="1"/>
  <c r="N887" i="1"/>
  <c r="M887" i="1"/>
  <c r="L887" i="1"/>
  <c r="O886" i="1"/>
  <c r="N886" i="1"/>
  <c r="M886" i="1"/>
  <c r="L886" i="1"/>
  <c r="O885" i="1"/>
  <c r="N885" i="1"/>
  <c r="M885" i="1"/>
  <c r="L885" i="1"/>
  <c r="O884" i="1"/>
  <c r="N884" i="1"/>
  <c r="M884" i="1"/>
  <c r="L884" i="1"/>
  <c r="O883" i="1"/>
  <c r="N883" i="1"/>
  <c r="M883" i="1"/>
  <c r="L883" i="1"/>
  <c r="O882" i="1"/>
  <c r="N882" i="1"/>
  <c r="M882" i="1"/>
  <c r="L882" i="1"/>
  <c r="O881" i="1"/>
  <c r="N881" i="1"/>
  <c r="M881" i="1"/>
  <c r="L881" i="1"/>
  <c r="O880" i="1"/>
  <c r="N880" i="1"/>
  <c r="M880" i="1"/>
  <c r="L880" i="1"/>
  <c r="O879" i="1"/>
  <c r="N879" i="1"/>
  <c r="M879" i="1"/>
  <c r="L879" i="1"/>
  <c r="O878" i="1"/>
  <c r="N878" i="1"/>
  <c r="M878" i="1"/>
  <c r="L878" i="1"/>
  <c r="O877" i="1"/>
  <c r="N877" i="1"/>
  <c r="M877" i="1"/>
  <c r="L877" i="1"/>
  <c r="O876" i="1"/>
  <c r="N876" i="1"/>
  <c r="M876" i="1"/>
  <c r="L876" i="1"/>
  <c r="O875" i="1"/>
  <c r="N875" i="1"/>
  <c r="M875" i="1"/>
  <c r="L875" i="1"/>
  <c r="O874" i="1"/>
  <c r="N874" i="1"/>
  <c r="M874" i="1"/>
  <c r="L87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8" i="1"/>
  <c r="M38" i="1"/>
  <c r="N38" i="1"/>
  <c r="O38" i="1"/>
  <c r="L39" i="1"/>
  <c r="M39" i="1"/>
  <c r="N39" i="1"/>
  <c r="O39" i="1"/>
  <c r="L40" i="1"/>
  <c r="M40" i="1"/>
  <c r="N40" i="1"/>
  <c r="O40" i="1"/>
  <c r="L41" i="1"/>
  <c r="M41" i="1"/>
  <c r="N41" i="1"/>
  <c r="O41" i="1"/>
  <c r="L42" i="1"/>
  <c r="M42" i="1"/>
  <c r="N42" i="1"/>
  <c r="O42" i="1"/>
  <c r="L43" i="1"/>
  <c r="M43" i="1"/>
  <c r="N43" i="1"/>
  <c r="O43" i="1"/>
  <c r="L44" i="1"/>
  <c r="M44" i="1"/>
  <c r="N44" i="1"/>
  <c r="O44" i="1"/>
  <c r="L45" i="1"/>
  <c r="M45" i="1"/>
  <c r="N45" i="1"/>
  <c r="O45" i="1"/>
  <c r="L46" i="1"/>
  <c r="M46" i="1"/>
  <c r="N46" i="1"/>
  <c r="O46" i="1"/>
  <c r="L47" i="1"/>
  <c r="M47" i="1"/>
  <c r="N47" i="1"/>
  <c r="O47" i="1"/>
  <c r="L48" i="1"/>
  <c r="M48" i="1"/>
  <c r="N48" i="1"/>
  <c r="O48" i="1"/>
  <c r="L49" i="1"/>
  <c r="M49" i="1"/>
  <c r="N49" i="1"/>
  <c r="O49" i="1"/>
  <c r="L50" i="1"/>
  <c r="M50" i="1"/>
  <c r="N50" i="1"/>
  <c r="O50" i="1"/>
  <c r="L51" i="1"/>
  <c r="M51" i="1"/>
  <c r="N51" i="1"/>
  <c r="O51" i="1"/>
  <c r="L52" i="1"/>
  <c r="M52" i="1"/>
  <c r="N52" i="1"/>
  <c r="O52" i="1"/>
  <c r="L53" i="1"/>
  <c r="M53" i="1"/>
  <c r="N53" i="1"/>
  <c r="O53" i="1"/>
  <c r="L54" i="1"/>
  <c r="M54" i="1"/>
  <c r="N54" i="1"/>
  <c r="O54" i="1"/>
  <c r="L55" i="1"/>
  <c r="M55" i="1"/>
  <c r="N55" i="1"/>
  <c r="O55" i="1"/>
  <c r="L56" i="1"/>
  <c r="M56" i="1"/>
  <c r="N56" i="1"/>
  <c r="O56" i="1"/>
  <c r="L57" i="1"/>
  <c r="M57" i="1"/>
  <c r="N57" i="1"/>
  <c r="O57" i="1"/>
  <c r="L58" i="1"/>
  <c r="M58" i="1"/>
  <c r="N58" i="1"/>
  <c r="O58" i="1"/>
  <c r="L59" i="1"/>
  <c r="M59" i="1"/>
  <c r="N59" i="1"/>
  <c r="O59" i="1"/>
  <c r="L60" i="1"/>
  <c r="M60" i="1"/>
  <c r="N60" i="1"/>
  <c r="O60" i="1"/>
  <c r="L61" i="1"/>
  <c r="M61" i="1"/>
  <c r="N61" i="1"/>
  <c r="O61" i="1"/>
  <c r="L62" i="1"/>
  <c r="M62" i="1"/>
  <c r="N62" i="1"/>
  <c r="O62" i="1"/>
  <c r="L63" i="1"/>
  <c r="M63" i="1"/>
  <c r="N63" i="1"/>
  <c r="O63" i="1"/>
  <c r="L64" i="1"/>
  <c r="M64" i="1"/>
  <c r="N64" i="1"/>
  <c r="O64" i="1"/>
  <c r="L65" i="1"/>
  <c r="M65" i="1"/>
  <c r="N65" i="1"/>
  <c r="O65" i="1"/>
  <c r="L66" i="1"/>
  <c r="M66" i="1"/>
  <c r="N66" i="1"/>
  <c r="O66" i="1"/>
  <c r="L67" i="1"/>
  <c r="M67" i="1"/>
  <c r="N67" i="1"/>
  <c r="O67" i="1"/>
  <c r="L68" i="1"/>
  <c r="M68" i="1"/>
  <c r="N68" i="1"/>
  <c r="O68" i="1"/>
  <c r="L69" i="1"/>
  <c r="M69" i="1"/>
  <c r="N69" i="1"/>
  <c r="O69" i="1"/>
  <c r="L70" i="1"/>
  <c r="M70" i="1"/>
  <c r="N70" i="1"/>
  <c r="O70" i="1"/>
  <c r="L71" i="1"/>
  <c r="M71" i="1"/>
  <c r="N71" i="1"/>
  <c r="O71" i="1"/>
  <c r="L72" i="1"/>
  <c r="M72" i="1"/>
  <c r="N72" i="1"/>
  <c r="O72" i="1"/>
  <c r="L73" i="1"/>
  <c r="M73" i="1"/>
  <c r="N73" i="1"/>
  <c r="O73" i="1"/>
  <c r="L74" i="1"/>
  <c r="M74" i="1"/>
  <c r="N74" i="1"/>
  <c r="O74" i="1"/>
  <c r="L75" i="1"/>
  <c r="M75" i="1"/>
  <c r="N75" i="1"/>
  <c r="O75" i="1"/>
  <c r="L76" i="1"/>
  <c r="M76" i="1"/>
  <c r="N76" i="1"/>
  <c r="O76" i="1"/>
  <c r="L77" i="1"/>
  <c r="M77" i="1"/>
  <c r="N77" i="1"/>
  <c r="O77" i="1"/>
  <c r="L78" i="1"/>
  <c r="M78" i="1"/>
  <c r="N78" i="1"/>
  <c r="O78" i="1"/>
  <c r="L79" i="1"/>
  <c r="M79" i="1"/>
  <c r="N79" i="1"/>
  <c r="O79" i="1"/>
  <c r="L80" i="1"/>
  <c r="M80" i="1"/>
  <c r="N80" i="1"/>
  <c r="O80" i="1"/>
  <c r="L81" i="1"/>
  <c r="M81" i="1"/>
  <c r="N81" i="1"/>
  <c r="O81" i="1"/>
  <c r="L82" i="1"/>
  <c r="M82" i="1"/>
  <c r="N82" i="1"/>
  <c r="O82" i="1"/>
  <c r="L83" i="1"/>
  <c r="M83" i="1"/>
  <c r="N83" i="1"/>
  <c r="O83" i="1"/>
  <c r="L84" i="1"/>
  <c r="M84" i="1"/>
  <c r="N84" i="1"/>
  <c r="O84" i="1"/>
  <c r="L85" i="1"/>
  <c r="M85" i="1"/>
  <c r="N85" i="1"/>
  <c r="O85" i="1"/>
  <c r="L86" i="1"/>
  <c r="M86" i="1"/>
  <c r="N86" i="1"/>
  <c r="O86" i="1"/>
  <c r="L87" i="1"/>
  <c r="M87" i="1"/>
  <c r="N87" i="1"/>
  <c r="O87" i="1"/>
  <c r="L88" i="1"/>
  <c r="M88" i="1"/>
  <c r="N88" i="1"/>
  <c r="O88" i="1"/>
  <c r="L89" i="1"/>
  <c r="M89" i="1"/>
  <c r="N89" i="1"/>
  <c r="O89" i="1"/>
  <c r="L90" i="1"/>
  <c r="M90" i="1"/>
  <c r="N90" i="1"/>
  <c r="O90" i="1"/>
  <c r="L91" i="1"/>
  <c r="M91" i="1"/>
  <c r="N91" i="1"/>
  <c r="O91" i="1"/>
  <c r="L92" i="1"/>
  <c r="M92" i="1"/>
  <c r="N92" i="1"/>
  <c r="O92" i="1"/>
  <c r="L93" i="1"/>
  <c r="M93" i="1"/>
  <c r="N93" i="1"/>
  <c r="O93" i="1"/>
  <c r="L94" i="1"/>
  <c r="M94" i="1"/>
  <c r="N94" i="1"/>
  <c r="O94" i="1"/>
  <c r="L95" i="1"/>
  <c r="M95" i="1"/>
  <c r="N95" i="1"/>
  <c r="O95" i="1"/>
  <c r="L96" i="1"/>
  <c r="M96" i="1"/>
  <c r="N96" i="1"/>
  <c r="O96" i="1"/>
  <c r="L97" i="1"/>
  <c r="M97" i="1"/>
  <c r="N97" i="1"/>
  <c r="O97" i="1"/>
  <c r="L98" i="1"/>
  <c r="M98" i="1"/>
  <c r="N98" i="1"/>
  <c r="O98" i="1"/>
  <c r="L99" i="1"/>
  <c r="M99" i="1"/>
  <c r="N99" i="1"/>
  <c r="O99" i="1"/>
  <c r="L100" i="1"/>
  <c r="M100" i="1"/>
  <c r="N100" i="1"/>
  <c r="O100" i="1"/>
  <c r="L101" i="1"/>
  <c r="M101" i="1"/>
  <c r="N101" i="1"/>
  <c r="O101" i="1"/>
  <c r="L102" i="1"/>
  <c r="M102" i="1"/>
  <c r="N102" i="1"/>
  <c r="O102" i="1"/>
  <c r="L103" i="1"/>
  <c r="M103" i="1"/>
  <c r="N103" i="1"/>
  <c r="O103" i="1"/>
  <c r="L104" i="1"/>
  <c r="M104" i="1"/>
  <c r="N104" i="1"/>
  <c r="O104" i="1"/>
  <c r="L105" i="1"/>
  <c r="M105" i="1"/>
  <c r="N105" i="1"/>
  <c r="O105" i="1"/>
  <c r="L106" i="1"/>
  <c r="M106" i="1"/>
  <c r="N106" i="1"/>
  <c r="O106" i="1"/>
  <c r="L107" i="1"/>
  <c r="M107" i="1"/>
  <c r="N107" i="1"/>
  <c r="O107" i="1"/>
  <c r="L108" i="1"/>
  <c r="M108" i="1"/>
  <c r="N108" i="1"/>
  <c r="O108" i="1"/>
  <c r="L109" i="1"/>
  <c r="M109" i="1"/>
  <c r="N109" i="1"/>
  <c r="O109" i="1"/>
  <c r="L110" i="1"/>
  <c r="M110" i="1"/>
  <c r="N110" i="1"/>
  <c r="O110" i="1"/>
  <c r="L111" i="1"/>
  <c r="M111" i="1"/>
  <c r="N111" i="1"/>
  <c r="O111" i="1"/>
  <c r="L112" i="1"/>
  <c r="M112" i="1"/>
  <c r="N112" i="1"/>
  <c r="O112" i="1"/>
  <c r="L113" i="1"/>
  <c r="M113" i="1"/>
  <c r="N113" i="1"/>
  <c r="O113" i="1"/>
  <c r="L114" i="1"/>
  <c r="M114" i="1"/>
  <c r="N114" i="1"/>
  <c r="O114" i="1"/>
  <c r="L115" i="1"/>
  <c r="M115" i="1"/>
  <c r="N115" i="1"/>
  <c r="O115" i="1"/>
  <c r="L116" i="1"/>
  <c r="M116" i="1"/>
  <c r="N116" i="1"/>
  <c r="O116" i="1"/>
  <c r="L117" i="1"/>
  <c r="M117" i="1"/>
  <c r="N117" i="1"/>
  <c r="O117" i="1"/>
  <c r="L118" i="1"/>
  <c r="M118" i="1"/>
  <c r="N118" i="1"/>
  <c r="O118" i="1"/>
  <c r="L119" i="1"/>
  <c r="M119" i="1"/>
  <c r="N119" i="1"/>
  <c r="O119" i="1"/>
  <c r="L120" i="1"/>
  <c r="M120" i="1"/>
  <c r="N120" i="1"/>
  <c r="O120" i="1"/>
  <c r="L121" i="1"/>
  <c r="M121" i="1"/>
  <c r="N121" i="1"/>
  <c r="O121" i="1"/>
  <c r="L122" i="1"/>
  <c r="M122" i="1"/>
  <c r="N122" i="1"/>
  <c r="O122" i="1"/>
  <c r="L123" i="1"/>
  <c r="M123" i="1"/>
  <c r="N123" i="1"/>
  <c r="O123" i="1"/>
  <c r="L124" i="1"/>
  <c r="M124" i="1"/>
  <c r="N124" i="1"/>
  <c r="O124" i="1"/>
  <c r="L125" i="1"/>
  <c r="M125" i="1"/>
  <c r="N125" i="1"/>
  <c r="O125" i="1"/>
  <c r="L126" i="1"/>
  <c r="M126" i="1"/>
  <c r="N126" i="1"/>
  <c r="O126" i="1"/>
  <c r="L127" i="1"/>
  <c r="M127" i="1"/>
  <c r="N127" i="1"/>
  <c r="O127" i="1"/>
  <c r="L128" i="1"/>
  <c r="M128" i="1"/>
  <c r="N128" i="1"/>
  <c r="O128" i="1"/>
  <c r="L129" i="1"/>
  <c r="M129" i="1"/>
  <c r="N129" i="1"/>
  <c r="O129" i="1"/>
  <c r="L130" i="1"/>
  <c r="M130" i="1"/>
  <c r="N130" i="1"/>
  <c r="O130" i="1"/>
  <c r="L131" i="1"/>
  <c r="M131" i="1"/>
  <c r="N131" i="1"/>
  <c r="O131" i="1"/>
  <c r="L132" i="1"/>
  <c r="M132" i="1"/>
  <c r="N132" i="1"/>
  <c r="O132" i="1"/>
  <c r="L133" i="1"/>
  <c r="M133" i="1"/>
  <c r="N133" i="1"/>
  <c r="O133" i="1"/>
  <c r="L134" i="1"/>
  <c r="M134" i="1"/>
  <c r="N134" i="1"/>
  <c r="O134" i="1"/>
  <c r="L135" i="1"/>
  <c r="M135" i="1"/>
  <c r="N135" i="1"/>
  <c r="O135" i="1"/>
  <c r="L136" i="1"/>
  <c r="M136" i="1"/>
  <c r="N136" i="1"/>
  <c r="O136" i="1"/>
  <c r="L137" i="1"/>
  <c r="M137" i="1"/>
  <c r="N137" i="1"/>
  <c r="O137" i="1"/>
  <c r="L138" i="1"/>
  <c r="M138" i="1"/>
  <c r="N138" i="1"/>
  <c r="O138" i="1"/>
  <c r="L139" i="1"/>
  <c r="M139" i="1"/>
  <c r="N139" i="1"/>
  <c r="O139" i="1"/>
  <c r="L140" i="1"/>
  <c r="M140" i="1"/>
  <c r="N140" i="1"/>
  <c r="O140" i="1"/>
  <c r="L141" i="1"/>
  <c r="M141" i="1"/>
  <c r="N141" i="1"/>
  <c r="O141" i="1"/>
  <c r="L142" i="1"/>
  <c r="M142" i="1"/>
  <c r="N142" i="1"/>
  <c r="O142" i="1"/>
  <c r="L143" i="1"/>
  <c r="M143" i="1"/>
  <c r="N143" i="1"/>
  <c r="O143" i="1"/>
  <c r="L144" i="1"/>
  <c r="M144" i="1"/>
  <c r="N144" i="1"/>
  <c r="O144" i="1"/>
  <c r="L145" i="1"/>
  <c r="M145" i="1"/>
  <c r="N145" i="1"/>
  <c r="O145" i="1"/>
  <c r="L146" i="1"/>
  <c r="M146" i="1"/>
  <c r="N146" i="1"/>
  <c r="O146" i="1"/>
  <c r="L147" i="1"/>
  <c r="M147" i="1"/>
  <c r="N147" i="1"/>
  <c r="O147" i="1"/>
  <c r="L148" i="1"/>
  <c r="M148" i="1"/>
  <c r="N148" i="1"/>
  <c r="O148" i="1"/>
  <c r="L149" i="1"/>
  <c r="M149" i="1"/>
  <c r="N149" i="1"/>
  <c r="O149" i="1"/>
  <c r="L150" i="1"/>
  <c r="M150" i="1"/>
  <c r="N150" i="1"/>
  <c r="O150" i="1"/>
  <c r="L151" i="1"/>
  <c r="M151" i="1"/>
  <c r="N151" i="1"/>
  <c r="O151" i="1"/>
  <c r="L152" i="1"/>
  <c r="M152" i="1"/>
  <c r="N152" i="1"/>
  <c r="O152" i="1"/>
  <c r="L153" i="1"/>
  <c r="M153" i="1"/>
  <c r="N153" i="1"/>
  <c r="O153" i="1"/>
  <c r="L154" i="1"/>
  <c r="M154" i="1"/>
  <c r="N154" i="1"/>
  <c r="O154" i="1"/>
  <c r="L155" i="1"/>
  <c r="M155" i="1"/>
  <c r="N155" i="1"/>
  <c r="O155" i="1"/>
  <c r="L156" i="1"/>
  <c r="M156" i="1"/>
  <c r="N156" i="1"/>
  <c r="O156" i="1"/>
  <c r="L157" i="1"/>
  <c r="M157" i="1"/>
  <c r="N157" i="1"/>
  <c r="O157" i="1"/>
  <c r="L158" i="1"/>
  <c r="M158" i="1"/>
  <c r="N158" i="1"/>
  <c r="O158" i="1"/>
  <c r="L159" i="1"/>
  <c r="M159" i="1"/>
  <c r="N159" i="1"/>
  <c r="O159" i="1"/>
  <c r="L160" i="1"/>
  <c r="M160" i="1"/>
  <c r="N160" i="1"/>
  <c r="O160" i="1"/>
  <c r="L161" i="1"/>
  <c r="M161" i="1"/>
  <c r="N161" i="1"/>
  <c r="O161" i="1"/>
  <c r="L162" i="1"/>
  <c r="M162" i="1"/>
  <c r="N162" i="1"/>
  <c r="O162" i="1"/>
  <c r="L163" i="1"/>
  <c r="M163" i="1"/>
  <c r="N163" i="1"/>
  <c r="O163" i="1"/>
  <c r="L164" i="1"/>
  <c r="M164" i="1"/>
  <c r="N164" i="1"/>
  <c r="O164" i="1"/>
  <c r="L165" i="1"/>
  <c r="M165" i="1"/>
  <c r="N165" i="1"/>
  <c r="O165" i="1"/>
  <c r="L166" i="1"/>
  <c r="M166" i="1"/>
  <c r="N166" i="1"/>
  <c r="O166" i="1"/>
  <c r="L167" i="1"/>
  <c r="M167" i="1"/>
  <c r="N167" i="1"/>
  <c r="O167" i="1"/>
  <c r="L168" i="1"/>
  <c r="M168" i="1"/>
  <c r="N168" i="1"/>
  <c r="O168" i="1"/>
  <c r="L169" i="1"/>
  <c r="M169" i="1"/>
  <c r="N169" i="1"/>
  <c r="O169" i="1"/>
  <c r="L170" i="1"/>
  <c r="M170" i="1"/>
  <c r="N170" i="1"/>
  <c r="O170" i="1"/>
  <c r="L171" i="1"/>
  <c r="M171" i="1"/>
  <c r="N171" i="1"/>
  <c r="O171" i="1"/>
  <c r="L172" i="1"/>
  <c r="M172" i="1"/>
  <c r="N172" i="1"/>
  <c r="O172" i="1"/>
  <c r="L173" i="1"/>
  <c r="M173" i="1"/>
  <c r="N173" i="1"/>
  <c r="O173" i="1"/>
  <c r="L174" i="1"/>
  <c r="M174" i="1"/>
  <c r="N174" i="1"/>
  <c r="O174" i="1"/>
  <c r="L175" i="1"/>
  <c r="M175" i="1"/>
  <c r="N175" i="1"/>
  <c r="O175" i="1"/>
  <c r="L176" i="1"/>
  <c r="M176" i="1"/>
  <c r="N176" i="1"/>
  <c r="O176" i="1"/>
  <c r="L177" i="1"/>
  <c r="M177" i="1"/>
  <c r="N177" i="1"/>
  <c r="O177" i="1"/>
  <c r="L178" i="1"/>
  <c r="M178" i="1"/>
  <c r="N178" i="1"/>
  <c r="O178" i="1"/>
  <c r="L179" i="1"/>
  <c r="M179" i="1"/>
  <c r="N179" i="1"/>
  <c r="O179" i="1"/>
  <c r="L180" i="1"/>
  <c r="M180" i="1"/>
  <c r="N180" i="1"/>
  <c r="O180" i="1"/>
  <c r="L181" i="1"/>
  <c r="M181" i="1"/>
  <c r="N181" i="1"/>
  <c r="O181" i="1"/>
  <c r="L182" i="1"/>
  <c r="M182" i="1"/>
  <c r="N182" i="1"/>
  <c r="O182" i="1"/>
  <c r="L183" i="1"/>
  <c r="M183" i="1"/>
  <c r="N183" i="1"/>
  <c r="O183" i="1"/>
  <c r="L184" i="1"/>
  <c r="M184" i="1"/>
  <c r="N184" i="1"/>
  <c r="O184" i="1"/>
  <c r="L185" i="1"/>
  <c r="M185" i="1"/>
  <c r="N185" i="1"/>
  <c r="O185" i="1"/>
  <c r="L186" i="1"/>
  <c r="M186" i="1"/>
  <c r="N186" i="1"/>
  <c r="O186" i="1"/>
  <c r="L187" i="1"/>
  <c r="M187" i="1"/>
  <c r="N187" i="1"/>
  <c r="O187" i="1"/>
  <c r="L188" i="1"/>
  <c r="M188" i="1"/>
  <c r="N188" i="1"/>
  <c r="O188" i="1"/>
  <c r="L189" i="1"/>
  <c r="M189" i="1"/>
  <c r="N189" i="1"/>
  <c r="O189" i="1"/>
  <c r="L190" i="1"/>
  <c r="M190" i="1"/>
  <c r="N190" i="1"/>
  <c r="O190" i="1"/>
  <c r="L191" i="1"/>
  <c r="M191" i="1"/>
  <c r="N191" i="1"/>
  <c r="O191" i="1"/>
  <c r="L192" i="1"/>
  <c r="M192" i="1"/>
  <c r="N192" i="1"/>
  <c r="O192" i="1"/>
  <c r="L193" i="1"/>
  <c r="M193" i="1"/>
  <c r="N193" i="1"/>
  <c r="O193" i="1"/>
  <c r="L194" i="1"/>
  <c r="M194" i="1"/>
  <c r="N194" i="1"/>
  <c r="O194" i="1"/>
  <c r="L195" i="1"/>
  <c r="M195" i="1"/>
  <c r="N195" i="1"/>
  <c r="O195" i="1"/>
  <c r="L196" i="1"/>
  <c r="M196" i="1"/>
  <c r="N196" i="1"/>
  <c r="O196" i="1"/>
  <c r="L197" i="1"/>
  <c r="M197" i="1"/>
  <c r="N197" i="1"/>
  <c r="O197" i="1"/>
  <c r="L198" i="1"/>
  <c r="M198" i="1"/>
  <c r="N198" i="1"/>
  <c r="O198" i="1"/>
  <c r="L199" i="1"/>
  <c r="M199" i="1"/>
  <c r="N199" i="1"/>
  <c r="O199" i="1"/>
  <c r="L200" i="1"/>
  <c r="M200" i="1"/>
  <c r="N200" i="1"/>
  <c r="O200" i="1"/>
  <c r="L201" i="1"/>
  <c r="M201" i="1"/>
  <c r="N201" i="1"/>
  <c r="O201" i="1"/>
  <c r="L202" i="1"/>
  <c r="M202" i="1"/>
  <c r="N202" i="1"/>
  <c r="O202" i="1"/>
  <c r="L203" i="1"/>
  <c r="M203" i="1"/>
  <c r="N203" i="1"/>
  <c r="O203" i="1"/>
  <c r="L204" i="1"/>
  <c r="M204" i="1"/>
  <c r="N204" i="1"/>
  <c r="O204" i="1"/>
  <c r="L205" i="1"/>
  <c r="M205" i="1"/>
  <c r="N205" i="1"/>
  <c r="O205" i="1"/>
  <c r="L206" i="1"/>
  <c r="M206" i="1"/>
  <c r="N206" i="1"/>
  <c r="O206" i="1"/>
  <c r="L207" i="1"/>
  <c r="M207" i="1"/>
  <c r="N207" i="1"/>
  <c r="O207" i="1"/>
  <c r="L208" i="1"/>
  <c r="M208" i="1"/>
  <c r="N208" i="1"/>
  <c r="O208" i="1"/>
  <c r="L209" i="1"/>
  <c r="M209" i="1"/>
  <c r="N209" i="1"/>
  <c r="O209" i="1"/>
  <c r="L210" i="1"/>
  <c r="M210" i="1"/>
  <c r="N210" i="1"/>
  <c r="O210" i="1"/>
  <c r="L211" i="1"/>
  <c r="M211" i="1"/>
  <c r="N211" i="1"/>
  <c r="O211" i="1"/>
  <c r="L212" i="1"/>
  <c r="M212" i="1"/>
  <c r="N212" i="1"/>
  <c r="O212" i="1"/>
  <c r="L213" i="1"/>
  <c r="M213" i="1"/>
  <c r="N213" i="1"/>
  <c r="O213" i="1"/>
  <c r="L214" i="1"/>
  <c r="M214" i="1"/>
  <c r="N214" i="1"/>
  <c r="O214" i="1"/>
  <c r="L215" i="1"/>
  <c r="M215" i="1"/>
  <c r="N215" i="1"/>
  <c r="O215" i="1"/>
  <c r="L216" i="1"/>
  <c r="M216" i="1"/>
  <c r="N216" i="1"/>
  <c r="O216" i="1"/>
  <c r="L217" i="1"/>
  <c r="M217" i="1"/>
  <c r="N217" i="1"/>
  <c r="O217" i="1"/>
  <c r="L218" i="1"/>
  <c r="M218" i="1"/>
  <c r="N218" i="1"/>
  <c r="O218" i="1"/>
  <c r="L219" i="1"/>
  <c r="M219" i="1"/>
  <c r="N219" i="1"/>
  <c r="O219" i="1"/>
  <c r="L220" i="1"/>
  <c r="M220" i="1"/>
  <c r="N220" i="1"/>
  <c r="O220" i="1"/>
  <c r="L221" i="1"/>
  <c r="M221" i="1"/>
  <c r="N221" i="1"/>
  <c r="O221" i="1"/>
  <c r="L222" i="1"/>
  <c r="M222" i="1"/>
  <c r="N222" i="1"/>
  <c r="O222" i="1"/>
  <c r="L223" i="1"/>
  <c r="M223" i="1"/>
  <c r="N223" i="1"/>
  <c r="O223" i="1"/>
  <c r="L224" i="1"/>
  <c r="M224" i="1"/>
  <c r="N224" i="1"/>
  <c r="O224" i="1"/>
  <c r="L225" i="1"/>
  <c r="M225" i="1"/>
  <c r="N225" i="1"/>
  <c r="O225" i="1"/>
  <c r="L226" i="1"/>
  <c r="M226" i="1"/>
  <c r="N226" i="1"/>
  <c r="O226" i="1"/>
  <c r="L227" i="1"/>
  <c r="M227" i="1"/>
  <c r="N227" i="1"/>
  <c r="O227" i="1"/>
  <c r="L228" i="1"/>
  <c r="M228" i="1"/>
  <c r="N228" i="1"/>
  <c r="O228" i="1"/>
  <c r="L229" i="1"/>
  <c r="M229" i="1"/>
  <c r="N229" i="1"/>
  <c r="O229" i="1"/>
  <c r="L230" i="1"/>
  <c r="M230" i="1"/>
  <c r="N230" i="1"/>
  <c r="O230" i="1"/>
  <c r="L231" i="1"/>
  <c r="M231" i="1"/>
  <c r="N231" i="1"/>
  <c r="O231" i="1"/>
  <c r="L232" i="1"/>
  <c r="M232" i="1"/>
  <c r="N232" i="1"/>
  <c r="O232" i="1"/>
  <c r="L233" i="1"/>
  <c r="M233" i="1"/>
  <c r="N233" i="1"/>
  <c r="O233" i="1"/>
  <c r="L234" i="1"/>
  <c r="M234" i="1"/>
  <c r="N234" i="1"/>
  <c r="O234" i="1"/>
  <c r="L235" i="1"/>
  <c r="M235" i="1"/>
  <c r="N235" i="1"/>
  <c r="O235" i="1"/>
  <c r="L236" i="1"/>
  <c r="M236" i="1"/>
  <c r="N236" i="1"/>
  <c r="O236" i="1"/>
  <c r="L237" i="1"/>
  <c r="M237" i="1"/>
  <c r="N237" i="1"/>
  <c r="O237" i="1"/>
  <c r="L238" i="1"/>
  <c r="M238" i="1"/>
  <c r="N238" i="1"/>
  <c r="O238" i="1"/>
  <c r="L239" i="1"/>
  <c r="M239" i="1"/>
  <c r="N239" i="1"/>
  <c r="O239" i="1"/>
  <c r="L240" i="1"/>
  <c r="M240" i="1"/>
  <c r="N240" i="1"/>
  <c r="O240" i="1"/>
  <c r="L241" i="1"/>
  <c r="M241" i="1"/>
  <c r="N241" i="1"/>
  <c r="O241" i="1"/>
  <c r="L242" i="1"/>
  <c r="M242" i="1"/>
  <c r="N242" i="1"/>
  <c r="O242" i="1"/>
  <c r="L243" i="1"/>
  <c r="M243" i="1"/>
  <c r="N243" i="1"/>
  <c r="O243" i="1"/>
  <c r="L244" i="1"/>
  <c r="M244" i="1"/>
  <c r="N244" i="1"/>
  <c r="O244" i="1"/>
  <c r="L245" i="1"/>
  <c r="M245" i="1"/>
  <c r="N245" i="1"/>
  <c r="O245" i="1"/>
  <c r="L246" i="1"/>
  <c r="M246" i="1"/>
  <c r="N246" i="1"/>
  <c r="O246" i="1"/>
  <c r="L247" i="1"/>
  <c r="M247" i="1"/>
  <c r="N247" i="1"/>
  <c r="O247" i="1"/>
  <c r="L248" i="1"/>
  <c r="M248" i="1"/>
  <c r="N248" i="1"/>
  <c r="O248" i="1"/>
  <c r="L249" i="1"/>
  <c r="M249" i="1"/>
  <c r="N249" i="1"/>
  <c r="O249" i="1"/>
  <c r="L250" i="1"/>
  <c r="M250" i="1"/>
  <c r="N250" i="1"/>
  <c r="O250" i="1"/>
  <c r="L251" i="1"/>
  <c r="M251" i="1"/>
  <c r="N251" i="1"/>
  <c r="O251" i="1"/>
  <c r="L252" i="1"/>
  <c r="M252" i="1"/>
  <c r="N252" i="1"/>
  <c r="O252" i="1"/>
  <c r="L253" i="1"/>
  <c r="M253" i="1"/>
  <c r="N253" i="1"/>
  <c r="O253" i="1"/>
  <c r="L254" i="1"/>
  <c r="M254" i="1"/>
  <c r="N254" i="1"/>
  <c r="O254" i="1"/>
  <c r="L255" i="1"/>
  <c r="M255" i="1"/>
  <c r="N255" i="1"/>
  <c r="O255" i="1"/>
  <c r="L256" i="1"/>
  <c r="M256" i="1"/>
  <c r="N256" i="1"/>
  <c r="O256" i="1"/>
  <c r="L257" i="1"/>
  <c r="M257" i="1"/>
  <c r="N257" i="1"/>
  <c r="O257" i="1"/>
  <c r="L258" i="1"/>
  <c r="M258" i="1"/>
  <c r="N258" i="1"/>
  <c r="O258" i="1"/>
  <c r="L259" i="1"/>
  <c r="M259" i="1"/>
  <c r="N259" i="1"/>
  <c r="O259" i="1"/>
  <c r="L260" i="1"/>
  <c r="M260" i="1"/>
  <c r="N260" i="1"/>
  <c r="O260" i="1"/>
  <c r="L261" i="1"/>
  <c r="M261" i="1"/>
  <c r="N261" i="1"/>
  <c r="O261" i="1"/>
  <c r="L262" i="1"/>
  <c r="M262" i="1"/>
  <c r="N262" i="1"/>
  <c r="O262" i="1"/>
  <c r="L263" i="1"/>
  <c r="M263" i="1"/>
  <c r="N263" i="1"/>
  <c r="O263" i="1"/>
  <c r="L264" i="1"/>
  <c r="M264" i="1"/>
  <c r="N264" i="1"/>
  <c r="O264" i="1"/>
  <c r="L265" i="1"/>
  <c r="M265" i="1"/>
  <c r="N265" i="1"/>
  <c r="O265" i="1"/>
  <c r="L266" i="1"/>
  <c r="M266" i="1"/>
  <c r="N266" i="1"/>
  <c r="O266" i="1"/>
  <c r="L267" i="1"/>
  <c r="M267" i="1"/>
  <c r="N267" i="1"/>
  <c r="O267" i="1"/>
  <c r="L268" i="1"/>
  <c r="M268" i="1"/>
  <c r="N268" i="1"/>
  <c r="O268" i="1"/>
  <c r="L269" i="1"/>
  <c r="M269" i="1"/>
  <c r="N269" i="1"/>
  <c r="O269" i="1"/>
  <c r="L270" i="1"/>
  <c r="M270" i="1"/>
  <c r="N270" i="1"/>
  <c r="O270" i="1"/>
  <c r="L271" i="1"/>
  <c r="M271" i="1"/>
  <c r="N271" i="1"/>
  <c r="O271" i="1"/>
  <c r="L272" i="1"/>
  <c r="M272" i="1"/>
  <c r="N272" i="1"/>
  <c r="O272" i="1"/>
  <c r="L273" i="1"/>
  <c r="M273" i="1"/>
  <c r="N273" i="1"/>
  <c r="O273" i="1"/>
  <c r="L274" i="1"/>
  <c r="M274" i="1"/>
  <c r="N274" i="1"/>
  <c r="O274" i="1"/>
  <c r="L275" i="1"/>
  <c r="M275" i="1"/>
  <c r="N275" i="1"/>
  <c r="O275" i="1"/>
  <c r="L276" i="1"/>
  <c r="M276" i="1"/>
  <c r="N276" i="1"/>
  <c r="O276" i="1"/>
  <c r="L277" i="1"/>
  <c r="M277" i="1"/>
  <c r="N277" i="1"/>
  <c r="O277" i="1"/>
  <c r="L278" i="1"/>
  <c r="M278" i="1"/>
  <c r="N278" i="1"/>
  <c r="O278" i="1"/>
  <c r="L279" i="1"/>
  <c r="M279" i="1"/>
  <c r="N279" i="1"/>
  <c r="O279" i="1"/>
  <c r="L280" i="1"/>
  <c r="M280" i="1"/>
  <c r="N280" i="1"/>
  <c r="O280" i="1"/>
  <c r="L281" i="1"/>
  <c r="M281" i="1"/>
  <c r="N281" i="1"/>
  <c r="O281" i="1"/>
  <c r="L282" i="1"/>
  <c r="M282" i="1"/>
  <c r="N282" i="1"/>
  <c r="O282" i="1"/>
  <c r="L283" i="1"/>
  <c r="M283" i="1"/>
  <c r="N283" i="1"/>
  <c r="O283" i="1"/>
  <c r="L284" i="1"/>
  <c r="M284" i="1"/>
  <c r="N284" i="1"/>
  <c r="O284" i="1"/>
  <c r="L285" i="1"/>
  <c r="M285" i="1"/>
  <c r="N285" i="1"/>
  <c r="O285" i="1"/>
  <c r="L286" i="1"/>
  <c r="M286" i="1"/>
  <c r="N286" i="1"/>
  <c r="O286" i="1"/>
  <c r="L287" i="1"/>
  <c r="M287" i="1"/>
  <c r="N287" i="1"/>
  <c r="O287" i="1"/>
  <c r="L288" i="1"/>
  <c r="M288" i="1"/>
  <c r="N288" i="1"/>
  <c r="O288" i="1"/>
  <c r="L289" i="1"/>
  <c r="M289" i="1"/>
  <c r="N289" i="1"/>
  <c r="O289" i="1"/>
  <c r="L290" i="1"/>
  <c r="M290" i="1"/>
  <c r="N290" i="1"/>
  <c r="O290" i="1"/>
  <c r="L291" i="1"/>
  <c r="M291" i="1"/>
  <c r="N291" i="1"/>
  <c r="O291" i="1"/>
  <c r="L292" i="1"/>
  <c r="M292" i="1"/>
  <c r="N292" i="1"/>
  <c r="O292" i="1"/>
  <c r="L293" i="1"/>
  <c r="M293" i="1"/>
  <c r="N293" i="1"/>
  <c r="O293" i="1"/>
  <c r="L294" i="1"/>
  <c r="M294" i="1"/>
  <c r="N294" i="1"/>
  <c r="O294" i="1"/>
  <c r="L295" i="1"/>
  <c r="M295" i="1"/>
  <c r="N295" i="1"/>
  <c r="O295" i="1"/>
  <c r="L296" i="1"/>
  <c r="M296" i="1"/>
  <c r="N296" i="1"/>
  <c r="O296" i="1"/>
  <c r="L297" i="1"/>
  <c r="M297" i="1"/>
  <c r="N297" i="1"/>
  <c r="O297" i="1"/>
  <c r="L298" i="1"/>
  <c r="M298" i="1"/>
  <c r="N298" i="1"/>
  <c r="O298" i="1"/>
  <c r="L299" i="1"/>
  <c r="M299" i="1"/>
  <c r="N299" i="1"/>
  <c r="O299" i="1"/>
  <c r="L300" i="1"/>
  <c r="M300" i="1"/>
  <c r="N300" i="1"/>
  <c r="O300" i="1"/>
  <c r="L301" i="1"/>
  <c r="M301" i="1"/>
  <c r="N301" i="1"/>
  <c r="O301" i="1"/>
  <c r="L302" i="1"/>
  <c r="M302" i="1"/>
  <c r="N302" i="1"/>
  <c r="O302" i="1"/>
  <c r="L303" i="1"/>
  <c r="M303" i="1"/>
  <c r="N303" i="1"/>
  <c r="O303" i="1"/>
  <c r="L304" i="1"/>
  <c r="M304" i="1"/>
  <c r="N304" i="1"/>
  <c r="O304" i="1"/>
  <c r="L305" i="1"/>
  <c r="M305" i="1"/>
  <c r="N305" i="1"/>
  <c r="O305" i="1"/>
  <c r="L306" i="1"/>
  <c r="M306" i="1"/>
  <c r="N306" i="1"/>
  <c r="O306" i="1"/>
  <c r="L307" i="1"/>
  <c r="M307" i="1"/>
  <c r="N307" i="1"/>
  <c r="O307" i="1"/>
  <c r="L308" i="1"/>
  <c r="M308" i="1"/>
  <c r="N308" i="1"/>
  <c r="O308" i="1"/>
  <c r="L309" i="1"/>
  <c r="M309" i="1"/>
  <c r="N309" i="1"/>
  <c r="O309" i="1"/>
  <c r="L310" i="1"/>
  <c r="M310" i="1"/>
  <c r="N310" i="1"/>
  <c r="O310" i="1"/>
  <c r="L311" i="1"/>
  <c r="M311" i="1"/>
  <c r="N311" i="1"/>
  <c r="O311" i="1"/>
  <c r="L312" i="1"/>
  <c r="M312" i="1"/>
  <c r="N312" i="1"/>
  <c r="O312" i="1"/>
  <c r="L313" i="1"/>
  <c r="M313" i="1"/>
  <c r="N313" i="1"/>
  <c r="O313" i="1"/>
  <c r="L314" i="1"/>
  <c r="M314" i="1"/>
  <c r="N314" i="1"/>
  <c r="O314" i="1"/>
  <c r="L315" i="1"/>
  <c r="M315" i="1"/>
  <c r="N315" i="1"/>
  <c r="O315" i="1"/>
  <c r="L316" i="1"/>
  <c r="M316" i="1"/>
  <c r="N316" i="1"/>
  <c r="O316" i="1"/>
  <c r="L317" i="1"/>
  <c r="M317" i="1"/>
  <c r="N317" i="1"/>
  <c r="O317" i="1"/>
  <c r="L318" i="1"/>
  <c r="M318" i="1"/>
  <c r="N318" i="1"/>
  <c r="O318" i="1"/>
  <c r="L319" i="1"/>
  <c r="M319" i="1"/>
  <c r="N319" i="1"/>
  <c r="O319" i="1"/>
  <c r="L320" i="1"/>
  <c r="M320" i="1"/>
  <c r="N320" i="1"/>
  <c r="O320" i="1"/>
  <c r="L321" i="1"/>
  <c r="M321" i="1"/>
  <c r="N321" i="1"/>
  <c r="O321" i="1"/>
  <c r="L322" i="1"/>
  <c r="M322" i="1"/>
  <c r="N322" i="1"/>
  <c r="O322" i="1"/>
  <c r="L323" i="1"/>
  <c r="M323" i="1"/>
  <c r="N323" i="1"/>
  <c r="O323" i="1"/>
  <c r="L324" i="1"/>
  <c r="M324" i="1"/>
  <c r="N324" i="1"/>
  <c r="O324" i="1"/>
  <c r="L325" i="1"/>
  <c r="M325" i="1"/>
  <c r="N325" i="1"/>
  <c r="O325" i="1"/>
  <c r="L326" i="1"/>
  <c r="M326" i="1"/>
  <c r="N326" i="1"/>
  <c r="O326" i="1"/>
  <c r="L327" i="1"/>
  <c r="M327" i="1"/>
  <c r="N327" i="1"/>
  <c r="O327" i="1"/>
  <c r="L328" i="1"/>
  <c r="M328" i="1"/>
  <c r="N328" i="1"/>
  <c r="O328" i="1"/>
  <c r="L329" i="1"/>
  <c r="M329" i="1"/>
  <c r="N329" i="1"/>
  <c r="O329" i="1"/>
  <c r="L330" i="1"/>
  <c r="M330" i="1"/>
  <c r="N330" i="1"/>
  <c r="O330" i="1"/>
  <c r="L331" i="1"/>
  <c r="M331" i="1"/>
  <c r="N331" i="1"/>
  <c r="O331" i="1"/>
  <c r="L332" i="1"/>
  <c r="M332" i="1"/>
  <c r="N332" i="1"/>
  <c r="O332" i="1"/>
  <c r="L333" i="1"/>
  <c r="M333" i="1"/>
  <c r="N333" i="1"/>
  <c r="O333" i="1"/>
  <c r="L334" i="1"/>
  <c r="M334" i="1"/>
  <c r="N334" i="1"/>
  <c r="O334" i="1"/>
  <c r="L335" i="1"/>
  <c r="M335" i="1"/>
  <c r="N335" i="1"/>
  <c r="O335" i="1"/>
  <c r="L336" i="1"/>
  <c r="M336" i="1"/>
  <c r="N336" i="1"/>
  <c r="O336" i="1"/>
  <c r="L337" i="1"/>
  <c r="M337" i="1"/>
  <c r="N337" i="1"/>
  <c r="O337" i="1"/>
  <c r="L338" i="1"/>
  <c r="M338" i="1"/>
  <c r="N338" i="1"/>
  <c r="O338" i="1"/>
  <c r="L339" i="1"/>
  <c r="M339" i="1"/>
  <c r="N339" i="1"/>
  <c r="O339" i="1"/>
  <c r="L340" i="1"/>
  <c r="M340" i="1"/>
  <c r="N340" i="1"/>
  <c r="O340" i="1"/>
  <c r="L341" i="1"/>
  <c r="M341" i="1"/>
  <c r="N341" i="1"/>
  <c r="O341" i="1"/>
  <c r="L342" i="1"/>
  <c r="M342" i="1"/>
  <c r="N342" i="1"/>
  <c r="O342" i="1"/>
  <c r="L343" i="1"/>
  <c r="M343" i="1"/>
  <c r="N343" i="1"/>
  <c r="O343" i="1"/>
  <c r="L344" i="1"/>
  <c r="M344" i="1"/>
  <c r="N344" i="1"/>
  <c r="O344" i="1"/>
  <c r="L345" i="1"/>
  <c r="M345" i="1"/>
  <c r="N345" i="1"/>
  <c r="O345" i="1"/>
  <c r="L346" i="1"/>
  <c r="M346" i="1"/>
  <c r="N346" i="1"/>
  <c r="O346" i="1"/>
  <c r="L347" i="1"/>
  <c r="M347" i="1"/>
  <c r="N347" i="1"/>
  <c r="O347" i="1"/>
  <c r="L348" i="1"/>
  <c r="M348" i="1"/>
  <c r="N348" i="1"/>
  <c r="O348" i="1"/>
  <c r="L349" i="1"/>
  <c r="M349" i="1"/>
  <c r="N349" i="1"/>
  <c r="O349" i="1"/>
  <c r="L350" i="1"/>
  <c r="M350" i="1"/>
  <c r="N350" i="1"/>
  <c r="O350" i="1"/>
  <c r="L351" i="1"/>
  <c r="M351" i="1"/>
  <c r="N351" i="1"/>
  <c r="O351" i="1"/>
  <c r="L352" i="1"/>
  <c r="M352" i="1"/>
  <c r="N352" i="1"/>
  <c r="O352" i="1"/>
  <c r="L353" i="1"/>
  <c r="M353" i="1"/>
  <c r="N353" i="1"/>
  <c r="O353" i="1"/>
  <c r="L354" i="1"/>
  <c r="M354" i="1"/>
  <c r="N354" i="1"/>
  <c r="O354" i="1"/>
  <c r="L355" i="1"/>
  <c r="M355" i="1"/>
  <c r="N355" i="1"/>
  <c r="O355" i="1"/>
  <c r="L356" i="1"/>
  <c r="M356" i="1"/>
  <c r="N356" i="1"/>
  <c r="O356" i="1"/>
  <c r="L357" i="1"/>
  <c r="M357" i="1"/>
  <c r="N357" i="1"/>
  <c r="O357" i="1"/>
  <c r="L358" i="1"/>
  <c r="M358" i="1"/>
  <c r="N358" i="1"/>
  <c r="O358" i="1"/>
  <c r="L359" i="1"/>
  <c r="M359" i="1"/>
  <c r="N359" i="1"/>
  <c r="O359" i="1"/>
  <c r="L360" i="1"/>
  <c r="M360" i="1"/>
  <c r="N360" i="1"/>
  <c r="O360" i="1"/>
  <c r="L361" i="1"/>
  <c r="M361" i="1"/>
  <c r="N361" i="1"/>
  <c r="O361" i="1"/>
  <c r="L362" i="1"/>
  <c r="M362" i="1"/>
  <c r="N362" i="1"/>
  <c r="O362" i="1"/>
  <c r="L363" i="1"/>
  <c r="M363" i="1"/>
  <c r="N363" i="1"/>
  <c r="O363" i="1"/>
  <c r="L364" i="1"/>
  <c r="M364" i="1"/>
  <c r="N364" i="1"/>
  <c r="O364" i="1"/>
  <c r="L365" i="1"/>
  <c r="M365" i="1"/>
  <c r="N365" i="1"/>
  <c r="O365" i="1"/>
  <c r="L366" i="1"/>
  <c r="M366" i="1"/>
  <c r="N366" i="1"/>
  <c r="O366" i="1"/>
  <c r="L367" i="1"/>
  <c r="M367" i="1"/>
  <c r="N367" i="1"/>
  <c r="O367" i="1"/>
  <c r="L368" i="1"/>
  <c r="M368" i="1"/>
  <c r="N368" i="1"/>
  <c r="O368" i="1"/>
  <c r="L369" i="1"/>
  <c r="M369" i="1"/>
  <c r="N369" i="1"/>
  <c r="O369" i="1"/>
  <c r="L370" i="1"/>
  <c r="M370" i="1"/>
  <c r="N370" i="1"/>
  <c r="O370" i="1"/>
  <c r="L371" i="1"/>
  <c r="M371" i="1"/>
  <c r="N371" i="1"/>
  <c r="O371" i="1"/>
  <c r="L372" i="1"/>
  <c r="M372" i="1"/>
  <c r="N372" i="1"/>
  <c r="O372" i="1"/>
  <c r="L373" i="1"/>
  <c r="M373" i="1"/>
  <c r="N373" i="1"/>
  <c r="O373" i="1"/>
  <c r="L374" i="1"/>
  <c r="M374" i="1"/>
  <c r="N374" i="1"/>
  <c r="O374" i="1"/>
  <c r="L375" i="1"/>
  <c r="M375" i="1"/>
  <c r="N375" i="1"/>
  <c r="O375" i="1"/>
  <c r="L376" i="1"/>
  <c r="M376" i="1"/>
  <c r="N376" i="1"/>
  <c r="O376" i="1"/>
  <c r="L377" i="1"/>
  <c r="M377" i="1"/>
  <c r="N377" i="1"/>
  <c r="O377" i="1"/>
  <c r="L378" i="1"/>
  <c r="M378" i="1"/>
  <c r="N378" i="1"/>
  <c r="O378" i="1"/>
  <c r="L379" i="1"/>
  <c r="M379" i="1"/>
  <c r="N379" i="1"/>
  <c r="O379" i="1"/>
  <c r="L380" i="1"/>
  <c r="M380" i="1"/>
  <c r="N380" i="1"/>
  <c r="O380" i="1"/>
  <c r="L381" i="1"/>
  <c r="M381" i="1"/>
  <c r="N381" i="1"/>
  <c r="O381" i="1"/>
  <c r="L382" i="1"/>
  <c r="M382" i="1"/>
  <c r="N382" i="1"/>
  <c r="O382" i="1"/>
  <c r="L383" i="1"/>
  <c r="M383" i="1"/>
  <c r="N383" i="1"/>
  <c r="O383" i="1"/>
  <c r="L384" i="1"/>
  <c r="M384" i="1"/>
  <c r="N384" i="1"/>
  <c r="O384" i="1"/>
  <c r="L385" i="1"/>
  <c r="M385" i="1"/>
  <c r="N385" i="1"/>
  <c r="O385" i="1"/>
  <c r="L386" i="1"/>
  <c r="M386" i="1"/>
  <c r="N386" i="1"/>
  <c r="O386" i="1"/>
  <c r="L387" i="1"/>
  <c r="M387" i="1"/>
  <c r="N387" i="1"/>
  <c r="O387" i="1"/>
  <c r="L388" i="1"/>
  <c r="M388" i="1"/>
  <c r="N388" i="1"/>
  <c r="O388" i="1"/>
  <c r="L389" i="1"/>
  <c r="M389" i="1"/>
  <c r="N389" i="1"/>
  <c r="O389" i="1"/>
  <c r="L390" i="1"/>
  <c r="M390" i="1"/>
  <c r="N390" i="1"/>
  <c r="O390" i="1"/>
  <c r="L391" i="1"/>
  <c r="M391" i="1"/>
  <c r="N391" i="1"/>
  <c r="O391" i="1"/>
  <c r="L392" i="1"/>
  <c r="M392" i="1"/>
  <c r="N392" i="1"/>
  <c r="O392" i="1"/>
  <c r="L393" i="1"/>
  <c r="M393" i="1"/>
  <c r="N393" i="1"/>
  <c r="O393" i="1"/>
  <c r="L394" i="1"/>
  <c r="M394" i="1"/>
  <c r="N394" i="1"/>
  <c r="O394" i="1"/>
  <c r="L395" i="1"/>
  <c r="M395" i="1"/>
  <c r="N395" i="1"/>
  <c r="O395" i="1"/>
  <c r="L396" i="1"/>
  <c r="M396" i="1"/>
  <c r="N396" i="1"/>
  <c r="O396" i="1"/>
  <c r="L397" i="1"/>
  <c r="M397" i="1"/>
  <c r="N397" i="1"/>
  <c r="O397" i="1"/>
  <c r="L398" i="1"/>
  <c r="M398" i="1"/>
  <c r="N398" i="1"/>
  <c r="O398" i="1"/>
  <c r="L399" i="1"/>
  <c r="M399" i="1"/>
  <c r="N399" i="1"/>
  <c r="O399" i="1"/>
  <c r="L400" i="1"/>
  <c r="M400" i="1"/>
  <c r="N400" i="1"/>
  <c r="O400" i="1"/>
  <c r="L401" i="1"/>
  <c r="M401" i="1"/>
  <c r="N401" i="1"/>
  <c r="O401" i="1"/>
  <c r="L402" i="1"/>
  <c r="M402" i="1"/>
  <c r="N402" i="1"/>
  <c r="O402" i="1"/>
  <c r="L403" i="1"/>
  <c r="M403" i="1"/>
  <c r="N403" i="1"/>
  <c r="O403" i="1"/>
  <c r="L404" i="1"/>
  <c r="M404" i="1"/>
  <c r="N404" i="1"/>
  <c r="O404" i="1"/>
  <c r="L405" i="1"/>
  <c r="M405" i="1"/>
  <c r="N405" i="1"/>
  <c r="O405" i="1"/>
  <c r="L406" i="1"/>
  <c r="M406" i="1"/>
  <c r="N406" i="1"/>
  <c r="O406" i="1"/>
  <c r="L407" i="1"/>
  <c r="M407" i="1"/>
  <c r="N407" i="1"/>
  <c r="O407" i="1"/>
  <c r="L408" i="1"/>
  <c r="M408" i="1"/>
  <c r="N408" i="1"/>
  <c r="O408" i="1"/>
  <c r="L409" i="1"/>
  <c r="M409" i="1"/>
  <c r="N409" i="1"/>
  <c r="O409" i="1"/>
  <c r="L410" i="1"/>
  <c r="M410" i="1"/>
  <c r="N410" i="1"/>
  <c r="O410" i="1"/>
  <c r="L411" i="1"/>
  <c r="M411" i="1"/>
  <c r="N411" i="1"/>
  <c r="O411" i="1"/>
  <c r="L412" i="1"/>
  <c r="M412" i="1"/>
  <c r="N412" i="1"/>
  <c r="O412" i="1"/>
  <c r="L413" i="1"/>
  <c r="M413" i="1"/>
  <c r="N413" i="1"/>
  <c r="O413" i="1"/>
  <c r="L414" i="1"/>
  <c r="M414" i="1"/>
  <c r="N414" i="1"/>
  <c r="O414" i="1"/>
  <c r="L415" i="1"/>
  <c r="M415" i="1"/>
  <c r="N415" i="1"/>
  <c r="O415" i="1"/>
  <c r="L416" i="1"/>
  <c r="M416" i="1"/>
  <c r="N416" i="1"/>
  <c r="O416" i="1"/>
  <c r="L417" i="1"/>
  <c r="M417" i="1"/>
  <c r="N417" i="1"/>
  <c r="O417" i="1"/>
  <c r="L418" i="1"/>
  <c r="M418" i="1"/>
  <c r="N418" i="1"/>
  <c r="O418" i="1"/>
  <c r="L419" i="1"/>
  <c r="M419" i="1"/>
  <c r="N419" i="1"/>
  <c r="O419" i="1"/>
  <c r="L420" i="1"/>
  <c r="M420" i="1"/>
  <c r="N420" i="1"/>
  <c r="O420" i="1"/>
  <c r="L421" i="1"/>
  <c r="M421" i="1"/>
  <c r="N421" i="1"/>
  <c r="O421" i="1"/>
  <c r="L422" i="1"/>
  <c r="M422" i="1"/>
  <c r="N422" i="1"/>
  <c r="O422" i="1"/>
  <c r="L423" i="1"/>
  <c r="M423" i="1"/>
  <c r="N423" i="1"/>
  <c r="O423" i="1"/>
  <c r="L424" i="1"/>
  <c r="M424" i="1"/>
  <c r="N424" i="1"/>
  <c r="O424" i="1"/>
  <c r="L425" i="1"/>
  <c r="M425" i="1"/>
  <c r="N425" i="1"/>
  <c r="O425" i="1"/>
  <c r="L426" i="1"/>
  <c r="M426" i="1"/>
  <c r="N426" i="1"/>
  <c r="O426" i="1"/>
  <c r="L427" i="1"/>
  <c r="M427" i="1"/>
  <c r="N427" i="1"/>
  <c r="O427" i="1"/>
  <c r="L428" i="1"/>
  <c r="M428" i="1"/>
  <c r="N428" i="1"/>
  <c r="O428" i="1"/>
  <c r="L429" i="1"/>
  <c r="M429" i="1"/>
  <c r="N429" i="1"/>
  <c r="O429" i="1"/>
  <c r="L430" i="1"/>
  <c r="M430" i="1"/>
  <c r="N430" i="1"/>
  <c r="O430" i="1"/>
  <c r="L431" i="1"/>
  <c r="M431" i="1"/>
  <c r="N431" i="1"/>
  <c r="O431" i="1"/>
  <c r="L432" i="1"/>
  <c r="M432" i="1"/>
  <c r="N432" i="1"/>
  <c r="O432" i="1"/>
  <c r="L433" i="1"/>
  <c r="M433" i="1"/>
  <c r="N433" i="1"/>
  <c r="O433" i="1"/>
  <c r="L434" i="1"/>
  <c r="M434" i="1"/>
  <c r="N434" i="1"/>
  <c r="O434" i="1"/>
  <c r="L435" i="1"/>
  <c r="M435" i="1"/>
  <c r="N435" i="1"/>
  <c r="O435" i="1"/>
  <c r="L436" i="1"/>
  <c r="M436" i="1"/>
  <c r="N436" i="1"/>
  <c r="O436" i="1"/>
  <c r="L437" i="1"/>
  <c r="M437" i="1"/>
  <c r="N437" i="1"/>
  <c r="O437" i="1"/>
  <c r="L438" i="1"/>
  <c r="M438" i="1"/>
  <c r="N438" i="1"/>
  <c r="O438" i="1"/>
  <c r="L439" i="1"/>
  <c r="M439" i="1"/>
  <c r="N439" i="1"/>
  <c r="O439" i="1"/>
  <c r="L440" i="1"/>
  <c r="M440" i="1"/>
  <c r="N440" i="1"/>
  <c r="O440" i="1"/>
  <c r="L441" i="1"/>
  <c r="M441" i="1"/>
  <c r="N441" i="1"/>
  <c r="O441" i="1"/>
  <c r="L442" i="1"/>
  <c r="M442" i="1"/>
  <c r="N442" i="1"/>
  <c r="O442" i="1"/>
  <c r="L443" i="1"/>
  <c r="M443" i="1"/>
  <c r="N443" i="1"/>
  <c r="O443" i="1"/>
  <c r="L444" i="1"/>
  <c r="M444" i="1"/>
  <c r="N444" i="1"/>
  <c r="O444" i="1"/>
  <c r="L445" i="1"/>
  <c r="M445" i="1"/>
  <c r="N445" i="1"/>
  <c r="O445" i="1"/>
  <c r="L446" i="1"/>
  <c r="M446" i="1"/>
  <c r="N446" i="1"/>
  <c r="O446" i="1"/>
  <c r="L447" i="1"/>
  <c r="M447" i="1"/>
  <c r="N447" i="1"/>
  <c r="O447" i="1"/>
  <c r="L448" i="1"/>
  <c r="M448" i="1"/>
  <c r="N448" i="1"/>
  <c r="O448" i="1"/>
  <c r="L449" i="1"/>
  <c r="M449" i="1"/>
  <c r="N449" i="1"/>
  <c r="O449" i="1"/>
  <c r="L450" i="1"/>
  <c r="M450" i="1"/>
  <c r="N450" i="1"/>
  <c r="O450" i="1"/>
  <c r="L451" i="1"/>
  <c r="M451" i="1"/>
  <c r="N451" i="1"/>
  <c r="O451" i="1"/>
  <c r="L452" i="1"/>
  <c r="M452" i="1"/>
  <c r="N452" i="1"/>
  <c r="O452" i="1"/>
  <c r="L453" i="1"/>
  <c r="M453" i="1"/>
  <c r="N453" i="1"/>
  <c r="O453" i="1"/>
  <c r="L454" i="1"/>
  <c r="M454" i="1"/>
  <c r="N454" i="1"/>
  <c r="O454" i="1"/>
  <c r="L455" i="1"/>
  <c r="M455" i="1"/>
  <c r="N455" i="1"/>
  <c r="O455" i="1"/>
  <c r="L456" i="1"/>
  <c r="M456" i="1"/>
  <c r="N456" i="1"/>
  <c r="O456" i="1"/>
  <c r="L457" i="1"/>
  <c r="M457" i="1"/>
  <c r="N457" i="1"/>
  <c r="O457" i="1"/>
  <c r="L458" i="1"/>
  <c r="M458" i="1"/>
  <c r="N458" i="1"/>
  <c r="O458" i="1"/>
  <c r="L459" i="1"/>
  <c r="M459" i="1"/>
  <c r="N459" i="1"/>
  <c r="O459" i="1"/>
  <c r="L460" i="1"/>
  <c r="M460" i="1"/>
  <c r="N460" i="1"/>
  <c r="O460" i="1"/>
  <c r="L461" i="1"/>
  <c r="M461" i="1"/>
  <c r="N461" i="1"/>
  <c r="O461" i="1"/>
  <c r="L462" i="1"/>
  <c r="M462" i="1"/>
  <c r="N462" i="1"/>
  <c r="O462" i="1"/>
  <c r="L463" i="1"/>
  <c r="M463" i="1"/>
  <c r="N463" i="1"/>
  <c r="O463" i="1"/>
  <c r="L464" i="1"/>
  <c r="M464" i="1"/>
  <c r="N464" i="1"/>
  <c r="O464" i="1"/>
  <c r="L465" i="1"/>
  <c r="M465" i="1"/>
  <c r="N465" i="1"/>
  <c r="O465" i="1"/>
  <c r="L466" i="1"/>
  <c r="M466" i="1"/>
  <c r="N466" i="1"/>
  <c r="O466" i="1"/>
  <c r="L467" i="1"/>
  <c r="M467" i="1"/>
  <c r="N467" i="1"/>
  <c r="O467" i="1"/>
  <c r="L468" i="1"/>
  <c r="M468" i="1"/>
  <c r="N468" i="1"/>
  <c r="O468" i="1"/>
  <c r="L469" i="1"/>
  <c r="M469" i="1"/>
  <c r="N469" i="1"/>
  <c r="O469" i="1"/>
  <c r="L470" i="1"/>
  <c r="M470" i="1"/>
  <c r="N470" i="1"/>
  <c r="O470" i="1"/>
  <c r="L471" i="1"/>
  <c r="M471" i="1"/>
  <c r="N471" i="1"/>
  <c r="O471" i="1"/>
  <c r="L472" i="1"/>
  <c r="M472" i="1"/>
  <c r="N472" i="1"/>
  <c r="O472" i="1"/>
  <c r="L473" i="1"/>
  <c r="M473" i="1"/>
  <c r="N473" i="1"/>
  <c r="O473" i="1"/>
  <c r="L474" i="1"/>
  <c r="M474" i="1"/>
  <c r="N474" i="1"/>
  <c r="O474" i="1"/>
  <c r="L475" i="1"/>
  <c r="M475" i="1"/>
  <c r="N475" i="1"/>
  <c r="O475" i="1"/>
  <c r="L476" i="1"/>
  <c r="M476" i="1"/>
  <c r="N476" i="1"/>
  <c r="O476" i="1"/>
  <c r="L477" i="1"/>
  <c r="M477" i="1"/>
  <c r="N477" i="1"/>
  <c r="O477" i="1"/>
  <c r="L478" i="1"/>
  <c r="M478" i="1"/>
  <c r="N478" i="1"/>
  <c r="O478" i="1"/>
  <c r="L479" i="1"/>
  <c r="M479" i="1"/>
  <c r="N479" i="1"/>
  <c r="O479" i="1"/>
  <c r="L480" i="1"/>
  <c r="M480" i="1"/>
  <c r="N480" i="1"/>
  <c r="O480" i="1"/>
  <c r="L481" i="1"/>
  <c r="M481" i="1"/>
  <c r="N481" i="1"/>
  <c r="O481" i="1"/>
  <c r="L482" i="1"/>
  <c r="M482" i="1"/>
  <c r="N482" i="1"/>
  <c r="O482" i="1"/>
  <c r="L483" i="1"/>
  <c r="M483" i="1"/>
  <c r="N483" i="1"/>
  <c r="O483" i="1"/>
  <c r="L484" i="1"/>
  <c r="M484" i="1"/>
  <c r="N484" i="1"/>
  <c r="O484" i="1"/>
  <c r="L485" i="1"/>
  <c r="M485" i="1"/>
  <c r="N485" i="1"/>
  <c r="O485" i="1"/>
  <c r="L486" i="1"/>
  <c r="M486" i="1"/>
  <c r="N486" i="1"/>
  <c r="O486" i="1"/>
  <c r="L487" i="1"/>
  <c r="M487" i="1"/>
  <c r="N487" i="1"/>
  <c r="O487" i="1"/>
  <c r="L488" i="1"/>
  <c r="M488" i="1"/>
  <c r="N488" i="1"/>
  <c r="O488" i="1"/>
  <c r="L489" i="1"/>
  <c r="M489" i="1"/>
  <c r="N489" i="1"/>
  <c r="O489" i="1"/>
  <c r="L490" i="1"/>
  <c r="M490" i="1"/>
  <c r="N490" i="1"/>
  <c r="O490" i="1"/>
  <c r="L491" i="1"/>
  <c r="M491" i="1"/>
  <c r="N491" i="1"/>
  <c r="O491" i="1"/>
  <c r="L492" i="1"/>
  <c r="M492" i="1"/>
  <c r="N492" i="1"/>
  <c r="O492" i="1"/>
  <c r="L493" i="1"/>
  <c r="M493" i="1"/>
  <c r="N493" i="1"/>
  <c r="O493" i="1"/>
  <c r="L494" i="1"/>
  <c r="M494" i="1"/>
  <c r="N494" i="1"/>
  <c r="O494" i="1"/>
  <c r="L495" i="1"/>
  <c r="M495" i="1"/>
  <c r="N495" i="1"/>
  <c r="O495" i="1"/>
  <c r="L496" i="1"/>
  <c r="M496" i="1"/>
  <c r="N496" i="1"/>
  <c r="O496" i="1"/>
  <c r="L497" i="1"/>
  <c r="M497" i="1"/>
  <c r="N497" i="1"/>
  <c r="O497" i="1"/>
  <c r="L498" i="1"/>
  <c r="M498" i="1"/>
  <c r="N498" i="1"/>
  <c r="O498" i="1"/>
  <c r="L499" i="1"/>
  <c r="M499" i="1"/>
  <c r="N499" i="1"/>
  <c r="O499" i="1"/>
  <c r="L500" i="1"/>
  <c r="M500" i="1"/>
  <c r="N500" i="1"/>
  <c r="O500" i="1"/>
  <c r="L501" i="1"/>
  <c r="M501" i="1"/>
  <c r="N501" i="1"/>
  <c r="O501" i="1"/>
  <c r="L502" i="1"/>
  <c r="M502" i="1"/>
  <c r="N502" i="1"/>
  <c r="O502" i="1"/>
  <c r="L503" i="1"/>
  <c r="M503" i="1"/>
  <c r="N503" i="1"/>
  <c r="O503" i="1"/>
  <c r="L504" i="1"/>
  <c r="M504" i="1"/>
  <c r="N504" i="1"/>
  <c r="O504" i="1"/>
  <c r="L505" i="1"/>
  <c r="M505" i="1"/>
  <c r="N505" i="1"/>
  <c r="O505" i="1"/>
  <c r="L506" i="1"/>
  <c r="M506" i="1"/>
  <c r="N506" i="1"/>
  <c r="O506" i="1"/>
  <c r="L507" i="1"/>
  <c r="M507" i="1"/>
  <c r="N507" i="1"/>
  <c r="O507" i="1"/>
  <c r="L508" i="1"/>
  <c r="M508" i="1"/>
  <c r="N508" i="1"/>
  <c r="O508" i="1"/>
  <c r="L509" i="1"/>
  <c r="M509" i="1"/>
  <c r="N509" i="1"/>
  <c r="O509" i="1"/>
  <c r="L510" i="1"/>
  <c r="M510" i="1"/>
  <c r="N510" i="1"/>
  <c r="O510" i="1"/>
  <c r="L511" i="1"/>
  <c r="M511" i="1"/>
  <c r="N511" i="1"/>
  <c r="O511" i="1"/>
  <c r="L512" i="1"/>
  <c r="M512" i="1"/>
  <c r="N512" i="1"/>
  <c r="O512" i="1"/>
  <c r="L513" i="1"/>
  <c r="M513" i="1"/>
  <c r="N513" i="1"/>
  <c r="O513" i="1"/>
  <c r="L514" i="1"/>
  <c r="M514" i="1"/>
  <c r="N514" i="1"/>
  <c r="O514" i="1"/>
  <c r="L515" i="1"/>
  <c r="M515" i="1"/>
  <c r="N515" i="1"/>
  <c r="O515" i="1"/>
  <c r="L516" i="1"/>
  <c r="M516" i="1"/>
  <c r="N516" i="1"/>
  <c r="O516" i="1"/>
  <c r="L517" i="1"/>
  <c r="M517" i="1"/>
  <c r="N517" i="1"/>
  <c r="O517" i="1"/>
  <c r="L518" i="1"/>
  <c r="M518" i="1"/>
  <c r="N518" i="1"/>
  <c r="O518" i="1"/>
  <c r="L519" i="1"/>
  <c r="M519" i="1"/>
  <c r="N519" i="1"/>
  <c r="O519" i="1"/>
  <c r="L520" i="1"/>
  <c r="M520" i="1"/>
  <c r="N520" i="1"/>
  <c r="O520" i="1"/>
  <c r="L521" i="1"/>
  <c r="M521" i="1"/>
  <c r="N521" i="1"/>
  <c r="O521" i="1"/>
  <c r="L522" i="1"/>
  <c r="M522" i="1"/>
  <c r="N522" i="1"/>
  <c r="O522" i="1"/>
  <c r="L523" i="1"/>
  <c r="M523" i="1"/>
  <c r="N523" i="1"/>
  <c r="O523" i="1"/>
  <c r="L524" i="1"/>
  <c r="M524" i="1"/>
  <c r="N524" i="1"/>
  <c r="O524" i="1"/>
  <c r="L525" i="1"/>
  <c r="M525" i="1"/>
  <c r="N525" i="1"/>
  <c r="O525" i="1"/>
  <c r="L526" i="1"/>
  <c r="M526" i="1"/>
  <c r="N526" i="1"/>
  <c r="O526" i="1"/>
  <c r="L527" i="1"/>
  <c r="M527" i="1"/>
  <c r="N527" i="1"/>
  <c r="O527" i="1"/>
  <c r="L528" i="1"/>
  <c r="M528" i="1"/>
  <c r="N528" i="1"/>
  <c r="O528" i="1"/>
  <c r="L529" i="1"/>
  <c r="M529" i="1"/>
  <c r="N529" i="1"/>
  <c r="O529" i="1"/>
  <c r="L530" i="1"/>
  <c r="M530" i="1"/>
  <c r="N530" i="1"/>
  <c r="O530" i="1"/>
  <c r="L531" i="1"/>
  <c r="M531" i="1"/>
  <c r="N531" i="1"/>
  <c r="O531" i="1"/>
  <c r="L532" i="1"/>
  <c r="M532" i="1"/>
  <c r="N532" i="1"/>
  <c r="O532" i="1"/>
  <c r="L533" i="1"/>
  <c r="M533" i="1"/>
  <c r="N533" i="1"/>
  <c r="O533" i="1"/>
  <c r="L534" i="1"/>
  <c r="M534" i="1"/>
  <c r="N534" i="1"/>
  <c r="O534" i="1"/>
  <c r="L535" i="1"/>
  <c r="M535" i="1"/>
  <c r="N535" i="1"/>
  <c r="O535" i="1"/>
  <c r="L536" i="1"/>
  <c r="M536" i="1"/>
  <c r="N536" i="1"/>
  <c r="O536" i="1"/>
  <c r="L537" i="1"/>
  <c r="M537" i="1"/>
  <c r="N537" i="1"/>
  <c r="O537" i="1"/>
  <c r="L538" i="1"/>
  <c r="M538" i="1"/>
  <c r="N538" i="1"/>
  <c r="O538" i="1"/>
  <c r="L539" i="1"/>
  <c r="M539" i="1"/>
  <c r="N539" i="1"/>
  <c r="O539" i="1"/>
  <c r="L540" i="1"/>
  <c r="M540" i="1"/>
  <c r="N540" i="1"/>
  <c r="O540" i="1"/>
  <c r="L541" i="1"/>
  <c r="M541" i="1"/>
  <c r="N541" i="1"/>
  <c r="O541" i="1"/>
  <c r="L542" i="1"/>
  <c r="M542" i="1"/>
  <c r="N542" i="1"/>
  <c r="O542" i="1"/>
  <c r="L543" i="1"/>
  <c r="M543" i="1"/>
  <c r="N543" i="1"/>
  <c r="O543" i="1"/>
  <c r="L544" i="1"/>
  <c r="M544" i="1"/>
  <c r="N544" i="1"/>
  <c r="O544" i="1"/>
  <c r="L545" i="1"/>
  <c r="M545" i="1"/>
  <c r="N545" i="1"/>
  <c r="O545" i="1"/>
  <c r="L546" i="1"/>
  <c r="M546" i="1"/>
  <c r="N546" i="1"/>
  <c r="O546" i="1"/>
  <c r="L547" i="1"/>
  <c r="M547" i="1"/>
  <c r="N547" i="1"/>
  <c r="O547" i="1"/>
  <c r="L548" i="1"/>
  <c r="M548" i="1"/>
  <c r="N548" i="1"/>
  <c r="O548" i="1"/>
  <c r="L549" i="1"/>
  <c r="M549" i="1"/>
  <c r="N549" i="1"/>
  <c r="O549" i="1"/>
  <c r="L550" i="1"/>
  <c r="M550" i="1"/>
  <c r="N550" i="1"/>
  <c r="O550" i="1"/>
  <c r="L551" i="1"/>
  <c r="M551" i="1"/>
  <c r="N551" i="1"/>
  <c r="O551" i="1"/>
  <c r="L552" i="1"/>
  <c r="M552" i="1"/>
  <c r="N552" i="1"/>
  <c r="O552" i="1"/>
  <c r="L553" i="1"/>
  <c r="M553" i="1"/>
  <c r="N553" i="1"/>
  <c r="O553" i="1"/>
  <c r="L554" i="1"/>
  <c r="M554" i="1"/>
  <c r="N554" i="1"/>
  <c r="O554" i="1"/>
  <c r="L555" i="1"/>
  <c r="M555" i="1"/>
  <c r="N555" i="1"/>
  <c r="O555" i="1"/>
  <c r="L556" i="1"/>
  <c r="M556" i="1"/>
  <c r="N556" i="1"/>
  <c r="O556" i="1"/>
  <c r="L557" i="1"/>
  <c r="M557" i="1"/>
  <c r="N557" i="1"/>
  <c r="O557" i="1"/>
  <c r="L558" i="1"/>
  <c r="M558" i="1"/>
  <c r="N558" i="1"/>
  <c r="O558" i="1"/>
  <c r="L559" i="1"/>
  <c r="M559" i="1"/>
  <c r="N559" i="1"/>
  <c r="O559" i="1"/>
  <c r="L560" i="1"/>
  <c r="M560" i="1"/>
  <c r="N560" i="1"/>
  <c r="O560" i="1"/>
  <c r="L561" i="1"/>
  <c r="M561" i="1"/>
  <c r="N561" i="1"/>
  <c r="O561" i="1"/>
  <c r="L562" i="1"/>
  <c r="M562" i="1"/>
  <c r="N562" i="1"/>
  <c r="O562" i="1"/>
  <c r="L563" i="1"/>
  <c r="M563" i="1"/>
  <c r="N563" i="1"/>
  <c r="O563" i="1"/>
  <c r="L564" i="1"/>
  <c r="M564" i="1"/>
  <c r="N564" i="1"/>
  <c r="O564" i="1"/>
  <c r="L565" i="1"/>
  <c r="M565" i="1"/>
  <c r="N565" i="1"/>
  <c r="O565" i="1"/>
  <c r="L566" i="1"/>
  <c r="M566" i="1"/>
  <c r="N566" i="1"/>
  <c r="O566" i="1"/>
  <c r="L567" i="1"/>
  <c r="M567" i="1"/>
  <c r="N567" i="1"/>
  <c r="O567" i="1"/>
  <c r="L568" i="1"/>
  <c r="M568" i="1"/>
  <c r="N568" i="1"/>
  <c r="O568" i="1"/>
  <c r="L569" i="1"/>
  <c r="M569" i="1"/>
  <c r="N569" i="1"/>
  <c r="O569" i="1"/>
  <c r="L570" i="1"/>
  <c r="M570" i="1"/>
  <c r="N570" i="1"/>
  <c r="O570" i="1"/>
  <c r="L571" i="1"/>
  <c r="M571" i="1"/>
  <c r="N571" i="1"/>
  <c r="O571" i="1"/>
  <c r="L572" i="1"/>
  <c r="M572" i="1"/>
  <c r="N572" i="1"/>
  <c r="O572" i="1"/>
  <c r="L573" i="1"/>
  <c r="M573" i="1"/>
  <c r="N573" i="1"/>
  <c r="O573" i="1"/>
  <c r="L574" i="1"/>
  <c r="M574" i="1"/>
  <c r="N574" i="1"/>
  <c r="O574" i="1"/>
  <c r="L575" i="1"/>
  <c r="M575" i="1"/>
  <c r="N575" i="1"/>
  <c r="O575" i="1"/>
  <c r="L576" i="1"/>
  <c r="M576" i="1"/>
  <c r="N576" i="1"/>
  <c r="O576" i="1"/>
  <c r="L577" i="1"/>
  <c r="M577" i="1"/>
  <c r="N577" i="1"/>
  <c r="O577" i="1"/>
  <c r="L578" i="1"/>
  <c r="M578" i="1"/>
  <c r="N578" i="1"/>
  <c r="O578" i="1"/>
  <c r="L579" i="1"/>
  <c r="M579" i="1"/>
  <c r="N579" i="1"/>
  <c r="O579" i="1"/>
  <c r="L580" i="1"/>
  <c r="M580" i="1"/>
  <c r="N580" i="1"/>
  <c r="O580" i="1"/>
  <c r="L581" i="1"/>
  <c r="M581" i="1"/>
  <c r="N581" i="1"/>
  <c r="O581" i="1"/>
  <c r="L582" i="1"/>
  <c r="M582" i="1"/>
  <c r="N582" i="1"/>
  <c r="O582" i="1"/>
  <c r="L583" i="1"/>
  <c r="M583" i="1"/>
  <c r="N583" i="1"/>
  <c r="O583" i="1"/>
  <c r="L584" i="1"/>
  <c r="M584" i="1"/>
  <c r="N584" i="1"/>
  <c r="O584" i="1"/>
  <c r="L585" i="1"/>
  <c r="M585" i="1"/>
  <c r="N585" i="1"/>
  <c r="O585" i="1"/>
  <c r="L586" i="1"/>
  <c r="M586" i="1"/>
  <c r="N586" i="1"/>
  <c r="O586" i="1"/>
  <c r="L587" i="1"/>
  <c r="M587" i="1"/>
  <c r="N587" i="1"/>
  <c r="O587" i="1"/>
  <c r="L588" i="1"/>
  <c r="M588" i="1"/>
  <c r="N588" i="1"/>
  <c r="O588" i="1"/>
  <c r="L589" i="1"/>
  <c r="M589" i="1"/>
  <c r="N589" i="1"/>
  <c r="O589" i="1"/>
  <c r="L590" i="1"/>
  <c r="M590" i="1"/>
  <c r="N590" i="1"/>
  <c r="O590" i="1"/>
  <c r="L591" i="1"/>
  <c r="M591" i="1"/>
  <c r="N591" i="1"/>
  <c r="O591" i="1"/>
  <c r="L592" i="1"/>
  <c r="M592" i="1"/>
  <c r="N592" i="1"/>
  <c r="O592" i="1"/>
  <c r="L593" i="1"/>
  <c r="M593" i="1"/>
  <c r="N593" i="1"/>
  <c r="O593" i="1"/>
  <c r="L594" i="1"/>
  <c r="M594" i="1"/>
  <c r="N594" i="1"/>
  <c r="O594" i="1"/>
  <c r="L595" i="1"/>
  <c r="M595" i="1"/>
  <c r="N595" i="1"/>
  <c r="O595" i="1"/>
  <c r="L596" i="1"/>
  <c r="M596" i="1"/>
  <c r="N596" i="1"/>
  <c r="O596" i="1"/>
  <c r="L597" i="1"/>
  <c r="M597" i="1"/>
  <c r="N597" i="1"/>
  <c r="O597" i="1"/>
  <c r="L598" i="1"/>
  <c r="M598" i="1"/>
  <c r="N598" i="1"/>
  <c r="O598" i="1"/>
  <c r="L599" i="1"/>
  <c r="M599" i="1"/>
  <c r="N599" i="1"/>
  <c r="O599" i="1"/>
  <c r="L600" i="1"/>
  <c r="M600" i="1"/>
  <c r="N600" i="1"/>
  <c r="O600" i="1"/>
  <c r="L601" i="1"/>
  <c r="M601" i="1"/>
  <c r="N601" i="1"/>
  <c r="O601" i="1"/>
  <c r="L602" i="1"/>
  <c r="M602" i="1"/>
  <c r="N602" i="1"/>
  <c r="O602" i="1"/>
  <c r="L603" i="1"/>
  <c r="M603" i="1"/>
  <c r="N603" i="1"/>
  <c r="O603" i="1"/>
  <c r="L604" i="1"/>
  <c r="M604" i="1"/>
  <c r="N604" i="1"/>
  <c r="O604" i="1"/>
  <c r="L605" i="1"/>
  <c r="M605" i="1"/>
  <c r="N605" i="1"/>
  <c r="O605" i="1"/>
  <c r="L606" i="1"/>
  <c r="M606" i="1"/>
  <c r="N606" i="1"/>
  <c r="O606" i="1"/>
  <c r="L607" i="1"/>
  <c r="M607" i="1"/>
  <c r="N607" i="1"/>
  <c r="O607" i="1"/>
  <c r="L608" i="1"/>
  <c r="M608" i="1"/>
  <c r="N608" i="1"/>
  <c r="O608" i="1"/>
  <c r="L609" i="1"/>
  <c r="M609" i="1"/>
  <c r="N609" i="1"/>
  <c r="O609" i="1"/>
  <c r="L610" i="1"/>
  <c r="M610" i="1"/>
  <c r="N610" i="1"/>
  <c r="O610" i="1"/>
  <c r="L611" i="1"/>
  <c r="M611" i="1"/>
  <c r="N611" i="1"/>
  <c r="O611" i="1"/>
  <c r="L612" i="1"/>
  <c r="M612" i="1"/>
  <c r="N612" i="1"/>
  <c r="O612" i="1"/>
  <c r="L613" i="1"/>
  <c r="M613" i="1"/>
  <c r="N613" i="1"/>
  <c r="O613" i="1"/>
  <c r="L614" i="1"/>
  <c r="M614" i="1"/>
  <c r="N614" i="1"/>
  <c r="O614" i="1"/>
  <c r="L615" i="1"/>
  <c r="M615" i="1"/>
  <c r="N615" i="1"/>
  <c r="O615" i="1"/>
  <c r="L616" i="1"/>
  <c r="M616" i="1"/>
  <c r="N616" i="1"/>
  <c r="O616" i="1"/>
  <c r="L617" i="1"/>
  <c r="M617" i="1"/>
  <c r="N617" i="1"/>
  <c r="O617" i="1"/>
  <c r="L618" i="1"/>
  <c r="M618" i="1"/>
  <c r="N618" i="1"/>
  <c r="O618" i="1"/>
  <c r="L619" i="1"/>
  <c r="M619" i="1"/>
  <c r="N619" i="1"/>
  <c r="O619" i="1"/>
  <c r="L620" i="1"/>
  <c r="M620" i="1"/>
  <c r="N620" i="1"/>
  <c r="O620" i="1"/>
  <c r="L621" i="1"/>
  <c r="M621" i="1"/>
  <c r="N621" i="1"/>
  <c r="O621" i="1"/>
  <c r="L622" i="1"/>
  <c r="M622" i="1"/>
  <c r="N622" i="1"/>
  <c r="O622" i="1"/>
  <c r="L623" i="1"/>
  <c r="M623" i="1"/>
  <c r="N623" i="1"/>
  <c r="O623" i="1"/>
  <c r="L624" i="1"/>
  <c r="M624" i="1"/>
  <c r="N624" i="1"/>
  <c r="O624" i="1"/>
  <c r="L625" i="1"/>
  <c r="M625" i="1"/>
  <c r="N625" i="1"/>
  <c r="O625" i="1"/>
  <c r="L626" i="1"/>
  <c r="M626" i="1"/>
  <c r="N626" i="1"/>
  <c r="O626" i="1"/>
  <c r="L627" i="1"/>
  <c r="M627" i="1"/>
  <c r="N627" i="1"/>
  <c r="O627" i="1"/>
  <c r="L628" i="1"/>
  <c r="M628" i="1"/>
  <c r="N628" i="1"/>
  <c r="O628" i="1"/>
  <c r="L629" i="1"/>
  <c r="M629" i="1"/>
  <c r="N629" i="1"/>
  <c r="O629" i="1"/>
  <c r="L630" i="1"/>
  <c r="M630" i="1"/>
  <c r="N630" i="1"/>
  <c r="O630" i="1"/>
  <c r="L631" i="1"/>
  <c r="M631" i="1"/>
  <c r="N631" i="1"/>
  <c r="O631" i="1"/>
  <c r="L632" i="1"/>
  <c r="M632" i="1"/>
  <c r="N632" i="1"/>
  <c r="O632" i="1"/>
  <c r="L633" i="1"/>
  <c r="M633" i="1"/>
  <c r="N633" i="1"/>
  <c r="O633" i="1"/>
  <c r="L634" i="1"/>
  <c r="M634" i="1"/>
  <c r="N634" i="1"/>
  <c r="O634" i="1"/>
  <c r="L635" i="1"/>
  <c r="M635" i="1"/>
  <c r="N635" i="1"/>
  <c r="O635" i="1"/>
  <c r="L636" i="1"/>
  <c r="M636" i="1"/>
  <c r="N636" i="1"/>
  <c r="O636" i="1"/>
  <c r="L637" i="1"/>
  <c r="M637" i="1"/>
  <c r="N637" i="1"/>
  <c r="O637" i="1"/>
  <c r="L638" i="1"/>
  <c r="M638" i="1"/>
  <c r="N638" i="1"/>
  <c r="O638" i="1"/>
  <c r="L639" i="1"/>
  <c r="M639" i="1"/>
  <c r="N639" i="1"/>
  <c r="O639" i="1"/>
  <c r="L640" i="1"/>
  <c r="M640" i="1"/>
  <c r="N640" i="1"/>
  <c r="O640" i="1"/>
  <c r="L641" i="1"/>
  <c r="M641" i="1"/>
  <c r="N641" i="1"/>
  <c r="O641" i="1"/>
  <c r="L642" i="1"/>
  <c r="M642" i="1"/>
  <c r="N642" i="1"/>
  <c r="O642" i="1"/>
  <c r="L643" i="1"/>
  <c r="M643" i="1"/>
  <c r="N643" i="1"/>
  <c r="O643" i="1"/>
  <c r="L644" i="1"/>
  <c r="M644" i="1"/>
  <c r="N644" i="1"/>
  <c r="O644" i="1"/>
  <c r="L645" i="1"/>
  <c r="M645" i="1"/>
  <c r="N645" i="1"/>
  <c r="O645" i="1"/>
  <c r="L646" i="1"/>
  <c r="M646" i="1"/>
  <c r="N646" i="1"/>
  <c r="O646" i="1"/>
  <c r="L647" i="1"/>
  <c r="M647" i="1"/>
  <c r="N647" i="1"/>
  <c r="O647" i="1"/>
  <c r="L648" i="1"/>
  <c r="M648" i="1"/>
  <c r="N648" i="1"/>
  <c r="O648" i="1"/>
  <c r="L649" i="1"/>
  <c r="M649" i="1"/>
  <c r="N649" i="1"/>
  <c r="O649" i="1"/>
  <c r="L650" i="1"/>
  <c r="M650" i="1"/>
  <c r="N650" i="1"/>
  <c r="O650" i="1"/>
  <c r="L651" i="1"/>
  <c r="M651" i="1"/>
  <c r="N651" i="1"/>
  <c r="O651" i="1"/>
  <c r="L652" i="1"/>
  <c r="M652" i="1"/>
  <c r="N652" i="1"/>
  <c r="O652" i="1"/>
  <c r="L653" i="1"/>
  <c r="M653" i="1"/>
  <c r="N653" i="1"/>
  <c r="O653" i="1"/>
  <c r="L654" i="1"/>
  <c r="M654" i="1"/>
  <c r="N654" i="1"/>
  <c r="O654" i="1"/>
  <c r="L655" i="1"/>
  <c r="M655" i="1"/>
  <c r="N655" i="1"/>
  <c r="O655" i="1"/>
  <c r="L656" i="1"/>
  <c r="M656" i="1"/>
  <c r="N656" i="1"/>
  <c r="O656" i="1"/>
  <c r="L657" i="1"/>
  <c r="M657" i="1"/>
  <c r="N657" i="1"/>
  <c r="O657" i="1"/>
  <c r="L658" i="1"/>
  <c r="M658" i="1"/>
  <c r="N658" i="1"/>
  <c r="O658" i="1"/>
  <c r="L659" i="1"/>
  <c r="M659" i="1"/>
  <c r="N659" i="1"/>
  <c r="O659" i="1"/>
  <c r="L660" i="1"/>
  <c r="M660" i="1"/>
  <c r="N660" i="1"/>
  <c r="O660" i="1"/>
  <c r="L661" i="1"/>
  <c r="M661" i="1"/>
  <c r="N661" i="1"/>
  <c r="O661" i="1"/>
  <c r="L662" i="1"/>
  <c r="M662" i="1"/>
  <c r="N662" i="1"/>
  <c r="O662" i="1"/>
  <c r="L663" i="1"/>
  <c r="M663" i="1"/>
  <c r="N663" i="1"/>
  <c r="O663" i="1"/>
  <c r="L664" i="1"/>
  <c r="M664" i="1"/>
  <c r="N664" i="1"/>
  <c r="O664" i="1"/>
  <c r="L665" i="1"/>
  <c r="M665" i="1"/>
  <c r="N665" i="1"/>
  <c r="O665" i="1"/>
  <c r="L666" i="1"/>
  <c r="M666" i="1"/>
  <c r="N666" i="1"/>
  <c r="O666" i="1"/>
  <c r="L667" i="1"/>
  <c r="M667" i="1"/>
  <c r="N667" i="1"/>
  <c r="O667" i="1"/>
  <c r="L668" i="1"/>
  <c r="M668" i="1"/>
  <c r="N668" i="1"/>
  <c r="O668" i="1"/>
  <c r="L669" i="1"/>
  <c r="M669" i="1"/>
  <c r="N669" i="1"/>
  <c r="O669" i="1"/>
  <c r="L670" i="1"/>
  <c r="M670" i="1"/>
  <c r="N670" i="1"/>
  <c r="O670" i="1"/>
  <c r="L671" i="1"/>
  <c r="M671" i="1"/>
  <c r="N671" i="1"/>
  <c r="O671" i="1"/>
  <c r="L672" i="1"/>
  <c r="M672" i="1"/>
  <c r="N672" i="1"/>
  <c r="O672" i="1"/>
  <c r="L673" i="1"/>
  <c r="M673" i="1"/>
  <c r="N673" i="1"/>
  <c r="O673" i="1"/>
  <c r="L674" i="1"/>
  <c r="M674" i="1"/>
  <c r="N674" i="1"/>
  <c r="O674" i="1"/>
  <c r="L675" i="1"/>
  <c r="M675" i="1"/>
  <c r="N675" i="1"/>
  <c r="O675" i="1"/>
  <c r="L676" i="1"/>
  <c r="M676" i="1"/>
  <c r="N676" i="1"/>
  <c r="O676" i="1"/>
  <c r="L677" i="1"/>
  <c r="M677" i="1"/>
  <c r="N677" i="1"/>
  <c r="O677" i="1"/>
  <c r="L678" i="1"/>
  <c r="M678" i="1"/>
  <c r="N678" i="1"/>
  <c r="O678" i="1"/>
  <c r="L679" i="1"/>
  <c r="M679" i="1"/>
  <c r="N679" i="1"/>
  <c r="O679" i="1"/>
  <c r="L680" i="1"/>
  <c r="M680" i="1"/>
  <c r="N680" i="1"/>
  <c r="O680" i="1"/>
  <c r="L681" i="1"/>
  <c r="M681" i="1"/>
  <c r="N681" i="1"/>
  <c r="O681" i="1"/>
  <c r="L682" i="1"/>
  <c r="M682" i="1"/>
  <c r="N682" i="1"/>
  <c r="O682" i="1"/>
  <c r="L683" i="1"/>
  <c r="M683" i="1"/>
  <c r="N683" i="1"/>
  <c r="O683" i="1"/>
  <c r="L684" i="1"/>
  <c r="M684" i="1"/>
  <c r="N684" i="1"/>
  <c r="O684" i="1"/>
  <c r="L685" i="1"/>
  <c r="M685" i="1"/>
  <c r="N685" i="1"/>
  <c r="O685" i="1"/>
  <c r="L686" i="1"/>
  <c r="M686" i="1"/>
  <c r="N686" i="1"/>
  <c r="O686" i="1"/>
  <c r="L687" i="1"/>
  <c r="M687" i="1"/>
  <c r="N687" i="1"/>
  <c r="O687" i="1"/>
  <c r="L688" i="1"/>
  <c r="M688" i="1"/>
  <c r="N688" i="1"/>
  <c r="O688" i="1"/>
  <c r="L689" i="1"/>
  <c r="M689" i="1"/>
  <c r="N689" i="1"/>
  <c r="O689" i="1"/>
  <c r="L690" i="1"/>
  <c r="M690" i="1"/>
  <c r="N690" i="1"/>
  <c r="O690" i="1"/>
  <c r="L691" i="1"/>
  <c r="M691" i="1"/>
  <c r="N691" i="1"/>
  <c r="O691" i="1"/>
  <c r="L692" i="1"/>
  <c r="M692" i="1"/>
  <c r="N692" i="1"/>
  <c r="O692" i="1"/>
  <c r="L693" i="1"/>
  <c r="M693" i="1"/>
  <c r="N693" i="1"/>
  <c r="O693" i="1"/>
  <c r="L694" i="1"/>
  <c r="M694" i="1"/>
  <c r="N694" i="1"/>
  <c r="O694" i="1"/>
  <c r="L695" i="1"/>
  <c r="M695" i="1"/>
  <c r="N695" i="1"/>
  <c r="O695" i="1"/>
  <c r="L696" i="1"/>
  <c r="M696" i="1"/>
  <c r="N696" i="1"/>
  <c r="O696" i="1"/>
  <c r="L697" i="1"/>
  <c r="M697" i="1"/>
  <c r="N697" i="1"/>
  <c r="O697" i="1"/>
  <c r="L698" i="1"/>
  <c r="M698" i="1"/>
  <c r="N698" i="1"/>
  <c r="O698" i="1"/>
  <c r="L699" i="1"/>
  <c r="M699" i="1"/>
  <c r="N699" i="1"/>
  <c r="O699" i="1"/>
  <c r="L700" i="1"/>
  <c r="M700" i="1"/>
  <c r="N700" i="1"/>
  <c r="O700" i="1"/>
  <c r="L701" i="1"/>
  <c r="M701" i="1"/>
  <c r="N701" i="1"/>
  <c r="O701" i="1"/>
  <c r="L702" i="1"/>
  <c r="M702" i="1"/>
  <c r="N702" i="1"/>
  <c r="O702" i="1"/>
  <c r="L703" i="1"/>
  <c r="M703" i="1"/>
  <c r="N703" i="1"/>
  <c r="O703" i="1"/>
  <c r="L704" i="1"/>
  <c r="M704" i="1"/>
  <c r="N704" i="1"/>
  <c r="O704" i="1"/>
  <c r="L705" i="1"/>
  <c r="M705" i="1"/>
  <c r="N705" i="1"/>
  <c r="O705" i="1"/>
  <c r="L706" i="1"/>
  <c r="M706" i="1"/>
  <c r="N706" i="1"/>
  <c r="O706" i="1"/>
  <c r="L707" i="1"/>
  <c r="M707" i="1"/>
  <c r="N707" i="1"/>
  <c r="O707" i="1"/>
  <c r="L708" i="1"/>
  <c r="M708" i="1"/>
  <c r="N708" i="1"/>
  <c r="O708" i="1"/>
  <c r="L709" i="1"/>
  <c r="M709" i="1"/>
  <c r="N709" i="1"/>
  <c r="O709" i="1"/>
  <c r="L710" i="1"/>
  <c r="M710" i="1"/>
  <c r="N710" i="1"/>
  <c r="O710" i="1"/>
  <c r="L711" i="1"/>
  <c r="M711" i="1"/>
  <c r="N711" i="1"/>
  <c r="O711" i="1"/>
  <c r="L712" i="1"/>
  <c r="M712" i="1"/>
  <c r="N712" i="1"/>
  <c r="O712" i="1"/>
  <c r="L713" i="1"/>
  <c r="M713" i="1"/>
  <c r="N713" i="1"/>
  <c r="O713" i="1"/>
  <c r="L714" i="1"/>
  <c r="M714" i="1"/>
  <c r="N714" i="1"/>
  <c r="O714" i="1"/>
  <c r="L715" i="1"/>
  <c r="M715" i="1"/>
  <c r="N715" i="1"/>
  <c r="O715" i="1"/>
  <c r="L716" i="1"/>
  <c r="M716" i="1"/>
  <c r="N716" i="1"/>
  <c r="O716" i="1"/>
  <c r="L717" i="1"/>
  <c r="M717" i="1"/>
  <c r="N717" i="1"/>
  <c r="O717" i="1"/>
  <c r="L718" i="1"/>
  <c r="M718" i="1"/>
  <c r="N718" i="1"/>
  <c r="O718" i="1"/>
  <c r="L719" i="1"/>
  <c r="M719" i="1"/>
  <c r="N719" i="1"/>
  <c r="O719" i="1"/>
  <c r="L720" i="1"/>
  <c r="M720" i="1"/>
  <c r="N720" i="1"/>
  <c r="O720" i="1"/>
  <c r="L721" i="1"/>
  <c r="M721" i="1"/>
  <c r="N721" i="1"/>
  <c r="O721" i="1"/>
  <c r="L722" i="1"/>
  <c r="M722" i="1"/>
  <c r="N722" i="1"/>
  <c r="O722" i="1"/>
  <c r="L723" i="1"/>
  <c r="M723" i="1"/>
  <c r="N723" i="1"/>
  <c r="O723" i="1"/>
  <c r="L724" i="1"/>
  <c r="M724" i="1"/>
  <c r="N724" i="1"/>
  <c r="O724" i="1"/>
  <c r="L725" i="1"/>
  <c r="M725" i="1"/>
  <c r="N725" i="1"/>
  <c r="O725" i="1"/>
  <c r="L726" i="1"/>
  <c r="M726" i="1"/>
  <c r="N726" i="1"/>
  <c r="O726" i="1"/>
  <c r="L727" i="1"/>
  <c r="M727" i="1"/>
  <c r="N727" i="1"/>
  <c r="O727" i="1"/>
  <c r="L728" i="1"/>
  <c r="M728" i="1"/>
  <c r="N728" i="1"/>
  <c r="O728" i="1"/>
  <c r="L729" i="1"/>
  <c r="M729" i="1"/>
  <c r="N729" i="1"/>
  <c r="O729" i="1"/>
  <c r="L730" i="1"/>
  <c r="M730" i="1"/>
  <c r="N730" i="1"/>
  <c r="O730" i="1"/>
  <c r="L731" i="1"/>
  <c r="M731" i="1"/>
  <c r="N731" i="1"/>
  <c r="O731" i="1"/>
  <c r="L732" i="1"/>
  <c r="M732" i="1"/>
  <c r="N732" i="1"/>
  <c r="O732" i="1"/>
  <c r="L733" i="1"/>
  <c r="M733" i="1"/>
  <c r="N733" i="1"/>
  <c r="O733" i="1"/>
  <c r="L734" i="1"/>
  <c r="M734" i="1"/>
  <c r="N734" i="1"/>
  <c r="O734" i="1"/>
  <c r="L735" i="1"/>
  <c r="M735" i="1"/>
  <c r="N735" i="1"/>
  <c r="O735" i="1"/>
  <c r="L736" i="1"/>
  <c r="M736" i="1"/>
  <c r="N736" i="1"/>
  <c r="O736" i="1"/>
  <c r="L737" i="1"/>
  <c r="M737" i="1"/>
  <c r="N737" i="1"/>
  <c r="O737" i="1"/>
  <c r="L738" i="1"/>
  <c r="M738" i="1"/>
  <c r="N738" i="1"/>
  <c r="O738" i="1"/>
  <c r="L739" i="1"/>
  <c r="M739" i="1"/>
  <c r="N739" i="1"/>
  <c r="O739" i="1"/>
  <c r="L740" i="1"/>
  <c r="M740" i="1"/>
  <c r="N740" i="1"/>
  <c r="O740" i="1"/>
  <c r="L741" i="1"/>
  <c r="M741" i="1"/>
  <c r="N741" i="1"/>
  <c r="O741" i="1"/>
  <c r="L742" i="1"/>
  <c r="M742" i="1"/>
  <c r="N742" i="1"/>
  <c r="O742" i="1"/>
  <c r="L743" i="1"/>
  <c r="M743" i="1"/>
  <c r="N743" i="1"/>
  <c r="O743" i="1"/>
  <c r="L744" i="1"/>
  <c r="M744" i="1"/>
  <c r="N744" i="1"/>
  <c r="O744" i="1"/>
  <c r="L745" i="1"/>
  <c r="M745" i="1"/>
  <c r="N745" i="1"/>
  <c r="O745" i="1"/>
  <c r="L746" i="1"/>
  <c r="M746" i="1"/>
  <c r="N746" i="1"/>
  <c r="O746" i="1"/>
  <c r="L747" i="1"/>
  <c r="M747" i="1"/>
  <c r="N747" i="1"/>
  <c r="O747" i="1"/>
  <c r="L748" i="1"/>
  <c r="M748" i="1"/>
  <c r="N748" i="1"/>
  <c r="O748" i="1"/>
  <c r="L749" i="1"/>
  <c r="M749" i="1"/>
  <c r="N749" i="1"/>
  <c r="O749" i="1"/>
  <c r="L750" i="1"/>
  <c r="M750" i="1"/>
  <c r="N750" i="1"/>
  <c r="O750" i="1"/>
  <c r="L751" i="1"/>
  <c r="M751" i="1"/>
  <c r="N751" i="1"/>
  <c r="O751" i="1"/>
  <c r="L752" i="1"/>
  <c r="M752" i="1"/>
  <c r="N752" i="1"/>
  <c r="O752" i="1"/>
  <c r="L753" i="1"/>
  <c r="M753" i="1"/>
  <c r="N753" i="1"/>
  <c r="O753" i="1"/>
  <c r="L754" i="1"/>
  <c r="M754" i="1"/>
  <c r="N754" i="1"/>
  <c r="O754" i="1"/>
  <c r="L755" i="1"/>
  <c r="M755" i="1"/>
  <c r="N755" i="1"/>
  <c r="O755" i="1"/>
  <c r="L756" i="1"/>
  <c r="M756" i="1"/>
  <c r="N756" i="1"/>
  <c r="O756" i="1"/>
  <c r="L757" i="1"/>
  <c r="M757" i="1"/>
  <c r="N757" i="1"/>
  <c r="O757" i="1"/>
  <c r="L758" i="1"/>
  <c r="M758" i="1"/>
  <c r="N758" i="1"/>
  <c r="O758" i="1"/>
  <c r="L759" i="1"/>
  <c r="M759" i="1"/>
  <c r="N759" i="1"/>
  <c r="O759" i="1"/>
  <c r="L760" i="1"/>
  <c r="M760" i="1"/>
  <c r="N760" i="1"/>
  <c r="O760" i="1"/>
  <c r="L761" i="1"/>
  <c r="M761" i="1"/>
  <c r="N761" i="1"/>
  <c r="O761" i="1"/>
  <c r="L762" i="1"/>
  <c r="M762" i="1"/>
  <c r="N762" i="1"/>
  <c r="O762" i="1"/>
  <c r="L763" i="1"/>
  <c r="M763" i="1"/>
  <c r="N763" i="1"/>
  <c r="O763" i="1"/>
  <c r="L764" i="1"/>
  <c r="M764" i="1"/>
  <c r="N764" i="1"/>
  <c r="O764" i="1"/>
  <c r="L765" i="1"/>
  <c r="M765" i="1"/>
  <c r="N765" i="1"/>
  <c r="O765" i="1"/>
  <c r="L766" i="1"/>
  <c r="M766" i="1"/>
  <c r="N766" i="1"/>
  <c r="O766" i="1"/>
  <c r="L767" i="1"/>
  <c r="M767" i="1"/>
  <c r="N767" i="1"/>
  <c r="O767" i="1"/>
  <c r="L768" i="1"/>
  <c r="M768" i="1"/>
  <c r="N768" i="1"/>
  <c r="O768" i="1"/>
  <c r="L769" i="1"/>
  <c r="M769" i="1"/>
  <c r="N769" i="1"/>
  <c r="O769" i="1"/>
  <c r="L770" i="1"/>
  <c r="M770" i="1"/>
  <c r="N770" i="1"/>
  <c r="O770" i="1"/>
  <c r="L771" i="1"/>
  <c r="M771" i="1"/>
  <c r="N771" i="1"/>
  <c r="O771" i="1"/>
  <c r="L772" i="1"/>
  <c r="M772" i="1"/>
  <c r="N772" i="1"/>
  <c r="O772" i="1"/>
  <c r="L773" i="1"/>
  <c r="M773" i="1"/>
  <c r="N773" i="1"/>
  <c r="O773" i="1"/>
  <c r="L774" i="1"/>
  <c r="M774" i="1"/>
  <c r="N774" i="1"/>
  <c r="O774" i="1"/>
  <c r="L775" i="1"/>
  <c r="M775" i="1"/>
  <c r="N775" i="1"/>
  <c r="O775" i="1"/>
  <c r="L776" i="1"/>
  <c r="M776" i="1"/>
  <c r="N776" i="1"/>
  <c r="O776" i="1"/>
  <c r="L777" i="1"/>
  <c r="M777" i="1"/>
  <c r="N777" i="1"/>
  <c r="O777" i="1"/>
  <c r="L778" i="1"/>
  <c r="M778" i="1"/>
  <c r="N778" i="1"/>
  <c r="O778" i="1"/>
  <c r="L779" i="1"/>
  <c r="M779" i="1"/>
  <c r="N779" i="1"/>
  <c r="O779" i="1"/>
  <c r="L780" i="1"/>
  <c r="M780" i="1"/>
  <c r="N780" i="1"/>
  <c r="O780" i="1"/>
  <c r="L781" i="1"/>
  <c r="M781" i="1"/>
  <c r="N781" i="1"/>
  <c r="O781" i="1"/>
  <c r="L782" i="1"/>
  <c r="M782" i="1"/>
  <c r="N782" i="1"/>
  <c r="O782" i="1"/>
  <c r="L783" i="1"/>
  <c r="M783" i="1"/>
  <c r="N783" i="1"/>
  <c r="O783" i="1"/>
  <c r="L784" i="1"/>
  <c r="M784" i="1"/>
  <c r="N784" i="1"/>
  <c r="O784" i="1"/>
  <c r="L785" i="1"/>
  <c r="M785" i="1"/>
  <c r="N785" i="1"/>
  <c r="O785" i="1"/>
  <c r="L786" i="1"/>
  <c r="M786" i="1"/>
  <c r="N786" i="1"/>
  <c r="O786" i="1"/>
  <c r="L787" i="1"/>
  <c r="M787" i="1"/>
  <c r="N787" i="1"/>
  <c r="O787" i="1"/>
  <c r="L788" i="1"/>
  <c r="M788" i="1"/>
  <c r="N788" i="1"/>
  <c r="O788" i="1"/>
  <c r="L789" i="1"/>
  <c r="M789" i="1"/>
  <c r="N789" i="1"/>
  <c r="O789" i="1"/>
  <c r="L790" i="1"/>
  <c r="M790" i="1"/>
  <c r="N790" i="1"/>
  <c r="O790" i="1"/>
  <c r="L791" i="1"/>
  <c r="M791" i="1"/>
  <c r="N791" i="1"/>
  <c r="O791" i="1"/>
  <c r="L792" i="1"/>
  <c r="M792" i="1"/>
  <c r="N792" i="1"/>
  <c r="O792" i="1"/>
  <c r="L793" i="1"/>
  <c r="M793" i="1"/>
  <c r="N793" i="1"/>
  <c r="O793" i="1"/>
  <c r="L794" i="1"/>
  <c r="M794" i="1"/>
  <c r="N794" i="1"/>
  <c r="O794" i="1"/>
  <c r="L795" i="1"/>
  <c r="M795" i="1"/>
  <c r="N795" i="1"/>
  <c r="O795" i="1"/>
  <c r="L796" i="1"/>
  <c r="M796" i="1"/>
  <c r="N796" i="1"/>
  <c r="O796" i="1"/>
  <c r="L797" i="1"/>
  <c r="M797" i="1"/>
  <c r="N797" i="1"/>
  <c r="O797" i="1"/>
  <c r="L798" i="1"/>
  <c r="M798" i="1"/>
  <c r="N798" i="1"/>
  <c r="O798" i="1"/>
  <c r="L799" i="1"/>
  <c r="M799" i="1"/>
  <c r="N799" i="1"/>
  <c r="O799" i="1"/>
  <c r="L800" i="1"/>
  <c r="M800" i="1"/>
  <c r="N800" i="1"/>
  <c r="O800" i="1"/>
  <c r="L801" i="1"/>
  <c r="M801" i="1"/>
  <c r="N801" i="1"/>
  <c r="O801" i="1"/>
  <c r="L802" i="1"/>
  <c r="M802" i="1"/>
  <c r="N802" i="1"/>
  <c r="O802" i="1"/>
  <c r="L803" i="1"/>
  <c r="M803" i="1"/>
  <c r="N803" i="1"/>
  <c r="O803" i="1"/>
  <c r="L804" i="1"/>
  <c r="M804" i="1"/>
  <c r="N804" i="1"/>
  <c r="O804" i="1"/>
  <c r="L805" i="1"/>
  <c r="M805" i="1"/>
  <c r="N805" i="1"/>
  <c r="O805" i="1"/>
  <c r="L806" i="1"/>
  <c r="M806" i="1"/>
  <c r="N806" i="1"/>
  <c r="O806" i="1"/>
  <c r="L807" i="1"/>
  <c r="M807" i="1"/>
  <c r="N807" i="1"/>
  <c r="O807" i="1"/>
  <c r="L808" i="1"/>
  <c r="M808" i="1"/>
  <c r="N808" i="1"/>
  <c r="O808" i="1"/>
  <c r="L809" i="1"/>
  <c r="M809" i="1"/>
  <c r="N809" i="1"/>
  <c r="O809" i="1"/>
  <c r="L810" i="1"/>
  <c r="M810" i="1"/>
  <c r="N810" i="1"/>
  <c r="O810" i="1"/>
  <c r="L811" i="1"/>
  <c r="M811" i="1"/>
  <c r="N811" i="1"/>
  <c r="O811" i="1"/>
  <c r="L812" i="1"/>
  <c r="M812" i="1"/>
  <c r="N812" i="1"/>
  <c r="O812" i="1"/>
  <c r="L813" i="1"/>
  <c r="M813" i="1"/>
  <c r="N813" i="1"/>
  <c r="O813" i="1"/>
  <c r="L814" i="1"/>
  <c r="M814" i="1"/>
  <c r="N814" i="1"/>
  <c r="O814" i="1"/>
  <c r="L815" i="1"/>
  <c r="M815" i="1"/>
  <c r="N815" i="1"/>
  <c r="O815" i="1"/>
  <c r="L816" i="1"/>
  <c r="M816" i="1"/>
  <c r="N816" i="1"/>
  <c r="O816" i="1"/>
  <c r="L817" i="1"/>
  <c r="M817" i="1"/>
  <c r="N817" i="1"/>
  <c r="O817" i="1"/>
  <c r="L818" i="1"/>
  <c r="M818" i="1"/>
  <c r="N818" i="1"/>
  <c r="O818" i="1"/>
  <c r="L819" i="1"/>
  <c r="M819" i="1"/>
  <c r="N819" i="1"/>
  <c r="O819" i="1"/>
  <c r="L820" i="1"/>
  <c r="M820" i="1"/>
  <c r="N820" i="1"/>
  <c r="O820" i="1"/>
  <c r="L821" i="1"/>
  <c r="M821" i="1"/>
  <c r="N821" i="1"/>
  <c r="O821" i="1"/>
  <c r="L822" i="1"/>
  <c r="M822" i="1"/>
  <c r="N822" i="1"/>
  <c r="O822" i="1"/>
  <c r="L823" i="1"/>
  <c r="M823" i="1"/>
  <c r="N823" i="1"/>
  <c r="O823" i="1"/>
  <c r="L824" i="1"/>
  <c r="M824" i="1"/>
  <c r="N824" i="1"/>
  <c r="O824" i="1"/>
  <c r="L825" i="1"/>
  <c r="M825" i="1"/>
  <c r="N825" i="1"/>
  <c r="O825" i="1"/>
  <c r="L826" i="1"/>
  <c r="M826" i="1"/>
  <c r="N826" i="1"/>
  <c r="O826" i="1"/>
  <c r="L827" i="1"/>
  <c r="M827" i="1"/>
  <c r="N827" i="1"/>
  <c r="O827" i="1"/>
  <c r="L828" i="1"/>
  <c r="M828" i="1"/>
  <c r="N828" i="1"/>
  <c r="O828" i="1"/>
  <c r="L829" i="1"/>
  <c r="M829" i="1"/>
  <c r="N829" i="1"/>
  <c r="O829" i="1"/>
  <c r="L830" i="1"/>
  <c r="M830" i="1"/>
  <c r="N830" i="1"/>
  <c r="O830" i="1"/>
  <c r="L831" i="1"/>
  <c r="M831" i="1"/>
  <c r="N831" i="1"/>
  <c r="O831" i="1"/>
  <c r="L832" i="1"/>
  <c r="M832" i="1"/>
  <c r="N832" i="1"/>
  <c r="O832" i="1"/>
  <c r="L833" i="1"/>
  <c r="M833" i="1"/>
  <c r="N833" i="1"/>
  <c r="O833" i="1"/>
  <c r="L834" i="1"/>
  <c r="M834" i="1"/>
  <c r="N834" i="1"/>
  <c r="O834" i="1"/>
  <c r="L835" i="1"/>
  <c r="M835" i="1"/>
  <c r="N835" i="1"/>
  <c r="O835" i="1"/>
  <c r="L836" i="1"/>
  <c r="M836" i="1"/>
  <c r="N836" i="1"/>
  <c r="O836" i="1"/>
  <c r="L837" i="1"/>
  <c r="M837" i="1"/>
  <c r="N837" i="1"/>
  <c r="O837" i="1"/>
  <c r="L838" i="1"/>
  <c r="M838" i="1"/>
  <c r="N838" i="1"/>
  <c r="O838" i="1"/>
  <c r="L839" i="1"/>
  <c r="M839" i="1"/>
  <c r="N839" i="1"/>
  <c r="O839" i="1"/>
  <c r="L840" i="1"/>
  <c r="M840" i="1"/>
  <c r="N840" i="1"/>
  <c r="O840" i="1"/>
  <c r="L841" i="1"/>
  <c r="M841" i="1"/>
  <c r="N841" i="1"/>
  <c r="O841" i="1"/>
  <c r="L842" i="1"/>
  <c r="M842" i="1"/>
  <c r="N842" i="1"/>
  <c r="O842" i="1"/>
  <c r="L843" i="1"/>
  <c r="M843" i="1"/>
  <c r="N843" i="1"/>
  <c r="O843" i="1"/>
  <c r="L844" i="1"/>
  <c r="M844" i="1"/>
  <c r="N844" i="1"/>
  <c r="O844" i="1"/>
  <c r="L845" i="1"/>
  <c r="M845" i="1"/>
  <c r="N845" i="1"/>
  <c r="O845" i="1"/>
  <c r="L846" i="1"/>
  <c r="M846" i="1"/>
  <c r="N846" i="1"/>
  <c r="O846" i="1"/>
  <c r="L847" i="1"/>
  <c r="M847" i="1"/>
  <c r="N847" i="1"/>
  <c r="O847" i="1"/>
  <c r="L848" i="1"/>
  <c r="M848" i="1"/>
  <c r="N848" i="1"/>
  <c r="O848" i="1"/>
  <c r="L849" i="1"/>
  <c r="M849" i="1"/>
  <c r="N849" i="1"/>
  <c r="O849" i="1"/>
  <c r="L850" i="1"/>
  <c r="M850" i="1"/>
  <c r="N850" i="1"/>
  <c r="O850" i="1"/>
  <c r="L851" i="1"/>
  <c r="M851" i="1"/>
  <c r="N851" i="1"/>
  <c r="O851" i="1"/>
  <c r="L852" i="1"/>
  <c r="M852" i="1"/>
  <c r="N852" i="1"/>
  <c r="O852" i="1"/>
  <c r="L853" i="1"/>
  <c r="M853" i="1"/>
  <c r="N853" i="1"/>
  <c r="O853" i="1"/>
  <c r="L854" i="1"/>
  <c r="M854" i="1"/>
  <c r="N854" i="1"/>
  <c r="O854" i="1"/>
  <c r="L855" i="1"/>
  <c r="M855" i="1"/>
  <c r="N855" i="1"/>
  <c r="O855" i="1"/>
  <c r="L856" i="1"/>
  <c r="M856" i="1"/>
  <c r="N856" i="1"/>
  <c r="O856" i="1"/>
  <c r="L857" i="1"/>
  <c r="M857" i="1"/>
  <c r="N857" i="1"/>
  <c r="O857" i="1"/>
  <c r="L858" i="1"/>
  <c r="M858" i="1"/>
  <c r="N858" i="1"/>
  <c r="O858" i="1"/>
  <c r="L859" i="1"/>
  <c r="M859" i="1"/>
  <c r="N859" i="1"/>
  <c r="O859" i="1"/>
  <c r="L860" i="1"/>
  <c r="M860" i="1"/>
  <c r="N860" i="1"/>
  <c r="O860" i="1"/>
  <c r="L861" i="1"/>
  <c r="M861" i="1"/>
  <c r="N861" i="1"/>
  <c r="O861" i="1"/>
  <c r="L862" i="1"/>
  <c r="M862" i="1"/>
  <c r="N862" i="1"/>
  <c r="O862" i="1"/>
  <c r="L863" i="1"/>
  <c r="M863" i="1"/>
  <c r="N863" i="1"/>
  <c r="O863" i="1"/>
  <c r="L864" i="1"/>
  <c r="M864" i="1"/>
  <c r="N864" i="1"/>
  <c r="O864" i="1"/>
  <c r="L865" i="1"/>
  <c r="M865" i="1"/>
  <c r="N865" i="1"/>
  <c r="O865" i="1"/>
  <c r="L866" i="1"/>
  <c r="M866" i="1"/>
  <c r="N866" i="1"/>
  <c r="O866" i="1"/>
  <c r="L867" i="1"/>
  <c r="M867" i="1"/>
  <c r="N867" i="1"/>
  <c r="O867" i="1"/>
  <c r="L868" i="1"/>
  <c r="M868" i="1"/>
  <c r="N868" i="1"/>
  <c r="O868" i="1"/>
  <c r="L869" i="1"/>
  <c r="M869" i="1"/>
  <c r="N869" i="1"/>
  <c r="O869" i="1"/>
  <c r="L870" i="1"/>
  <c r="M870" i="1"/>
  <c r="N870" i="1"/>
  <c r="O870" i="1"/>
  <c r="L871" i="1"/>
  <c r="M871" i="1"/>
  <c r="N871" i="1"/>
  <c r="O871" i="1"/>
  <c r="L872" i="1"/>
  <c r="M872" i="1"/>
  <c r="N872" i="1"/>
  <c r="O872" i="1"/>
  <c r="L873" i="1"/>
  <c r="M873" i="1"/>
  <c r="N873" i="1"/>
  <c r="O873" i="1"/>
  <c r="M4" i="1"/>
  <c r="N4" i="1"/>
  <c r="O4" i="1"/>
  <c r="L4" i="1"/>
  <c r="P1428" i="1"/>
  <c r="Q1428" i="1"/>
  <c r="R1428" i="1"/>
  <c r="S1428" i="1"/>
  <c r="Q1429" i="1"/>
  <c r="R1429" i="1"/>
  <c r="S1429" i="1"/>
  <c r="Q1430" i="1"/>
  <c r="R1430" i="1"/>
  <c r="S1430" i="1"/>
  <c r="Q1431" i="1"/>
  <c r="R1431" i="1"/>
  <c r="S1431" i="1"/>
  <c r="Q1432" i="1"/>
  <c r="R1432" i="1"/>
  <c r="S1432" i="1"/>
  <c r="Q1433" i="1"/>
  <c r="R1433" i="1"/>
  <c r="S1433" i="1"/>
  <c r="Q1434" i="1"/>
  <c r="R1434" i="1"/>
  <c r="S1434" i="1"/>
  <c r="P1435" i="1"/>
  <c r="Q1435" i="1"/>
  <c r="R1435" i="1"/>
  <c r="S1435" i="1"/>
  <c r="P1436" i="1"/>
  <c r="Q1436" i="1"/>
  <c r="R1436" i="1"/>
  <c r="S1436" i="1"/>
  <c r="Q1437" i="1"/>
  <c r="R1437" i="1"/>
  <c r="S1437" i="1"/>
  <c r="Q1438" i="1"/>
  <c r="R1438" i="1"/>
  <c r="S1438" i="1"/>
  <c r="Q1439" i="1"/>
  <c r="R1439" i="1"/>
  <c r="S1439" i="1"/>
  <c r="Q1440" i="1"/>
  <c r="R1440" i="1"/>
  <c r="P1441" i="1"/>
  <c r="Q1441" i="1"/>
  <c r="R1441" i="1"/>
  <c r="Q1442" i="1"/>
  <c r="R1442" i="1"/>
  <c r="S1442" i="1"/>
  <c r="Q1443" i="1"/>
  <c r="R1443" i="1"/>
  <c r="S1443" i="1"/>
  <c r="Q1444" i="1"/>
  <c r="R1444" i="1"/>
  <c r="S1444" i="1"/>
  <c r="P1445" i="1"/>
  <c r="Q1445" i="1"/>
  <c r="R1445" i="1"/>
  <c r="S1445" i="1"/>
  <c r="Q1446" i="1"/>
  <c r="R1446" i="1"/>
  <c r="S1446" i="1"/>
  <c r="Q1447" i="1"/>
  <c r="R1447" i="1"/>
  <c r="S1447" i="1"/>
  <c r="Q1448" i="1"/>
  <c r="R1448" i="1"/>
  <c r="S1448" i="1"/>
  <c r="P1449" i="1"/>
  <c r="Q1449" i="1"/>
  <c r="R1449" i="1"/>
  <c r="P1450" i="1"/>
  <c r="Q1450" i="1"/>
  <c r="R1450" i="1"/>
  <c r="S1450" i="1"/>
  <c r="P1451" i="1"/>
  <c r="Q1451" i="1"/>
  <c r="R1451" i="1"/>
  <c r="S1451" i="1"/>
  <c r="P1452" i="1"/>
  <c r="Q1452" i="1"/>
  <c r="R1452" i="1"/>
  <c r="S1452" i="1"/>
  <c r="P1453" i="1"/>
  <c r="Q1453" i="1"/>
  <c r="R1453" i="1"/>
  <c r="S1453" i="1"/>
  <c r="P1454" i="1"/>
  <c r="Q1454" i="1"/>
  <c r="R1454" i="1"/>
  <c r="S1454" i="1"/>
  <c r="P1455" i="1"/>
  <c r="Q1455" i="1"/>
  <c r="R1455" i="1"/>
  <c r="S1455" i="1"/>
  <c r="P1456" i="1"/>
  <c r="Q1456" i="1"/>
  <c r="R1456" i="1"/>
  <c r="S1456" i="1"/>
  <c r="P1457" i="1"/>
  <c r="Q1457" i="1"/>
  <c r="R1457" i="1"/>
  <c r="Q1458" i="1"/>
  <c r="R1458" i="1"/>
  <c r="S1458" i="1"/>
  <c r="Q1459" i="1"/>
  <c r="R1459" i="1"/>
  <c r="S1459" i="1"/>
  <c r="Q1460" i="1"/>
  <c r="R1460" i="1"/>
  <c r="S1460" i="1"/>
  <c r="Q1461" i="1"/>
  <c r="R1461" i="1"/>
  <c r="S1461" i="1"/>
  <c r="Q1462" i="1"/>
  <c r="R1462" i="1"/>
  <c r="S1462" i="1"/>
  <c r="P1463" i="1"/>
  <c r="Q1463" i="1"/>
  <c r="R1463" i="1"/>
  <c r="S1463" i="1"/>
  <c r="P1464" i="1"/>
  <c r="Q1464" i="1"/>
  <c r="R1464" i="1"/>
  <c r="S1464" i="1"/>
  <c r="Q1465" i="1"/>
  <c r="R1465" i="1"/>
  <c r="S1465" i="1"/>
  <c r="Q1466" i="1"/>
  <c r="R1466" i="1"/>
  <c r="S1466" i="1"/>
  <c r="Q1467" i="1"/>
  <c r="R1467" i="1"/>
  <c r="S1467" i="1"/>
  <c r="Q1468" i="1"/>
  <c r="R1468" i="1"/>
  <c r="S1468" i="1"/>
  <c r="Q1469" i="1"/>
  <c r="R1469" i="1"/>
  <c r="S1469" i="1"/>
  <c r="Q1470" i="1"/>
  <c r="R1470" i="1"/>
  <c r="S1470" i="1"/>
  <c r="P1471" i="1"/>
  <c r="Q1471" i="1"/>
  <c r="R1471" i="1"/>
  <c r="S1471" i="1"/>
  <c r="S5" i="1"/>
  <c r="S20" i="1"/>
  <c r="S21" i="1"/>
  <c r="S26" i="1"/>
  <c r="S27" i="1"/>
  <c r="S32" i="1"/>
  <c r="S33" i="1"/>
  <c r="S40" i="1"/>
  <c r="S41" i="1"/>
  <c r="S48" i="1"/>
  <c r="S49" i="1"/>
  <c r="S56" i="1"/>
  <c r="S68" i="1"/>
  <c r="S69" i="1"/>
  <c r="S76" i="1"/>
  <c r="S77" i="1"/>
  <c r="S84" i="1"/>
  <c r="S85" i="1"/>
  <c r="S89" i="1"/>
  <c r="S90" i="1"/>
  <c r="S91" i="1"/>
  <c r="S98" i="1"/>
  <c r="S99" i="1"/>
  <c r="S104" i="1"/>
  <c r="S105" i="1"/>
  <c r="S112" i="1"/>
  <c r="S115" i="1"/>
  <c r="S120" i="1"/>
  <c r="S123" i="1"/>
  <c r="S133" i="1"/>
  <c r="S136" i="1"/>
  <c r="S141" i="1"/>
  <c r="S143" i="1"/>
  <c r="S148" i="1"/>
  <c r="S149" i="1"/>
  <c r="S156" i="1"/>
  <c r="S157" i="1"/>
  <c r="S166" i="1"/>
  <c r="S167" i="1"/>
  <c r="S172" i="1"/>
  <c r="S173" i="1"/>
  <c r="S184" i="1"/>
  <c r="S192" i="1"/>
  <c r="S195" i="1"/>
  <c r="S204" i="1"/>
  <c r="S207" i="1"/>
  <c r="S212" i="1"/>
  <c r="S213" i="1"/>
  <c r="S220" i="1"/>
  <c r="S221" i="1"/>
  <c r="S232" i="1"/>
  <c r="S235" i="1"/>
  <c r="S240" i="1"/>
  <c r="S244" i="1"/>
  <c r="S252" i="1"/>
  <c r="S253" i="1"/>
  <c r="S260" i="1"/>
  <c r="S261" i="1"/>
  <c r="S266" i="1"/>
  <c r="S268" i="1"/>
  <c r="S271" i="1"/>
  <c r="S280" i="1"/>
  <c r="S284" i="1"/>
  <c r="S285" i="1"/>
  <c r="S286" i="1"/>
  <c r="S292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U1397" i="1" s="1"/>
  <c r="S1398" i="1"/>
  <c r="U1398" i="1" s="1"/>
  <c r="S1399" i="1"/>
  <c r="U1399" i="1" s="1"/>
  <c r="S1400" i="1"/>
  <c r="U1400" i="1" s="1"/>
  <c r="S1401" i="1"/>
  <c r="U1401" i="1" s="1"/>
  <c r="S1402" i="1"/>
  <c r="U1402" i="1" s="1"/>
  <c r="S1403" i="1"/>
  <c r="U1403" i="1" s="1"/>
  <c r="S1404" i="1"/>
  <c r="U1404" i="1" s="1"/>
  <c r="S1405" i="1"/>
  <c r="U1405" i="1" s="1"/>
  <c r="S1406" i="1"/>
  <c r="U1406" i="1" s="1"/>
  <c r="S1407" i="1"/>
  <c r="U1407" i="1" s="1"/>
  <c r="S1408" i="1"/>
  <c r="U1408" i="1" s="1"/>
  <c r="S1409" i="1"/>
  <c r="U1409" i="1" s="1"/>
  <c r="S1410" i="1"/>
  <c r="U1410" i="1" s="1"/>
  <c r="S1411" i="1"/>
  <c r="U1411" i="1" s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4" i="1"/>
  <c r="P12" i="1"/>
  <c r="P23" i="1"/>
  <c r="P24" i="1"/>
  <c r="P30" i="1"/>
  <c r="P31" i="1"/>
  <c r="P39" i="1"/>
  <c r="P40" i="1"/>
  <c r="P49" i="1"/>
  <c r="P52" i="1"/>
  <c r="P71" i="1"/>
  <c r="P72" i="1"/>
  <c r="P77" i="1"/>
  <c r="P78" i="1"/>
  <c r="P92" i="1"/>
  <c r="P96" i="1"/>
  <c r="P101" i="1"/>
  <c r="P102" i="1"/>
  <c r="P111" i="1"/>
  <c r="P112" i="1"/>
  <c r="P123" i="1"/>
  <c r="P124" i="1"/>
  <c r="P126" i="1"/>
  <c r="P128" i="1"/>
  <c r="P131" i="1"/>
  <c r="P139" i="1"/>
  <c r="P140" i="1"/>
  <c r="P147" i="1"/>
  <c r="P151" i="1"/>
  <c r="P163" i="1"/>
  <c r="P164" i="1"/>
  <c r="P166" i="1"/>
  <c r="P171" i="1"/>
  <c r="P172" i="1"/>
  <c r="P173" i="1"/>
  <c r="P176" i="1"/>
  <c r="P179" i="1"/>
  <c r="P182" i="1"/>
  <c r="P183" i="1"/>
  <c r="P184" i="1"/>
  <c r="P186" i="1"/>
  <c r="P188" i="1"/>
  <c r="P191" i="1"/>
  <c r="P196" i="1"/>
  <c r="P203" i="1"/>
  <c r="P206" i="1"/>
  <c r="P207" i="1"/>
  <c r="P208" i="1"/>
  <c r="P216" i="1"/>
  <c r="P218" i="1"/>
  <c r="P223" i="1"/>
  <c r="P224" i="1"/>
  <c r="P236" i="1"/>
  <c r="P240" i="1"/>
  <c r="P250" i="1"/>
  <c r="P252" i="1"/>
  <c r="P264" i="1"/>
  <c r="P270" i="1"/>
  <c r="P273" i="1"/>
  <c r="P274" i="1"/>
  <c r="P280" i="1"/>
  <c r="P283" i="1"/>
  <c r="P296" i="1"/>
  <c r="P297" i="1"/>
  <c r="P298" i="1"/>
  <c r="P300" i="1"/>
  <c r="P301" i="1"/>
  <c r="P302" i="1"/>
  <c r="P304" i="1"/>
  <c r="P305" i="1"/>
  <c r="P306" i="1"/>
  <c r="P308" i="1"/>
  <c r="P309" i="1"/>
  <c r="P310" i="1"/>
  <c r="P312" i="1"/>
  <c r="P313" i="1"/>
  <c r="P314" i="1"/>
  <c r="P316" i="1"/>
  <c r="P317" i="1"/>
  <c r="P318" i="1"/>
  <c r="P320" i="1"/>
  <c r="P321" i="1"/>
  <c r="P322" i="1"/>
  <c r="P324" i="1"/>
  <c r="P325" i="1"/>
  <c r="P326" i="1"/>
  <c r="P328" i="1"/>
  <c r="P329" i="1"/>
  <c r="P330" i="1"/>
  <c r="P332" i="1"/>
  <c r="P333" i="1"/>
  <c r="P334" i="1"/>
  <c r="P336" i="1"/>
  <c r="P337" i="1"/>
  <c r="P338" i="1"/>
  <c r="P340" i="1"/>
  <c r="P341" i="1"/>
  <c r="P342" i="1"/>
  <c r="P344" i="1"/>
  <c r="P345" i="1"/>
  <c r="P346" i="1"/>
  <c r="P348" i="1"/>
  <c r="P349" i="1"/>
  <c r="P350" i="1"/>
  <c r="P352" i="1"/>
  <c r="P353" i="1"/>
  <c r="P354" i="1"/>
  <c r="P356" i="1"/>
  <c r="P357" i="1"/>
  <c r="P358" i="1"/>
  <c r="P360" i="1"/>
  <c r="P361" i="1"/>
  <c r="P362" i="1"/>
  <c r="P364" i="1"/>
  <c r="P365" i="1"/>
  <c r="P366" i="1"/>
  <c r="P368" i="1"/>
  <c r="P369" i="1"/>
  <c r="P370" i="1"/>
  <c r="P372" i="1"/>
  <c r="P373" i="1"/>
  <c r="P374" i="1"/>
  <c r="P376" i="1"/>
  <c r="P377" i="1"/>
  <c r="P378" i="1"/>
  <c r="P380" i="1"/>
  <c r="P381" i="1"/>
  <c r="P382" i="1"/>
  <c r="P384" i="1"/>
  <c r="P385" i="1"/>
  <c r="P386" i="1"/>
  <c r="P388" i="1"/>
  <c r="P389" i="1"/>
  <c r="P390" i="1"/>
  <c r="P392" i="1"/>
  <c r="P393" i="1"/>
  <c r="P394" i="1"/>
  <c r="P396" i="1"/>
  <c r="P397" i="1"/>
  <c r="P398" i="1"/>
  <c r="P400" i="1"/>
  <c r="P401" i="1"/>
  <c r="P402" i="1"/>
  <c r="P404" i="1"/>
  <c r="P405" i="1"/>
  <c r="P406" i="1"/>
  <c r="P408" i="1"/>
  <c r="P409" i="1"/>
  <c r="P410" i="1"/>
  <c r="P412" i="1"/>
  <c r="P413" i="1"/>
  <c r="P414" i="1"/>
  <c r="P416" i="1"/>
  <c r="P417" i="1"/>
  <c r="P418" i="1"/>
  <c r="P420" i="1"/>
  <c r="P421" i="1"/>
  <c r="P422" i="1"/>
  <c r="P424" i="1"/>
  <c r="P425" i="1"/>
  <c r="P426" i="1"/>
  <c r="P428" i="1"/>
  <c r="P429" i="1"/>
  <c r="P430" i="1"/>
  <c r="P432" i="1"/>
  <c r="P433" i="1"/>
  <c r="P434" i="1"/>
  <c r="P436" i="1"/>
  <c r="P437" i="1"/>
  <c r="P438" i="1"/>
  <c r="P440" i="1"/>
  <c r="P441" i="1"/>
  <c r="P442" i="1"/>
  <c r="P444" i="1"/>
  <c r="P445" i="1"/>
  <c r="P446" i="1"/>
  <c r="P448" i="1"/>
  <c r="P449" i="1"/>
  <c r="P450" i="1"/>
  <c r="P452" i="1"/>
  <c r="P453" i="1"/>
  <c r="P454" i="1"/>
  <c r="P456" i="1"/>
  <c r="P457" i="1"/>
  <c r="P458" i="1"/>
  <c r="P460" i="1"/>
  <c r="P461" i="1"/>
  <c r="P462" i="1"/>
  <c r="P464" i="1"/>
  <c r="P465" i="1"/>
  <c r="P466" i="1"/>
  <c r="P468" i="1"/>
  <c r="P469" i="1"/>
  <c r="P470" i="1"/>
  <c r="P472" i="1"/>
  <c r="P473" i="1"/>
  <c r="P474" i="1"/>
  <c r="P476" i="1"/>
  <c r="P477" i="1"/>
  <c r="P478" i="1"/>
  <c r="P480" i="1"/>
  <c r="P481" i="1"/>
  <c r="P482" i="1"/>
  <c r="P484" i="1"/>
  <c r="P485" i="1"/>
  <c r="P486" i="1"/>
  <c r="P488" i="1"/>
  <c r="P489" i="1"/>
  <c r="P490" i="1"/>
  <c r="P492" i="1"/>
  <c r="P493" i="1"/>
  <c r="P494" i="1"/>
  <c r="P496" i="1"/>
  <c r="P497" i="1"/>
  <c r="P498" i="1"/>
  <c r="P500" i="1"/>
  <c r="P501" i="1"/>
  <c r="P502" i="1"/>
  <c r="P504" i="1"/>
  <c r="P505" i="1"/>
  <c r="P506" i="1"/>
  <c r="P508" i="1"/>
  <c r="P509" i="1"/>
  <c r="P510" i="1"/>
  <c r="P512" i="1"/>
  <c r="P513" i="1"/>
  <c r="P514" i="1"/>
  <c r="P516" i="1"/>
  <c r="P517" i="1"/>
  <c r="P518" i="1"/>
  <c r="P520" i="1"/>
  <c r="P521" i="1"/>
  <c r="P522" i="1"/>
  <c r="P524" i="1"/>
  <c r="P525" i="1"/>
  <c r="P526" i="1"/>
  <c r="P528" i="1"/>
  <c r="P529" i="1"/>
  <c r="P530" i="1"/>
  <c r="P532" i="1"/>
  <c r="P533" i="1"/>
  <c r="P534" i="1"/>
  <c r="P536" i="1"/>
  <c r="P537" i="1"/>
  <c r="P538" i="1"/>
  <c r="P540" i="1"/>
  <c r="P541" i="1"/>
  <c r="P542" i="1"/>
  <c r="P544" i="1"/>
  <c r="P545" i="1"/>
  <c r="P546" i="1"/>
  <c r="P548" i="1"/>
  <c r="P549" i="1"/>
  <c r="P550" i="1"/>
  <c r="P552" i="1"/>
  <c r="P553" i="1"/>
  <c r="P554" i="1"/>
  <c r="P556" i="1"/>
  <c r="P557" i="1"/>
  <c r="P558" i="1"/>
  <c r="P560" i="1"/>
  <c r="P561" i="1"/>
  <c r="P562" i="1"/>
  <c r="P564" i="1"/>
  <c r="P565" i="1"/>
  <c r="P566" i="1"/>
  <c r="P568" i="1"/>
  <c r="P569" i="1"/>
  <c r="P570" i="1"/>
  <c r="P572" i="1"/>
  <c r="P573" i="1"/>
  <c r="P574" i="1"/>
  <c r="P576" i="1"/>
  <c r="P577" i="1"/>
  <c r="P578" i="1"/>
  <c r="P580" i="1"/>
  <c r="P581" i="1"/>
  <c r="P582" i="1"/>
  <c r="P584" i="1"/>
  <c r="P585" i="1"/>
  <c r="P586" i="1"/>
  <c r="P588" i="1"/>
  <c r="P589" i="1"/>
  <c r="P590" i="1"/>
  <c r="P592" i="1"/>
  <c r="P593" i="1"/>
  <c r="P594" i="1"/>
  <c r="P596" i="1"/>
  <c r="P597" i="1"/>
  <c r="P598" i="1"/>
  <c r="P600" i="1"/>
  <c r="P601" i="1"/>
  <c r="P602" i="1"/>
  <c r="P604" i="1"/>
  <c r="P605" i="1"/>
  <c r="P606" i="1"/>
  <c r="P608" i="1"/>
  <c r="P609" i="1"/>
  <c r="P610" i="1"/>
  <c r="P612" i="1"/>
  <c r="P613" i="1"/>
  <c r="P614" i="1"/>
  <c r="P616" i="1"/>
  <c r="P617" i="1"/>
  <c r="P618" i="1"/>
  <c r="P620" i="1"/>
  <c r="P621" i="1"/>
  <c r="P622" i="1"/>
  <c r="P624" i="1"/>
  <c r="P625" i="1"/>
  <c r="P626" i="1"/>
  <c r="P628" i="1"/>
  <c r="P629" i="1"/>
  <c r="P630" i="1"/>
  <c r="P632" i="1"/>
  <c r="P633" i="1"/>
  <c r="P634" i="1"/>
  <c r="P636" i="1"/>
  <c r="P637" i="1"/>
  <c r="P638" i="1"/>
  <c r="P640" i="1"/>
  <c r="P641" i="1"/>
  <c r="P642" i="1"/>
  <c r="P644" i="1"/>
  <c r="P645" i="1"/>
  <c r="P646" i="1"/>
  <c r="P648" i="1"/>
  <c r="P649" i="1"/>
  <c r="P650" i="1"/>
  <c r="P652" i="1"/>
  <c r="P653" i="1"/>
  <c r="P654" i="1"/>
  <c r="P656" i="1"/>
  <c r="P657" i="1"/>
  <c r="P658" i="1"/>
  <c r="P660" i="1"/>
  <c r="P661" i="1"/>
  <c r="P662" i="1"/>
  <c r="P664" i="1"/>
  <c r="P665" i="1"/>
  <c r="P666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S55" i="1" l="1"/>
  <c r="P187" i="1"/>
  <c r="P36" i="1"/>
  <c r="S276" i="1"/>
  <c r="S259" i="1"/>
  <c r="S251" i="1"/>
  <c r="S239" i="1"/>
  <c r="S227" i="1"/>
  <c r="S219" i="1"/>
  <c r="S211" i="1"/>
  <c r="S180" i="1"/>
  <c r="S155" i="1"/>
  <c r="S132" i="1"/>
  <c r="S119" i="1"/>
  <c r="S103" i="1"/>
  <c r="S95" i="1"/>
  <c r="S83" i="1"/>
  <c r="S75" i="1"/>
  <c r="S63" i="1"/>
  <c r="S47" i="1"/>
  <c r="S19" i="1"/>
  <c r="P272" i="1"/>
  <c r="P248" i="1"/>
  <c r="P215" i="1"/>
  <c r="P175" i="1"/>
  <c r="P168" i="1"/>
  <c r="P144" i="1"/>
  <c r="P127" i="1"/>
  <c r="P108" i="1"/>
  <c r="P100" i="1"/>
  <c r="P28" i="1"/>
  <c r="P275" i="1"/>
  <c r="P152" i="1"/>
  <c r="P116" i="1"/>
  <c r="P79" i="1"/>
  <c r="P7" i="1"/>
  <c r="S263" i="1"/>
  <c r="S256" i="1"/>
  <c r="S160" i="1"/>
  <c r="S88" i="1"/>
  <c r="S80" i="1"/>
  <c r="S60" i="1"/>
  <c r="S51" i="1"/>
  <c r="S44" i="1"/>
  <c r="S16" i="1"/>
  <c r="S295" i="1"/>
  <c r="S289" i="1"/>
  <c r="S293" i="1"/>
  <c r="S291" i="1"/>
  <c r="S294" i="1"/>
  <c r="S290" i="1"/>
  <c r="P262" i="1"/>
  <c r="S281" i="1"/>
  <c r="P288" i="1"/>
  <c r="P278" i="1"/>
  <c r="S267" i="1"/>
  <c r="S287" i="1"/>
  <c r="P282" i="1"/>
  <c r="S279" i="1"/>
  <c r="S277" i="1"/>
  <c r="P269" i="1"/>
  <c r="S265" i="1"/>
  <c r="P247" i="1"/>
  <c r="S258" i="1"/>
  <c r="P257" i="1"/>
  <c r="P255" i="1"/>
  <c r="P254" i="1"/>
  <c r="S249" i="1"/>
  <c r="P246" i="1"/>
  <c r="P245" i="1"/>
  <c r="P243" i="1"/>
  <c r="S229" i="1"/>
  <c r="P228" i="1"/>
  <c r="P242" i="1"/>
  <c r="P241" i="1"/>
  <c r="S234" i="1"/>
  <c r="S233" i="1"/>
  <c r="P238" i="1"/>
  <c r="P237" i="1"/>
  <c r="P231" i="1"/>
  <c r="P230" i="1"/>
  <c r="S225" i="1"/>
  <c r="P222" i="1"/>
  <c r="P226" i="1"/>
  <c r="S217" i="1"/>
  <c r="P214" i="1"/>
  <c r="S209" i="1"/>
  <c r="P205" i="1"/>
  <c r="S202" i="1"/>
  <c r="P200" i="1"/>
  <c r="P210" i="1"/>
  <c r="P201" i="1"/>
  <c r="P190" i="1"/>
  <c r="S197" i="1"/>
  <c r="P194" i="1"/>
  <c r="P193" i="1"/>
  <c r="P199" i="1"/>
  <c r="P198" i="1"/>
  <c r="S189" i="1"/>
  <c r="P185" i="1"/>
  <c r="S177" i="1"/>
  <c r="P174" i="1"/>
  <c r="S181" i="1"/>
  <c r="P178" i="1"/>
  <c r="P162" i="1"/>
  <c r="P170" i="1"/>
  <c r="P169" i="1"/>
  <c r="S165" i="1"/>
  <c r="S161" i="1"/>
  <c r="P159" i="1"/>
  <c r="P154" i="1"/>
  <c r="P158" i="1"/>
  <c r="S153" i="1"/>
  <c r="P150" i="1"/>
  <c r="P146" i="1"/>
  <c r="P145" i="1"/>
  <c r="P138" i="1"/>
  <c r="P130" i="1"/>
  <c r="S142" i="1"/>
  <c r="S137" i="1"/>
  <c r="P135" i="1"/>
  <c r="P134" i="1"/>
  <c r="S129" i="1"/>
  <c r="P125" i="1"/>
  <c r="S118" i="1"/>
  <c r="S110" i="1"/>
  <c r="S122" i="1"/>
  <c r="P121" i="1"/>
  <c r="S117" i="1"/>
  <c r="P114" i="1"/>
  <c r="P113" i="1"/>
  <c r="S109" i="1"/>
  <c r="P107" i="1"/>
  <c r="P106" i="1"/>
  <c r="P97" i="1"/>
  <c r="P94" i="1"/>
  <c r="P93" i="1"/>
  <c r="P87" i="1"/>
  <c r="P86" i="1"/>
  <c r="P82" i="1"/>
  <c r="S81" i="1"/>
  <c r="S74" i="1"/>
  <c r="P73" i="1"/>
  <c r="P70" i="1"/>
  <c r="S65" i="1"/>
  <c r="P64" i="1"/>
  <c r="P67" i="1"/>
  <c r="P66" i="1"/>
  <c r="P62" i="1"/>
  <c r="P61" i="1"/>
  <c r="S59" i="1"/>
  <c r="P58" i="1"/>
  <c r="P57" i="1"/>
  <c r="P46" i="1"/>
  <c r="S50" i="1"/>
  <c r="P43" i="1"/>
  <c r="S54" i="1"/>
  <c r="P53" i="1"/>
  <c r="S45" i="1"/>
  <c r="P42" i="1"/>
  <c r="P38" i="1"/>
  <c r="P29" i="1"/>
  <c r="S37" i="1"/>
  <c r="P35" i="1"/>
  <c r="P34" i="1"/>
  <c r="S25" i="1"/>
  <c r="P22" i="1"/>
  <c r="P18" i="1"/>
  <c r="P17" i="1"/>
  <c r="S15" i="1"/>
  <c r="S14" i="1"/>
  <c r="S13" i="1"/>
  <c r="S9" i="1"/>
  <c r="P6" i="1"/>
  <c r="P11" i="1"/>
  <c r="P10" i="1"/>
  <c r="P8" i="1"/>
  <c r="S4" i="1"/>
  <c r="S1449" i="1"/>
  <c r="S1457" i="1"/>
  <c r="S1441" i="1"/>
  <c r="S14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Leandro</author>
  </authors>
  <commentList>
    <comment ref="N2" authorId="0" shapeId="0" xr:uid="{00000000-0006-0000-0200-000001000000}">
      <text>
        <r>
          <rPr>
            <sz val="9"/>
            <color indexed="81"/>
            <rFont val="Tahoma"/>
            <family val="2"/>
          </rPr>
          <t xml:space="preserve">CAS O OPERADOR ESTEJA TRABALHANDO EM OUTRO POSTO, SUA FALTA DEVERÁ SER REGISTRADA NA PLANLHA DE PARADAS DE PRODUÇÃO.
</t>
        </r>
      </text>
    </comment>
    <comment ref="Q2" authorId="0" shapeId="0" xr:uid="{00000000-0006-0000-0200-000002000000}">
      <text>
        <r>
          <rPr>
            <sz val="9"/>
            <color indexed="81"/>
            <rFont val="Tahoma"/>
            <family val="2"/>
          </rPr>
          <t xml:space="preserve">CAS O OPERADOR ESTEJA TRABALHANDO EM OUTRO POSTO, SUA FALTA DEVERÁ SER REGISTRADA NA PLANLHA DE PARADAS DE PRODUÇÃO.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leandro.lidugerio</author>
  </authors>
  <commentList>
    <comment ref="E3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APENAS OPERADORES CADASTRADOS NA ABA DADOS DA PLANILHA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<sst xmlns="http://schemas.openxmlformats.org/spreadsheetml/2006/main" count="240" uniqueCount="93">
  <si>
    <t>Data</t>
  </si>
  <si>
    <t>Mês</t>
  </si>
  <si>
    <t>PRODUTO</t>
  </si>
  <si>
    <t>Nome do produto</t>
  </si>
  <si>
    <t>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</si>
  <si>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</si>
  <si>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</si>
  <si>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</si>
  <si>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</si>
  <si>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</si>
  <si>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</si>
  <si>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</si>
  <si>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</si>
  <si>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</si>
  <si>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</si>
  <si>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</si>
  <si>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</si>
  <si>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REJATO</t>
  </si>
  <si>
    <t>REFUGO</t>
  </si>
  <si>
    <t>RETRABALHO</t>
  </si>
  <si>
    <t>LIBERADAS</t>
  </si>
  <si>
    <t>TOTAL</t>
  </si>
  <si>
    <t>Total acabado</t>
  </si>
  <si>
    <t>PRODUÇÃO EM PEÇAS</t>
  </si>
  <si>
    <t>RASTREABILIDADE</t>
  </si>
  <si>
    <t>PRODUÇÃO EM TON.</t>
  </si>
  <si>
    <t>Cliente</t>
  </si>
  <si>
    <t>DATA</t>
  </si>
  <si>
    <t>Tempo Teórico</t>
  </si>
  <si>
    <t>CONTROLE DE PRODUÇÃO LINHA DE ACABAMENTO</t>
  </si>
  <si>
    <t>OPERADOR</t>
  </si>
  <si>
    <t>TURNO</t>
  </si>
  <si>
    <t>MS</t>
  </si>
  <si>
    <t>QTD ACABADA</t>
  </si>
  <si>
    <t>ANO</t>
  </si>
  <si>
    <t>MÊS</t>
  </si>
  <si>
    <t>DIA DA SEMANA</t>
  </si>
  <si>
    <t>TERÇA</t>
  </si>
  <si>
    <t>QUARTA</t>
  </si>
  <si>
    <t>QUINTA</t>
  </si>
  <si>
    <t>SEXTA</t>
  </si>
  <si>
    <t>SÁBADO</t>
  </si>
  <si>
    <t>SEGUNDA</t>
  </si>
  <si>
    <t>DOMINGO</t>
  </si>
  <si>
    <t>POSTO</t>
  </si>
  <si>
    <t xml:space="preserve"> </t>
  </si>
  <si>
    <t>POSTO 01</t>
  </si>
  <si>
    <t>POSTO 02</t>
  </si>
  <si>
    <t>POSTO 03</t>
  </si>
  <si>
    <t>POSTO 04</t>
  </si>
  <si>
    <t>POSTO 05</t>
  </si>
  <si>
    <t>POSTO 06</t>
  </si>
  <si>
    <t>POSTO 07</t>
  </si>
  <si>
    <t>PLANEJAMENTO DE TRABALHO</t>
  </si>
  <si>
    <t>LINHA 1</t>
  </si>
  <si>
    <t>LINHA 2</t>
  </si>
  <si>
    <t>QTD POSTOS DE TRABALHO P/ ACABAMENTO LINHA 1</t>
  </si>
  <si>
    <t>QTD POSTOS DE TRABALHO P/  ACABAMENTO LINHA 2</t>
  </si>
  <si>
    <t>TOTAL
PÇS</t>
  </si>
  <si>
    <t>NOITE</t>
  </si>
  <si>
    <t>DIA</t>
  </si>
  <si>
    <t>TARDE</t>
  </si>
  <si>
    <t>HOMEM / HORA PLANEJADO LINHA 1</t>
  </si>
  <si>
    <t>HOMEM / HORA PLANEJADO LINHA 2</t>
  </si>
  <si>
    <t>Meta
 Homem Hora ativa</t>
  </si>
  <si>
    <t>TEMPO DISPONÍVEL PLANEJADO HOMEM X HORA</t>
  </si>
  <si>
    <t>CONTROLE DE PEÇAS REBARBADAS LINHA 1</t>
  </si>
  <si>
    <t>KPI</t>
  </si>
  <si>
    <t>TEMPO DE PRODUÇÃO IDEAL (hh)</t>
  </si>
  <si>
    <t>QTD RETRABALHO</t>
  </si>
  <si>
    <t>RELATÓRIO DE PRODUÇÃO</t>
  </si>
  <si>
    <t xml:space="preserve">TOTAL DE PEÇAS REBARBADAS LINHA 2 </t>
  </si>
  <si>
    <t>FECHAMENTO DA PRODUÇÃO LINHA 1</t>
  </si>
  <si>
    <t>EXCESSO</t>
  </si>
  <si>
    <t>LOTE</t>
  </si>
  <si>
    <t>OBSERVAÇÕES</t>
  </si>
  <si>
    <t>Visto do Supervisor / Controlador</t>
  </si>
  <si>
    <t>FECHAMENTO DA PRODUÇÃO LINHA 2</t>
  </si>
  <si>
    <t>POSTO 08</t>
  </si>
  <si>
    <t>TON</t>
  </si>
  <si>
    <t>HHT</t>
  </si>
  <si>
    <t>DATA: _____/_____/____</t>
  </si>
  <si>
    <t>QUEBRADAS</t>
  </si>
  <si>
    <t>EXCESSO DE JATEAMENTO</t>
  </si>
  <si>
    <t>TURNO:</t>
  </si>
  <si>
    <t>DATA: ______/______/_______</t>
  </si>
  <si>
    <t>TOTAL DE FALTAS:</t>
  </si>
  <si>
    <t>REFUGO (QUANTIDADE)</t>
  </si>
  <si>
    <t xml:space="preserve"> PEÇAS AMASSADAS</t>
  </si>
  <si>
    <t>POSTO 09</t>
  </si>
  <si>
    <t>POSTO 10</t>
  </si>
  <si>
    <t>Turno: _____________</t>
  </si>
  <si>
    <t>EXCESSO DE ESMERILHAMENTO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</si>
</sst>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-dd/mm/yy"/>
    <numFmt numFmtId="165" formatCode="dd/mm/yy\ \-\ ddd"/>
    <numFmt numFmtId="166" formatCode="&quot;MS-0&quot;###"/>
    <numFmt numFmtId="167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b/>
      <sz val="16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4" xfId="0" applyBorder="1"/>
    <xf numFmtId="0" fontId="0" fillId="0" borderId="7" xfId="0" applyBorder="1"/>
    <xf numFmtId="0" fontId="0" fillId="6" borderId="6" xfId="0" applyFill="1" applyBorder="1"/>
    <xf numFmtId="0" fontId="0" fillId="6" borderId="4" xfId="0" applyFill="1" applyBorder="1"/>
    <xf numFmtId="0" fontId="0" fillId="6" borderId="7" xfId="0" applyFill="1" applyBorder="1"/>
    <xf numFmtId="3" fontId="0" fillId="6" borderId="4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64" fontId="0" fillId="0" borderId="4" xfId="0" applyNumberFormat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3" fontId="0" fillId="0" borderId="4" xfId="0" applyNumberFormat="1" applyBorder="1" applyProtection="1">
      <protection locked="0"/>
    </xf>
    <xf numFmtId="3" fontId="0" fillId="6" borderId="4" xfId="0" applyNumberFormat="1" applyFill="1" applyBorder="1"/>
    <xf numFmtId="1" fontId="0" fillId="0" borderId="4" xfId="0" applyNumberFormat="1" applyBorder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2" fontId="2" fillId="6" borderId="4" xfId="0" applyNumberFormat="1" applyFont="1" applyFill="1" applyBorder="1"/>
    <xf numFmtId="0" fontId="3" fillId="2" borderId="8" xfId="0" applyFont="1" applyFill="1" applyBorder="1" applyAlignment="1">
      <alignment horizontal="center" vertical="center" wrapText="1"/>
    </xf>
    <xf numFmtId="0" fontId="0" fillId="6" borderId="16" xfId="0" applyFill="1" applyBorder="1"/>
    <xf numFmtId="0" fontId="0" fillId="6" borderId="5" xfId="0" applyFill="1" applyBorder="1"/>
    <xf numFmtId="164" fontId="0" fillId="0" borderId="5" xfId="0" applyNumberFormat="1" applyBorder="1" applyAlignment="1" applyProtection="1">
      <alignment horizontal="center"/>
      <protection locked="0"/>
    </xf>
    <xf numFmtId="1" fontId="0" fillId="0" borderId="5" xfId="0" applyNumberForma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3" fontId="0" fillId="0" borderId="5" xfId="0" applyNumberFormat="1" applyBorder="1" applyProtection="1">
      <protection locked="0"/>
    </xf>
    <xf numFmtId="3" fontId="0" fillId="6" borderId="5" xfId="0" applyNumberFormat="1" applyFill="1" applyBorder="1"/>
    <xf numFmtId="2" fontId="2" fillId="6" borderId="5" xfId="0" applyNumberFormat="1" applyFont="1" applyFill="1" applyBorder="1"/>
    <xf numFmtId="3" fontId="0" fillId="6" borderId="5" xfId="0" applyNumberForma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/>
    <xf numFmtId="0" fontId="11" fillId="7" borderId="1" xfId="0" applyFont="1" applyFill="1" applyBorder="1" applyAlignment="1">
      <alignment horizontal="center"/>
    </xf>
    <xf numFmtId="0" fontId="13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164" fontId="14" fillId="7" borderId="1" xfId="0" applyNumberFormat="1" applyFont="1" applyFill="1" applyBorder="1" applyAlignment="1">
      <alignment horizontal="center" vertical="center" wrapText="1"/>
    </xf>
    <xf numFmtId="1" fontId="14" fillId="7" borderId="1" xfId="0" applyNumberFormat="1" applyFont="1" applyFill="1" applyBorder="1" applyAlignment="1">
      <alignment horizontal="center" vertical="center" wrapText="1"/>
    </xf>
    <xf numFmtId="0" fontId="11" fillId="7" borderId="17" xfId="0" applyFont="1" applyFill="1" applyBorder="1"/>
    <xf numFmtId="0" fontId="11" fillId="7" borderId="18" xfId="0" applyFont="1" applyFill="1" applyBorder="1"/>
    <xf numFmtId="0" fontId="11" fillId="7" borderId="19" xfId="0" applyFont="1" applyFill="1" applyBorder="1"/>
    <xf numFmtId="0" fontId="5" fillId="0" borderId="0" xfId="0" applyFont="1" applyAlignment="1">
      <alignment horizontal="center"/>
    </xf>
    <xf numFmtId="0" fontId="0" fillId="0" borderId="1" xfId="0" applyBorder="1"/>
    <xf numFmtId="0" fontId="15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center"/>
    </xf>
    <xf numFmtId="0" fontId="0" fillId="8" borderId="0" xfId="0" applyFill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20" xfId="0" applyBorder="1"/>
    <xf numFmtId="0" fontId="0" fillId="0" borderId="21" xfId="0" applyBorder="1"/>
    <xf numFmtId="0" fontId="0" fillId="0" borderId="12" xfId="0" applyBorder="1"/>
    <xf numFmtId="0" fontId="0" fillId="0" borderId="15" xfId="0" applyBorder="1"/>
    <xf numFmtId="0" fontId="0" fillId="0" borderId="2" xfId="0" applyBorder="1"/>
    <xf numFmtId="0" fontId="10" fillId="0" borderId="0" xfId="0" applyFont="1" applyAlignment="1">
      <alignment horizontal="center"/>
    </xf>
    <xf numFmtId="0" fontId="17" fillId="0" borderId="0" xfId="0" applyFont="1"/>
    <xf numFmtId="165" fontId="0" fillId="6" borderId="11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 wrapText="1"/>
    </xf>
    <xf numFmtId="165" fontId="0" fillId="6" borderId="31" xfId="0" applyNumberForma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" fontId="0" fillId="6" borderId="22" xfId="0" applyNumberFormat="1" applyFill="1" applyBorder="1" applyAlignment="1">
      <alignment horizontal="center"/>
    </xf>
    <xf numFmtId="165" fontId="0" fillId="6" borderId="24" xfId="0" applyNumberFormat="1" applyFill="1" applyBorder="1" applyAlignment="1">
      <alignment horizontal="center"/>
    </xf>
    <xf numFmtId="2" fontId="0" fillId="6" borderId="24" xfId="0" applyNumberFormat="1" applyFill="1" applyBorder="1" applyAlignment="1">
      <alignment horizontal="center"/>
    </xf>
    <xf numFmtId="165" fontId="0" fillId="6" borderId="26" xfId="0" applyNumberFormat="1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10" borderId="3" xfId="0" applyFill="1" applyBorder="1" applyAlignment="1">
      <alignment horizontal="center" vertical="center" wrapText="1"/>
    </xf>
    <xf numFmtId="0" fontId="0" fillId="8" borderId="35" xfId="0" applyFill="1" applyBorder="1" applyAlignment="1">
      <alignment horizontal="center" vertical="center" wrapText="1"/>
    </xf>
    <xf numFmtId="0" fontId="0" fillId="11" borderId="35" xfId="0" applyFill="1" applyBorder="1" applyAlignment="1">
      <alignment horizontal="center" vertical="center" wrapText="1"/>
    </xf>
    <xf numFmtId="165" fontId="0" fillId="6" borderId="34" xfId="0" applyNumberFormat="1" applyFill="1" applyBorder="1" applyAlignment="1">
      <alignment horizontal="center" vertical="center"/>
    </xf>
    <xf numFmtId="0" fontId="0" fillId="6" borderId="49" xfId="0" applyFill="1" applyBorder="1" applyAlignment="1">
      <alignment horizontal="center"/>
    </xf>
    <xf numFmtId="0" fontId="0" fillId="6" borderId="50" xfId="0" applyFill="1" applyBorder="1" applyAlignment="1">
      <alignment horizontal="center"/>
    </xf>
    <xf numFmtId="0" fontId="0" fillId="6" borderId="51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167" fontId="0" fillId="0" borderId="26" xfId="0" applyNumberFormat="1" applyBorder="1" applyAlignment="1">
      <alignment horizontal="center"/>
    </xf>
    <xf numFmtId="167" fontId="0" fillId="0" borderId="26" xfId="1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4" fontId="0" fillId="13" borderId="4" xfId="0" applyNumberFormat="1" applyFill="1" applyBorder="1" applyAlignment="1" applyProtection="1">
      <alignment horizontal="center"/>
      <protection locked="0"/>
    </xf>
    <xf numFmtId="0" fontId="0" fillId="13" borderId="4" xfId="0" applyFill="1" applyBorder="1" applyAlignment="1" applyProtection="1">
      <alignment horizontal="center"/>
      <protection locked="0"/>
    </xf>
    <xf numFmtId="1" fontId="0" fillId="13" borderId="4" xfId="0" applyNumberFormat="1" applyFill="1" applyBorder="1" applyAlignment="1" applyProtection="1">
      <alignment horizontal="center"/>
      <protection locked="0"/>
    </xf>
    <xf numFmtId="166" fontId="7" fillId="13" borderId="4" xfId="0" applyNumberFormat="1" applyFont="1" applyFill="1" applyBorder="1" applyAlignment="1" applyProtection="1">
      <alignment horizontal="center"/>
      <protection locked="0"/>
    </xf>
    <xf numFmtId="165" fontId="0" fillId="6" borderId="24" xfId="0" applyNumberForma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 wrapText="1"/>
    </xf>
    <xf numFmtId="0" fontId="0" fillId="10" borderId="20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6" borderId="0" xfId="0" quotePrefix="1" applyFill="1" applyAlignment="1">
      <alignment horizontal="center" vertical="center" wrapText="1"/>
    </xf>
    <xf numFmtId="167" fontId="0" fillId="0" borderId="0" xfId="0" quotePrefix="1" applyNumberFormat="1" applyAlignment="1">
      <alignment horizontal="center" vertical="center" wrapText="1"/>
    </xf>
    <xf numFmtId="167" fontId="0" fillId="0" borderId="0" xfId="1" quotePrefix="1" applyNumberFormat="1" applyFont="1" applyBorder="1" applyAlignment="1">
      <alignment horizontal="center" vertical="center" wrapText="1"/>
    </xf>
    <xf numFmtId="3" fontId="7" fillId="13" borderId="4" xfId="0" applyNumberFormat="1" applyFont="1" applyFill="1" applyBorder="1" applyAlignment="1" applyProtection="1">
      <alignment horizontal="center"/>
      <protection locked="0"/>
    </xf>
    <xf numFmtId="3" fontId="7" fillId="0" borderId="0" xfId="0" applyNumberFormat="1" applyFont="1" applyAlignment="1" applyProtection="1">
      <alignment horizont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164" fontId="7" fillId="9" borderId="1" xfId="0" applyNumberFormat="1" applyFont="1" applyFill="1" applyBorder="1" applyAlignment="1">
      <alignment horizontal="center" vertical="center" wrapText="1"/>
    </xf>
    <xf numFmtId="1" fontId="7" fillId="9" borderId="1" xfId="0" applyNumberFormat="1" applyFont="1" applyFill="1" applyBorder="1" applyAlignment="1">
      <alignment horizontal="center" vertical="center" wrapText="1"/>
    </xf>
    <xf numFmtId="3" fontId="7" fillId="9" borderId="1" xfId="0" applyNumberFormat="1" applyFont="1" applyFill="1" applyBorder="1" applyAlignment="1">
      <alignment horizontal="center" vertical="center" wrapText="1"/>
    </xf>
    <xf numFmtId="1" fontId="0" fillId="13" borderId="4" xfId="0" applyNumberForma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4" fontId="0" fillId="6" borderId="4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13" borderId="6" xfId="0" applyNumberFormat="1" applyFill="1" applyBorder="1" applyAlignment="1">
      <alignment horizontal="center"/>
    </xf>
    <xf numFmtId="1" fontId="0" fillId="6" borderId="6" xfId="0" applyNumberFormat="1" applyFill="1" applyBorder="1" applyAlignment="1">
      <alignment horizontal="center"/>
    </xf>
    <xf numFmtId="1" fontId="0" fillId="6" borderId="4" xfId="0" applyNumberFormat="1" applyFill="1" applyBorder="1" applyAlignment="1">
      <alignment horizontal="center"/>
    </xf>
    <xf numFmtId="164" fontId="0" fillId="6" borderId="4" xfId="0" applyNumberFormat="1" applyFill="1" applyBorder="1" applyAlignment="1" applyProtection="1">
      <alignment horizontal="center"/>
      <protection locked="0"/>
    </xf>
    <xf numFmtId="0" fontId="0" fillId="6" borderId="4" xfId="0" applyFill="1" applyBorder="1" applyAlignment="1" applyProtection="1">
      <alignment horizontal="center"/>
      <protection locked="0"/>
    </xf>
    <xf numFmtId="1" fontId="0" fillId="6" borderId="4" xfId="0" applyNumberFormat="1" applyFill="1" applyBorder="1" applyAlignment="1" applyProtection="1">
      <alignment horizontal="center"/>
      <protection locked="0"/>
    </xf>
    <xf numFmtId="166" fontId="7" fillId="6" borderId="4" xfId="0" applyNumberFormat="1" applyFont="1" applyFill="1" applyBorder="1" applyAlignment="1" applyProtection="1">
      <alignment horizontal="center"/>
      <protection locked="0"/>
    </xf>
    <xf numFmtId="3" fontId="7" fillId="6" borderId="4" xfId="0" applyNumberFormat="1" applyFont="1" applyFill="1" applyBorder="1" applyAlignment="1" applyProtection="1">
      <alignment horizontal="center"/>
      <protection locked="0"/>
    </xf>
    <xf numFmtId="1" fontId="0" fillId="8" borderId="6" xfId="0" applyNumberFormat="1" applyFill="1" applyBorder="1" applyAlignment="1">
      <alignment horizontal="center"/>
    </xf>
    <xf numFmtId="1" fontId="0" fillId="8" borderId="4" xfId="0" applyNumberFormat="1" applyFill="1" applyBorder="1" applyAlignment="1">
      <alignment horizontal="center"/>
    </xf>
    <xf numFmtId="164" fontId="0" fillId="8" borderId="4" xfId="0" applyNumberFormat="1" applyFill="1" applyBorder="1" applyAlignment="1" applyProtection="1">
      <alignment horizontal="center"/>
      <protection locked="0"/>
    </xf>
    <xf numFmtId="164" fontId="2" fillId="6" borderId="4" xfId="0" applyNumberFormat="1" applyFont="1" applyFill="1" applyBorder="1" applyAlignment="1" applyProtection="1">
      <alignment horizontal="center"/>
      <protection locked="0"/>
    </xf>
    <xf numFmtId="164" fontId="0" fillId="8" borderId="5" xfId="0" applyNumberFormat="1" applyFill="1" applyBorder="1" applyAlignment="1" applyProtection="1">
      <alignment horizontal="center"/>
      <protection locked="0"/>
    </xf>
    <xf numFmtId="164" fontId="2" fillId="8" borderId="5" xfId="0" applyNumberFormat="1" applyFont="1" applyFill="1" applyBorder="1" applyAlignment="1" applyProtection="1">
      <alignment horizontal="center"/>
      <protection locked="0"/>
    </xf>
    <xf numFmtId="0" fontId="0" fillId="10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0" fillId="3" borderId="10" xfId="0" applyFill="1" applyBorder="1" applyAlignment="1">
      <alignment horizontal="centerContinuous"/>
    </xf>
    <xf numFmtId="167" fontId="0" fillId="3" borderId="0" xfId="0" applyNumberFormat="1" applyFill="1" applyAlignment="1">
      <alignment horizontal="centerContinuous"/>
    </xf>
    <xf numFmtId="167" fontId="0" fillId="3" borderId="0" xfId="1" applyNumberFormat="1" applyFont="1" applyFill="1" applyBorder="1" applyAlignment="1">
      <alignment horizontal="centerContinuous"/>
    </xf>
    <xf numFmtId="2" fontId="0" fillId="6" borderId="4" xfId="0" applyNumberFormat="1" applyFill="1" applyBorder="1" applyAlignment="1" applyProtection="1">
      <alignment horizontal="center"/>
      <protection locked="0"/>
    </xf>
    <xf numFmtId="0" fontId="12" fillId="12" borderId="37" xfId="0" applyFont="1" applyFill="1" applyBorder="1" applyAlignment="1">
      <alignment vertical="center"/>
    </xf>
    <xf numFmtId="0" fontId="12" fillId="12" borderId="2" xfId="0" applyFont="1" applyFill="1" applyBorder="1" applyAlignment="1">
      <alignment vertical="center"/>
    </xf>
    <xf numFmtId="3" fontId="7" fillId="9" borderId="17" xfId="0" applyNumberFormat="1" applyFont="1" applyFill="1" applyBorder="1"/>
    <xf numFmtId="3" fontId="7" fillId="9" borderId="19" xfId="0" applyNumberFormat="1" applyFont="1" applyFill="1" applyBorder="1"/>
    <xf numFmtId="0" fontId="7" fillId="9" borderId="17" xfId="0" applyFont="1" applyFill="1" applyBorder="1"/>
    <xf numFmtId="0" fontId="7" fillId="9" borderId="18" xfId="0" applyFont="1" applyFill="1" applyBorder="1"/>
    <xf numFmtId="0" fontId="7" fillId="9" borderId="19" xfId="0" applyFont="1" applyFill="1" applyBorder="1"/>
    <xf numFmtId="9" fontId="0" fillId="6" borderId="4" xfId="1" applyFont="1" applyFill="1" applyBorder="1" applyAlignment="1" applyProtection="1">
      <alignment horizontal="center"/>
      <protection locked="0"/>
    </xf>
    <xf numFmtId="0" fontId="1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36" xfId="0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5" fillId="0" borderId="38" xfId="0" applyFont="1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15" fillId="0" borderId="38" xfId="0" applyFont="1" applyBorder="1" applyAlignment="1">
      <alignment horizontal="center"/>
    </xf>
    <xf numFmtId="0" fontId="15" fillId="0" borderId="54" xfId="0" applyFont="1" applyBorder="1" applyAlignment="1">
      <alignment horizontal="center"/>
    </xf>
    <xf numFmtId="0" fontId="0" fillId="0" borderId="38" xfId="0" applyBorder="1"/>
    <xf numFmtId="0" fontId="0" fillId="0" borderId="54" xfId="0" applyBorder="1"/>
    <xf numFmtId="0" fontId="0" fillId="0" borderId="10" xfId="0" applyBorder="1"/>
    <xf numFmtId="0" fontId="16" fillId="0" borderId="10" xfId="0" applyFont="1" applyBorder="1" applyAlignment="1">
      <alignment vertical="center"/>
    </xf>
    <xf numFmtId="0" fontId="9" fillId="0" borderId="5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8" fillId="0" borderId="14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18" xfId="0" applyBorder="1"/>
    <xf numFmtId="0" fontId="9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wrapText="1"/>
    </xf>
    <xf numFmtId="0" fontId="0" fillId="0" borderId="5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10" xfId="0" applyFont="1" applyBorder="1"/>
    <xf numFmtId="0" fontId="0" fillId="0" borderId="1" xfId="0" applyBorder="1" applyAlignment="1">
      <alignment horizontal="center"/>
    </xf>
    <xf numFmtId="0" fontId="15" fillId="0" borderId="17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2" fillId="7" borderId="17" xfId="0" applyFont="1" applyFill="1" applyBorder="1" applyAlignment="1">
      <alignment horizontal="left" vertical="center"/>
    </xf>
    <xf numFmtId="0" fontId="12" fillId="7" borderId="18" xfId="0" applyFont="1" applyFill="1" applyBorder="1" applyAlignment="1">
      <alignment horizontal="left" vertical="center"/>
    </xf>
    <xf numFmtId="0" fontId="12" fillId="7" borderId="19" xfId="0" applyFont="1" applyFill="1" applyBorder="1" applyAlignment="1">
      <alignment horizontal="left" vertical="center"/>
    </xf>
    <xf numFmtId="0" fontId="11" fillId="7" borderId="17" xfId="0" applyFont="1" applyFill="1" applyBorder="1" applyAlignment="1">
      <alignment horizontal="center"/>
    </xf>
    <xf numFmtId="0" fontId="11" fillId="7" borderId="18" xfId="0" applyFont="1" applyFill="1" applyBorder="1" applyAlignment="1">
      <alignment horizontal="center"/>
    </xf>
    <xf numFmtId="0" fontId="11" fillId="7" borderId="19" xfId="0" applyFont="1" applyFill="1" applyBorder="1" applyAlignment="1">
      <alignment horizontal="center"/>
    </xf>
    <xf numFmtId="3" fontId="11" fillId="7" borderId="17" xfId="0" applyNumberFormat="1" applyFont="1" applyFill="1" applyBorder="1" applyAlignment="1">
      <alignment horizontal="center"/>
    </xf>
    <xf numFmtId="3" fontId="11" fillId="7" borderId="18" xfId="0" applyNumberFormat="1" applyFont="1" applyFill="1" applyBorder="1" applyAlignment="1">
      <alignment horizontal="center"/>
    </xf>
    <xf numFmtId="3" fontId="11" fillId="7" borderId="19" xfId="0" applyNumberFormat="1" applyFont="1" applyFill="1" applyBorder="1" applyAlignment="1">
      <alignment horizontal="center"/>
    </xf>
    <xf numFmtId="165" fontId="0" fillId="6" borderId="32" xfId="0" applyNumberFormat="1" applyFill="1" applyBorder="1" applyAlignment="1">
      <alignment horizontal="center" vertical="center"/>
    </xf>
    <xf numFmtId="165" fontId="0" fillId="6" borderId="34" xfId="0" applyNumberFormat="1" applyFill="1" applyBorder="1" applyAlignment="1">
      <alignment horizontal="center" vertical="center"/>
    </xf>
    <xf numFmtId="165" fontId="0" fillId="6" borderId="33" xfId="0" applyNumberFormat="1" applyFill="1" applyBorder="1" applyAlignment="1">
      <alignment horizontal="center" vertical="center"/>
    </xf>
    <xf numFmtId="165" fontId="0" fillId="6" borderId="23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8" borderId="10" xfId="0" applyFill="1" applyBorder="1" applyAlignment="1">
      <alignment horizontal="center"/>
    </xf>
    <xf numFmtId="0" fontId="0" fillId="6" borderId="29" xfId="0" quotePrefix="1" applyFill="1" applyBorder="1" applyAlignment="1">
      <alignment horizontal="center" vertical="center" wrapText="1"/>
    </xf>
    <xf numFmtId="0" fontId="0" fillId="6" borderId="30" xfId="0" quotePrefix="1" applyFill="1" applyBorder="1" applyAlignment="1">
      <alignment horizontal="center" vertical="center" wrapText="1"/>
    </xf>
    <xf numFmtId="167" fontId="0" fillId="0" borderId="29" xfId="0" quotePrefix="1" applyNumberFormat="1" applyBorder="1" applyAlignment="1">
      <alignment horizontal="center" vertical="center" wrapText="1"/>
    </xf>
    <xf numFmtId="167" fontId="0" fillId="0" borderId="30" xfId="0" quotePrefix="1" applyNumberFormat="1" applyBorder="1" applyAlignment="1">
      <alignment horizontal="center" vertical="center" wrapText="1"/>
    </xf>
    <xf numFmtId="167" fontId="0" fillId="0" borderId="29" xfId="1" quotePrefix="1" applyNumberFormat="1" applyFont="1" applyBorder="1" applyAlignment="1">
      <alignment horizontal="center" vertical="center" wrapText="1"/>
    </xf>
    <xf numFmtId="167" fontId="0" fillId="0" borderId="30" xfId="1" quotePrefix="1" applyNumberFormat="1" applyFont="1" applyBorder="1" applyAlignment="1">
      <alignment horizontal="center" vertical="center" wrapText="1"/>
    </xf>
    <xf numFmtId="1" fontId="7" fillId="9" borderId="0" xfId="0" applyNumberFormat="1" applyFont="1" applyFill="1" applyAlignment="1">
      <alignment horizontal="center" vertical="center" wrapText="1"/>
    </xf>
    <xf numFmtId="1" fontId="7" fillId="9" borderId="2" xfId="0" applyNumberFormat="1" applyFont="1" applyFill="1" applyBorder="1" applyAlignment="1">
      <alignment horizontal="center" vertical="center" wrapText="1"/>
    </xf>
    <xf numFmtId="164" fontId="7" fillId="9" borderId="0" xfId="0" applyNumberFormat="1" applyFont="1" applyFill="1" applyAlignment="1">
      <alignment horizontal="center" vertical="center" wrapText="1"/>
    </xf>
    <xf numFmtId="164" fontId="7" fillId="9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5" fillId="0" borderId="1" xfId="0" applyFont="1" applyBorder="1" applyAlignment="1">
      <alignment horizontal="left" vertical="center"/>
    </xf>
    <xf numFmtId="0" fontId="22" fillId="14" borderId="17" xfId="0" applyFont="1" applyFill="1" applyBorder="1" applyAlignment="1">
      <alignment horizontal="center" vertical="center"/>
    </xf>
    <xf numFmtId="0" fontId="22" fillId="14" borderId="39" xfId="0" applyFont="1" applyFill="1" applyBorder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0" fillId="0" borderId="21" xfId="0" applyBorder="1" applyAlignment="1">
      <alignment horizontal="center"/>
    </xf>
    <xf numFmtId="0" fontId="22" fillId="14" borderId="17" xfId="0" applyFont="1" applyFill="1" applyBorder="1" applyAlignment="1">
      <alignment horizontal="center"/>
    </xf>
    <xf numFmtId="0" fontId="22" fillId="14" borderId="39" xfId="0" applyFont="1" applyFill="1" applyBorder="1" applyAlignment="1">
      <alignment horizontal="center"/>
    </xf>
    <xf numFmtId="0" fontId="22" fillId="14" borderId="53" xfId="0" applyFont="1" applyFill="1" applyBorder="1" applyAlignment="1">
      <alignment horizontal="center" vertical="center"/>
    </xf>
    <xf numFmtId="0" fontId="22" fillId="14" borderId="19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22" fillId="14" borderId="53" xfId="0" applyFont="1" applyFill="1" applyBorder="1" applyAlignment="1">
      <alignment horizontal="center"/>
    </xf>
    <xf numFmtId="0" fontId="22" fillId="14" borderId="19" xfId="0" applyFont="1" applyFill="1" applyBorder="1" applyAlignment="1">
      <alignment horizontal="center"/>
    </xf>
    <xf numFmtId="0" fontId="7" fillId="0" borderId="45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9" fillId="0" borderId="53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56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47" xfId="0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7" fillId="0" borderId="52" xfId="0" applyFont="1" applyBorder="1" applyAlignment="1">
      <alignment horizontal="center"/>
    </xf>
    <xf numFmtId="0" fontId="9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7" xfId="0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55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wrapText="1"/>
    </xf>
    <xf numFmtId="0" fontId="0" fillId="0" borderId="44" xfId="0" applyBorder="1" applyAlignment="1">
      <alignment horizontal="center" wrapText="1"/>
    </xf>
  </cellXfs>
  <cellStyles count="2">
    <cellStyle name="Normal" xfId="0" builtinId="0"/>
    <cellStyle name="Porcentagem" xfId="1" builtinId="5"/>
  </cellStyles>
  <dxfs count="5"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66FF66"/>
      <color rgb="FFFFFF99"/>
      <color rgb="FFFFFF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89649</xdr:colOff>
      <xdr:row>1</xdr:row>
      <xdr:rowOff>67236</xdr:rowOff>
    </xdr:from>
    <xdr:to>
      <xdr:col>3</xdr:col>
      <xdr:colOff>89649</xdr:colOff>
      <xdr:row>4</xdr:row>
      <xdr:rowOff>6724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8217" b="9258"/>
        <a:stretch>
          <a:fillRect/>
        </a:stretch>
      </xdr:blipFill>
      <xdr:spPr bwMode="auto">
        <a:xfrm>
          <a:off x="89649" y="67236"/>
          <a:ext cx="1927412" cy="7239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89649</xdr:colOff>
      <xdr:row>1</xdr:row>
      <xdr:rowOff>67237</xdr:rowOff>
    </xdr:from>
    <xdr:to>
      <xdr:col>3</xdr:col>
      <xdr:colOff>89649</xdr:colOff>
      <xdr:row>3</xdr:row>
      <xdr:rowOff>212912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F1F460-1251-4D43-915B-979213A4D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8217" b="9258"/>
        <a:stretch>
          <a:fillRect/>
        </a:stretch>
      </xdr:blipFill>
      <xdr:spPr bwMode="auto">
        <a:xfrm>
          <a:off x="289674" y="8449237"/>
          <a:ext cx="1933575" cy="6314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rgb="FF00B050"/>
  </sheetPr>
  <dimension ref="A1:AK1471"/>
  <sheetViews>
    <sheetView showZeros="0" zoomScale="85" zoomScaleNormal="85" workbookViewId="0">
      <pane ySplit="3" topLeftCell="A278" activePane="bottomLeft" state="frozen"/>
      <selection pane="bottomLeft" activeCell="G3" sqref="G3"/>
    </sheetView>
  </sheetViews>
  <sheetFormatPr defaultColWidth="0" defaultRowHeight="18.75" x14ac:dyDescent="0.3"/>
  <cols>
    <col min="1" max="1" width="9.140625" style="5" customWidth="1"/>
    <col min="2" max="2" width="13.140625" style="6" customWidth="1"/>
    <col min="3" max="3" width="18.5703125" style="13" customWidth="1"/>
    <col min="4" max="4" width="13" style="19" customWidth="1"/>
    <col min="5" max="5" width="8.85546875" style="19" customWidth="1"/>
    <col min="6" max="6" width="12.5703125" style="15" customWidth="1"/>
    <col min="7" max="10" width="12.42578125" style="17" customWidth="1"/>
    <col min="11" max="11" width="10.5703125" style="18" customWidth="1"/>
    <col min="12" max="15" width="12.42578125" style="21" customWidth="1"/>
    <col min="16" max="16" width="15" style="21" customWidth="1"/>
    <col min="17" max="17" width="35.42578125" style="6" bestFit="1" customWidth="1"/>
    <col min="18" max="18" width="53.42578125" style="6" bestFit="1" customWidth="1"/>
    <col min="19" max="19" width="16.42578125" style="8" customWidth="1"/>
    <col min="20" max="37" width="0" hidden="1" customWidth="1"/>
    <col min="38" max="16384" width="9.140625" hidden="1"/>
  </cols>
  <sheetData>
    <row r="1" spans="1:37" ht="28.5" customHeight="1" x14ac:dyDescent="0.25">
      <c r="A1" s="197" t="s">
        <v>29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9"/>
    </row>
    <row r="2" spans="1:37" s="2" customFormat="1" ht="15" x14ac:dyDescent="0.25">
      <c r="A2" s="200" t="s">
        <v>24</v>
      </c>
      <c r="B2" s="201"/>
      <c r="C2" s="201"/>
      <c r="D2" s="201"/>
      <c r="E2" s="201"/>
      <c r="F2" s="202"/>
      <c r="G2" s="203" t="s">
        <v>23</v>
      </c>
      <c r="H2" s="204"/>
      <c r="I2" s="204"/>
      <c r="J2" s="204"/>
      <c r="K2" s="205"/>
      <c r="L2" s="42" t="s">
        <v>25</v>
      </c>
      <c r="M2" s="48"/>
      <c r="N2" s="49"/>
      <c r="O2" s="49"/>
      <c r="P2" s="50"/>
      <c r="Q2" s="42"/>
      <c r="R2" s="42"/>
      <c r="S2" s="43"/>
    </row>
    <row r="3" spans="1:37" s="12" customFormat="1" ht="34.5" customHeight="1" x14ac:dyDescent="0.25">
      <c r="A3" s="44" t="s">
        <v>4</v>
      </c>
      <c r="B3" s="45" t="s">
        <v>1</v>
      </c>
      <c r="C3" s="46" t="s">
        <v>0</v>
      </c>
      <c r="D3" s="47" t="s">
        <v>30</v>
      </c>
      <c r="E3" s="47" t="s">
        <v>31</v>
      </c>
      <c r="F3" s="45" t="s">
        <v>2</v>
      </c>
      <c r="G3" s="33" t="s">
        <v>20</v>
      </c>
      <c r="H3" s="34" t="s">
        <v>17</v>
      </c>
      <c r="I3" s="35" t="s">
        <v>18</v>
      </c>
      <c r="J3" s="36" t="s">
        <v>19</v>
      </c>
      <c r="K3" s="37" t="s">
        <v>21</v>
      </c>
      <c r="L3" s="38" t="s">
        <v>20</v>
      </c>
      <c r="M3" s="39" t="s">
        <v>17</v>
      </c>
      <c r="N3" s="40" t="s">
        <v>18</v>
      </c>
      <c r="O3" s="41" t="s">
        <v>19</v>
      </c>
      <c r="P3" s="32" t="s">
        <v>22</v>
      </c>
      <c r="Q3" s="32" t="s">
        <v>3</v>
      </c>
      <c r="R3" s="32" t="s">
        <v>26</v>
      </c>
      <c r="S3" s="32" t="s">
        <v>28</v>
      </c>
      <c r="T3" s="22"/>
      <c r="U3" s="9"/>
      <c r="V3" s="10"/>
      <c r="W3" s="11"/>
      <c r="X3" s="11"/>
      <c r="AJ3" s="12">
        <v>1</v>
      </c>
      <c r="AK3" s="12" t="s">
        <v>5</v>
      </c>
    </row>
    <row r="4" spans="1:37" x14ac:dyDescent="0.3">
      <c r="A4" s="23">
        <f>IF(C4=0,0,YEAR(C4))</f>
        <v>2019</v>
      </c>
      <c r="B4" s="24" t="str">
        <f>IF(C4&gt;0,VLOOKUP(MONTH($C4),$AJ$3:$AK$14,2,0),0)</f>
        <v>SETEMBRO</v>
      </c>
      <c r="C4" s="25">
        <v>43710</v>
      </c>
      <c r="D4" s="26"/>
      <c r="E4" s="26">
        <v>1</v>
      </c>
      <c r="F4" s="27">
        <v>13</v>
      </c>
      <c r="G4" s="28">
        <v>800</v>
      </c>
      <c r="H4" s="28">
        <v>320</v>
      </c>
      <c r="I4" s="28">
        <v>150</v>
      </c>
      <c r="J4" s="28">
        <v>320</v>
      </c>
      <c r="K4" s="29">
        <f t="shared" ref="K4:K67" si="0">SUM(G4:J4)</f>
        <v>1590</v>
      </c>
      <c r="L4" s="30">
        <f>IF(ISERROR(VLOOKUP($F4,#REF!,6,0)*G4/1000),0,VLOOKUP($F4,#REF!,6,0)*G4/1000)</f>
        <v>0</v>
      </c>
      <c r="M4" s="30">
        <f>IF(ISERROR(VLOOKUP($F4,#REF!,6,0)*H4/1000),0,VLOOKUP($F4,#REF!,6,0)*H4/1000)</f>
        <v>0</v>
      </c>
      <c r="N4" s="30">
        <f>IF(ISERROR(VLOOKUP($F4,#REF!,6,0)*I4/1000),0,VLOOKUP($F4,#REF!,6,0)*I4/1000)</f>
        <v>0</v>
      </c>
      <c r="O4" s="30">
        <f>IF(ISERROR(VLOOKUP($F4,#REF!,6,0)*J4/1000),0,VLOOKUP($F4,#REF!,6,0)*J4/1000)</f>
        <v>0</v>
      </c>
      <c r="P4" s="30">
        <f>IF(ISERROR(VLOOKUP($F4,#REF!,6,0)*K4/1000),0,VLOOKUP($F4,#REF!,6,0)*K4/1000)</f>
        <v>0</v>
      </c>
      <c r="Q4" s="24">
        <f>IF(ISERROR(VLOOKUP(F4,#REF!,3,0)),0,VLOOKUP(F4,#REF!,3,0))</f>
        <v>0</v>
      </c>
      <c r="R4" s="24">
        <f>IF(ISERROR(VLOOKUP(F4,#REF!,4,0)),0,VLOOKUP(F4,#REF!,4,0))</f>
        <v>0</v>
      </c>
      <c r="S4" s="31">
        <f>IF(ISERROR(VLOOKUP(F4,#REF!,4,0)),0,VLOOKUP(F4,#REF!,10,0)/60*K4)</f>
        <v>0</v>
      </c>
      <c r="T4" s="6"/>
      <c r="U4" s="6"/>
      <c r="V4" s="7"/>
      <c r="AJ4">
        <v>2</v>
      </c>
      <c r="AK4" t="s">
        <v>6</v>
      </c>
    </row>
    <row r="5" spans="1:37" x14ac:dyDescent="0.3">
      <c r="A5" s="5">
        <f t="shared" ref="A5:A68" si="1">IF(C5=0,0,YEAR(C5))</f>
        <v>2019</v>
      </c>
      <c r="B5" s="6" t="str">
        <f t="shared" ref="B5:B68" si="2">IF(C5&gt;0,VLOOKUP(MONTH($C5),$AJ$3:$AK$14,2,0),0)</f>
        <v>SETEMBRO</v>
      </c>
      <c r="C5" s="25">
        <v>43710</v>
      </c>
      <c r="D5" s="26"/>
      <c r="E5" s="26">
        <v>1</v>
      </c>
      <c r="F5" s="27">
        <v>3</v>
      </c>
      <c r="G5" s="17">
        <v>1020</v>
      </c>
      <c r="I5" s="17">
        <v>30</v>
      </c>
      <c r="J5" s="17">
        <v>676</v>
      </c>
      <c r="K5" s="18">
        <f t="shared" si="0"/>
        <v>1726</v>
      </c>
      <c r="L5" s="21">
        <f>IF(ISERROR(VLOOKUP($F5,#REF!,6,0)*G5/1000),0,VLOOKUP($F5,#REF!,6,0)*G5/1000)</f>
        <v>0</v>
      </c>
      <c r="M5" s="21">
        <f>IF(ISERROR(VLOOKUP($F5,#REF!,6,0)*H5/1000),0,VLOOKUP($F5,#REF!,6,0)*H5/1000)</f>
        <v>0</v>
      </c>
      <c r="N5" s="21">
        <f>IF(ISERROR(VLOOKUP($F5,#REF!,6,0)*I5/1000),0,VLOOKUP($F5,#REF!,6,0)*I5/1000)</f>
        <v>0</v>
      </c>
      <c r="O5" s="21">
        <f>IF(ISERROR(VLOOKUP($F5,#REF!,6,0)*J5/1000),0,VLOOKUP($F5,#REF!,6,0)*J5/1000)</f>
        <v>0</v>
      </c>
      <c r="P5" s="21">
        <f>IF(ISERROR(VLOOKUP(F5,#REF!,6,0)*K5/1000),0,VLOOKUP(F5,#REF!,6,0)*K5/1000)</f>
        <v>0</v>
      </c>
      <c r="Q5" s="6">
        <f>IF(ISERROR(VLOOKUP(F5,#REF!,3,0)),0,VLOOKUP(F5,#REF!,3,0))</f>
        <v>0</v>
      </c>
      <c r="R5" s="6">
        <f>IF(ISERROR(VLOOKUP(F5,#REF!,4,0)),0,VLOOKUP(F5,#REF!,4,0))</f>
        <v>0</v>
      </c>
      <c r="S5" s="8">
        <f>IF(ISERROR(VLOOKUP(F5,#REF!,4,0)),0,VLOOKUP(F5,#REF!,10,0)/60*K5)</f>
        <v>0</v>
      </c>
      <c r="T5" s="6"/>
      <c r="U5" s="6"/>
      <c r="V5" s="7"/>
      <c r="AJ5">
        <v>3</v>
      </c>
      <c r="AK5" t="s">
        <v>7</v>
      </c>
    </row>
    <row r="6" spans="1:37" x14ac:dyDescent="0.3">
      <c r="A6" s="5">
        <f t="shared" si="1"/>
        <v>2019</v>
      </c>
      <c r="B6" s="6" t="str">
        <f t="shared" si="2"/>
        <v>SETEMBRO</v>
      </c>
      <c r="C6" s="25">
        <v>43710</v>
      </c>
      <c r="D6" s="26"/>
      <c r="E6" s="26">
        <v>2</v>
      </c>
      <c r="F6" s="27">
        <v>3</v>
      </c>
      <c r="G6" s="17">
        <v>1080</v>
      </c>
      <c r="I6" s="17">
        <v>103</v>
      </c>
      <c r="J6" s="17">
        <v>2860</v>
      </c>
      <c r="K6" s="18">
        <f t="shared" si="0"/>
        <v>4043</v>
      </c>
      <c r="L6" s="21">
        <f>IF(ISERROR(VLOOKUP($F6,#REF!,6,0)*G6/1000),0,VLOOKUP($F6,#REF!,6,0)*G6/1000)</f>
        <v>0</v>
      </c>
      <c r="M6" s="21">
        <f>IF(ISERROR(VLOOKUP($F6,#REF!,6,0)*H6/1000),0,VLOOKUP($F6,#REF!,6,0)*H6/1000)</f>
        <v>0</v>
      </c>
      <c r="N6" s="21">
        <f>IF(ISERROR(VLOOKUP($F6,#REF!,6,0)*I6/1000),0,VLOOKUP($F6,#REF!,6,0)*I6/1000)</f>
        <v>0</v>
      </c>
      <c r="O6" s="21">
        <f>IF(ISERROR(VLOOKUP($F6,#REF!,6,0)*J6/1000),0,VLOOKUP($F6,#REF!,6,0)*J6/1000)</f>
        <v>0</v>
      </c>
      <c r="P6" s="21">
        <f>IF(ISERROR(VLOOKUP(F6,#REF!,6,0)*K6/1000),0,VLOOKUP(F6,#REF!,6,0)*K6/1000)</f>
        <v>0</v>
      </c>
      <c r="Q6" s="6">
        <f>IF(ISERROR(VLOOKUP(F6,#REF!,3,0)),0,VLOOKUP(F6,#REF!,3,0))</f>
        <v>0</v>
      </c>
      <c r="R6" s="6">
        <f>IF(ISERROR(VLOOKUP(F6,#REF!,4,0)),0,VLOOKUP(F6,#REF!,4,0))</f>
        <v>0</v>
      </c>
      <c r="S6" s="8">
        <f>IF(ISERROR(VLOOKUP(F6,#REF!,4,0)),0,VLOOKUP(F6,#REF!,10,0)/60*K6)</f>
        <v>0</v>
      </c>
      <c r="T6" s="6"/>
      <c r="U6" s="6"/>
      <c r="V6" s="7"/>
      <c r="AJ6">
        <v>4</v>
      </c>
      <c r="AK6" t="s">
        <v>8</v>
      </c>
    </row>
    <row r="7" spans="1:37" x14ac:dyDescent="0.3">
      <c r="A7" s="5">
        <f t="shared" si="1"/>
        <v>2019</v>
      </c>
      <c r="B7" s="6" t="str">
        <f t="shared" si="2"/>
        <v>SETEMBRO</v>
      </c>
      <c r="C7" s="25">
        <v>43710</v>
      </c>
      <c r="D7" s="26"/>
      <c r="E7" s="26">
        <v>1</v>
      </c>
      <c r="F7" s="27">
        <v>49</v>
      </c>
      <c r="G7" s="17">
        <v>406</v>
      </c>
      <c r="K7" s="18">
        <f t="shared" si="0"/>
        <v>406</v>
      </c>
      <c r="L7" s="21">
        <f>IF(ISERROR(VLOOKUP($F7,#REF!,6,0)*G7/1000),0,VLOOKUP($F7,#REF!,6,0)*G7/1000)</f>
        <v>0</v>
      </c>
      <c r="M7" s="21">
        <f>IF(ISERROR(VLOOKUP($F7,#REF!,6,0)*H7/1000),0,VLOOKUP($F7,#REF!,6,0)*H7/1000)</f>
        <v>0</v>
      </c>
      <c r="N7" s="21">
        <f>IF(ISERROR(VLOOKUP($F7,#REF!,6,0)*I7/1000),0,VLOOKUP($F7,#REF!,6,0)*I7/1000)</f>
        <v>0</v>
      </c>
      <c r="O7" s="21">
        <f>IF(ISERROR(VLOOKUP($F7,#REF!,6,0)*J7/1000),0,VLOOKUP($F7,#REF!,6,0)*J7/1000)</f>
        <v>0</v>
      </c>
      <c r="P7" s="21">
        <f>IF(ISERROR(VLOOKUP(F7,#REF!,6,0)*K7/1000),0,VLOOKUP(F7,#REF!,6,0)*K7/1000)</f>
        <v>0</v>
      </c>
      <c r="Q7" s="6">
        <f>IF(ISERROR(VLOOKUP(F7,#REF!,3,0)),0,VLOOKUP(F7,#REF!,3,0))</f>
        <v>0</v>
      </c>
      <c r="R7" s="6">
        <f>IF(ISERROR(VLOOKUP(F7,#REF!,4,0)),0,VLOOKUP(F7,#REF!,4,0))</f>
        <v>0</v>
      </c>
      <c r="S7" s="8">
        <f>IF(ISERROR(VLOOKUP(F7,#REF!,4,0)),0,VLOOKUP(F7,#REF!,10,0)/60*K7)</f>
        <v>0</v>
      </c>
      <c r="T7" s="6"/>
      <c r="U7" s="6"/>
      <c r="V7" s="7"/>
      <c r="AJ7">
        <v>5</v>
      </c>
      <c r="AK7" t="s">
        <v>9</v>
      </c>
    </row>
    <row r="8" spans="1:37" x14ac:dyDescent="0.3">
      <c r="A8" s="5">
        <f t="shared" si="1"/>
        <v>2019</v>
      </c>
      <c r="B8" s="6" t="str">
        <f t="shared" si="2"/>
        <v>SETEMBRO</v>
      </c>
      <c r="C8" s="25">
        <v>43710</v>
      </c>
      <c r="D8" s="26"/>
      <c r="E8" s="26">
        <v>1</v>
      </c>
      <c r="F8" s="27">
        <v>43</v>
      </c>
      <c r="G8" s="17">
        <v>273</v>
      </c>
      <c r="H8" s="17">
        <v>150</v>
      </c>
      <c r="I8" s="17">
        <v>90</v>
      </c>
      <c r="K8" s="18">
        <f t="shared" si="0"/>
        <v>513</v>
      </c>
      <c r="L8" s="21">
        <f>IF(ISERROR(VLOOKUP($F8,#REF!,6,0)*G8/1000),0,VLOOKUP($F8,#REF!,6,0)*G8/1000)</f>
        <v>0</v>
      </c>
      <c r="M8" s="21">
        <f>IF(ISERROR(VLOOKUP($F8,#REF!,6,0)*H8/1000),0,VLOOKUP($F8,#REF!,6,0)*H8/1000)</f>
        <v>0</v>
      </c>
      <c r="N8" s="21">
        <f>IF(ISERROR(VLOOKUP($F8,#REF!,6,0)*I8/1000),0,VLOOKUP($F8,#REF!,6,0)*I8/1000)</f>
        <v>0</v>
      </c>
      <c r="O8" s="21">
        <f>IF(ISERROR(VLOOKUP($F8,#REF!,6,0)*J8/1000),0,VLOOKUP($F8,#REF!,6,0)*J8/1000)</f>
        <v>0</v>
      </c>
      <c r="P8" s="21">
        <f>IF(ISERROR(VLOOKUP(F8,#REF!,6,0)*K8/1000),0,VLOOKUP(F8,#REF!,6,0)*K8/1000)</f>
        <v>0</v>
      </c>
      <c r="Q8" s="6">
        <f>IF(ISERROR(VLOOKUP(F8,#REF!,3,0)),0,VLOOKUP(F8,#REF!,3,0))</f>
        <v>0</v>
      </c>
      <c r="R8" s="6">
        <f>IF(ISERROR(VLOOKUP(F8,#REF!,4,0)),0,VLOOKUP(F8,#REF!,4,0))</f>
        <v>0</v>
      </c>
      <c r="S8" s="8">
        <f>IF(ISERROR(VLOOKUP(F8,#REF!,4,0)),0,VLOOKUP(F8,#REF!,10,0)/60*K8)</f>
        <v>0</v>
      </c>
      <c r="T8" s="6"/>
      <c r="U8" s="6"/>
      <c r="V8" s="7"/>
      <c r="AJ8">
        <v>6</v>
      </c>
      <c r="AK8" t="s">
        <v>10</v>
      </c>
    </row>
    <row r="9" spans="1:37" x14ac:dyDescent="0.3">
      <c r="A9" s="5">
        <f t="shared" si="1"/>
        <v>2019</v>
      </c>
      <c r="B9" s="6" t="str">
        <f t="shared" si="2"/>
        <v>SETEMBRO</v>
      </c>
      <c r="C9" s="25">
        <v>43710</v>
      </c>
      <c r="D9" s="26"/>
      <c r="E9" s="26">
        <v>1</v>
      </c>
      <c r="F9" s="27">
        <v>44</v>
      </c>
      <c r="G9" s="17">
        <v>0</v>
      </c>
      <c r="H9" s="17">
        <v>80</v>
      </c>
      <c r="K9" s="18">
        <f t="shared" si="0"/>
        <v>80</v>
      </c>
      <c r="L9" s="21">
        <f>IF(ISERROR(VLOOKUP($F9,#REF!,6,0)*G9/1000),0,VLOOKUP($F9,#REF!,6,0)*G9/1000)</f>
        <v>0</v>
      </c>
      <c r="M9" s="21">
        <f>IF(ISERROR(VLOOKUP($F9,#REF!,6,0)*H9/1000),0,VLOOKUP($F9,#REF!,6,0)*H9/1000)</f>
        <v>0</v>
      </c>
      <c r="N9" s="21">
        <f>IF(ISERROR(VLOOKUP($F9,#REF!,6,0)*I9/1000),0,VLOOKUP($F9,#REF!,6,0)*I9/1000)</f>
        <v>0</v>
      </c>
      <c r="O9" s="21">
        <f>IF(ISERROR(VLOOKUP($F9,#REF!,6,0)*J9/1000),0,VLOOKUP($F9,#REF!,6,0)*J9/1000)</f>
        <v>0</v>
      </c>
      <c r="P9" s="21">
        <f>IF(ISERROR(VLOOKUP(F9,#REF!,6,0)*K9/1000),0,VLOOKUP(F9,#REF!,6,0)*K9/1000)</f>
        <v>0</v>
      </c>
      <c r="Q9" s="6">
        <f>IF(ISERROR(VLOOKUP(F9,#REF!,3,0)),0,VLOOKUP(F9,#REF!,3,0))</f>
        <v>0</v>
      </c>
      <c r="R9" s="6">
        <f>IF(ISERROR(VLOOKUP(F9,#REF!,4,0)),0,VLOOKUP(F9,#REF!,4,0))</f>
        <v>0</v>
      </c>
      <c r="S9" s="8">
        <f>IF(ISERROR(VLOOKUP(F9,#REF!,4,0)),0,VLOOKUP(F9,#REF!,10,0)/60*K9)</f>
        <v>0</v>
      </c>
      <c r="T9" s="6"/>
      <c r="U9" s="6"/>
      <c r="V9" s="7"/>
      <c r="AJ9">
        <v>7</v>
      </c>
      <c r="AK9" t="s">
        <v>11</v>
      </c>
    </row>
    <row r="10" spans="1:37" x14ac:dyDescent="0.3">
      <c r="A10" s="5">
        <f t="shared" si="1"/>
        <v>2019</v>
      </c>
      <c r="B10" s="6" t="str">
        <f t="shared" si="2"/>
        <v>SETEMBRO</v>
      </c>
      <c r="C10" s="25">
        <v>43710</v>
      </c>
      <c r="D10" s="26"/>
      <c r="E10" s="26">
        <v>1</v>
      </c>
      <c r="F10" s="27">
        <v>12</v>
      </c>
      <c r="G10" s="17">
        <v>739</v>
      </c>
      <c r="I10" s="17">
        <v>219</v>
      </c>
      <c r="K10" s="18">
        <f t="shared" si="0"/>
        <v>958</v>
      </c>
      <c r="L10" s="21">
        <f>IF(ISERROR(VLOOKUP($F10,#REF!,6,0)*G10/1000),0,VLOOKUP($F10,#REF!,6,0)*G10/1000)</f>
        <v>0</v>
      </c>
      <c r="M10" s="21">
        <f>IF(ISERROR(VLOOKUP($F10,#REF!,6,0)*H10/1000),0,VLOOKUP($F10,#REF!,6,0)*H10/1000)</f>
        <v>0</v>
      </c>
      <c r="N10" s="21">
        <f>IF(ISERROR(VLOOKUP($F10,#REF!,6,0)*I10/1000),0,VLOOKUP($F10,#REF!,6,0)*I10/1000)</f>
        <v>0</v>
      </c>
      <c r="O10" s="21">
        <f>IF(ISERROR(VLOOKUP($F10,#REF!,6,0)*J10/1000),0,VLOOKUP($F10,#REF!,6,0)*J10/1000)</f>
        <v>0</v>
      </c>
      <c r="P10" s="21">
        <f>IF(ISERROR(VLOOKUP(F10,#REF!,6,0)*K10/1000),0,VLOOKUP(F10,#REF!,6,0)*K10/1000)</f>
        <v>0</v>
      </c>
      <c r="Q10" s="6">
        <f>IF(ISERROR(VLOOKUP(F10,#REF!,3,0)),0,VLOOKUP(F10,#REF!,3,0))</f>
        <v>0</v>
      </c>
      <c r="R10" s="6">
        <f>IF(ISERROR(VLOOKUP(F10,#REF!,4,0)),0,VLOOKUP(F10,#REF!,4,0))</f>
        <v>0</v>
      </c>
      <c r="S10" s="8">
        <f>IF(ISERROR(VLOOKUP(F10,#REF!,4,0)),0,VLOOKUP(F10,#REF!,10,0)/60*K10)</f>
        <v>0</v>
      </c>
      <c r="T10" s="6"/>
      <c r="U10" s="6"/>
      <c r="V10" s="7"/>
      <c r="AJ10">
        <v>8</v>
      </c>
      <c r="AK10" t="s">
        <v>12</v>
      </c>
    </row>
    <row r="11" spans="1:37" x14ac:dyDescent="0.3">
      <c r="A11" s="5">
        <f t="shared" si="1"/>
        <v>2019</v>
      </c>
      <c r="B11" s="6" t="str">
        <f t="shared" si="2"/>
        <v>SETEMBRO</v>
      </c>
      <c r="C11" s="25">
        <v>43710</v>
      </c>
      <c r="D11" s="26"/>
      <c r="E11" s="26">
        <v>2</v>
      </c>
      <c r="F11" s="27">
        <v>50</v>
      </c>
      <c r="G11" s="17">
        <v>595</v>
      </c>
      <c r="K11" s="18">
        <f t="shared" si="0"/>
        <v>595</v>
      </c>
      <c r="L11" s="21">
        <f>IF(ISERROR(VLOOKUP($F11,#REF!,6,0)*G11/1000),0,VLOOKUP($F11,#REF!,6,0)*G11/1000)</f>
        <v>0</v>
      </c>
      <c r="M11" s="21">
        <f>IF(ISERROR(VLOOKUP($F11,#REF!,6,0)*H11/1000),0,VLOOKUP($F11,#REF!,6,0)*H11/1000)</f>
        <v>0</v>
      </c>
      <c r="N11" s="21">
        <f>IF(ISERROR(VLOOKUP($F11,#REF!,6,0)*I11/1000),0,VLOOKUP($F11,#REF!,6,0)*I11/1000)</f>
        <v>0</v>
      </c>
      <c r="O11" s="21">
        <f>IF(ISERROR(VLOOKUP($F11,#REF!,6,0)*J11/1000),0,VLOOKUP($F11,#REF!,6,0)*J11/1000)</f>
        <v>0</v>
      </c>
      <c r="P11" s="21">
        <f>IF(ISERROR(VLOOKUP(F11,#REF!,6,0)*K11/1000),0,VLOOKUP(F11,#REF!,6,0)*K11/1000)</f>
        <v>0</v>
      </c>
      <c r="Q11" s="6">
        <f>IF(ISERROR(VLOOKUP(F11,#REF!,3,0)),0,VLOOKUP(F11,#REF!,3,0))</f>
        <v>0</v>
      </c>
      <c r="R11" s="6">
        <f>IF(ISERROR(VLOOKUP(F11,#REF!,4,0)),0,VLOOKUP(F11,#REF!,4,0))</f>
        <v>0</v>
      </c>
      <c r="S11" s="8">
        <f>IF(ISERROR(VLOOKUP(F11,#REF!,4,0)),0,VLOOKUP(F11,#REF!,10,0)/60*K11)</f>
        <v>0</v>
      </c>
      <c r="T11" s="6"/>
      <c r="U11" s="6"/>
      <c r="V11" s="7"/>
      <c r="AJ11">
        <v>9</v>
      </c>
      <c r="AK11" t="s">
        <v>13</v>
      </c>
    </row>
    <row r="12" spans="1:37" x14ac:dyDescent="0.3">
      <c r="A12" s="5">
        <f t="shared" si="1"/>
        <v>2019</v>
      </c>
      <c r="B12" s="6" t="str">
        <f t="shared" si="2"/>
        <v>SETEMBRO</v>
      </c>
      <c r="C12" s="25">
        <v>43710</v>
      </c>
      <c r="D12" s="26"/>
      <c r="E12" s="19">
        <v>2</v>
      </c>
      <c r="F12" s="27">
        <v>49</v>
      </c>
      <c r="G12" s="17">
        <v>249</v>
      </c>
      <c r="K12" s="18">
        <f t="shared" si="0"/>
        <v>249</v>
      </c>
      <c r="L12" s="21">
        <f>IF(ISERROR(VLOOKUP($F12,#REF!,6,0)*G12/1000),0,VLOOKUP($F12,#REF!,6,0)*G12/1000)</f>
        <v>0</v>
      </c>
      <c r="M12" s="21">
        <f>IF(ISERROR(VLOOKUP($F12,#REF!,6,0)*H12/1000),0,VLOOKUP($F12,#REF!,6,0)*H12/1000)</f>
        <v>0</v>
      </c>
      <c r="N12" s="21">
        <f>IF(ISERROR(VLOOKUP($F12,#REF!,6,0)*I12/1000),0,VLOOKUP($F12,#REF!,6,0)*I12/1000)</f>
        <v>0</v>
      </c>
      <c r="O12" s="21">
        <f>IF(ISERROR(VLOOKUP($F12,#REF!,6,0)*J12/1000),0,VLOOKUP($F12,#REF!,6,0)*J12/1000)</f>
        <v>0</v>
      </c>
      <c r="P12" s="21">
        <f>IF(ISERROR(VLOOKUP(F12,#REF!,6,0)*K12/1000),0,VLOOKUP(F12,#REF!,6,0)*K12/1000)</f>
        <v>0</v>
      </c>
      <c r="Q12" s="6">
        <f>IF(ISERROR(VLOOKUP(F12,#REF!,3,0)),0,VLOOKUP(F12,#REF!,3,0))</f>
        <v>0</v>
      </c>
      <c r="R12" s="6">
        <f>IF(ISERROR(VLOOKUP(F12,#REF!,4,0)),0,VLOOKUP(F12,#REF!,4,0))</f>
        <v>0</v>
      </c>
      <c r="S12" s="8">
        <f>IF(ISERROR(VLOOKUP(F12,#REF!,4,0)),0,VLOOKUP(F12,#REF!,10,0)/60*K12)</f>
        <v>0</v>
      </c>
      <c r="T12" s="6"/>
      <c r="U12" s="6"/>
      <c r="V12" s="7"/>
      <c r="AJ12">
        <v>10</v>
      </c>
      <c r="AK12" t="s">
        <v>14</v>
      </c>
    </row>
    <row r="13" spans="1:37" x14ac:dyDescent="0.3">
      <c r="A13" s="5">
        <f t="shared" si="1"/>
        <v>2019</v>
      </c>
      <c r="B13" s="6" t="str">
        <f t="shared" si="2"/>
        <v>SETEMBRO</v>
      </c>
      <c r="C13" s="25">
        <v>43710</v>
      </c>
      <c r="D13" s="26"/>
      <c r="E13" s="19">
        <v>2</v>
      </c>
      <c r="F13" s="15">
        <v>44</v>
      </c>
      <c r="G13" s="17">
        <v>655</v>
      </c>
      <c r="H13" s="17">
        <v>317</v>
      </c>
      <c r="I13" s="17">
        <v>299</v>
      </c>
      <c r="K13" s="18">
        <f t="shared" si="0"/>
        <v>1271</v>
      </c>
      <c r="L13" s="21">
        <f>IF(ISERROR(VLOOKUP($F13,#REF!,6,0)*G13/1000),0,VLOOKUP($F13,#REF!,6,0)*G13/1000)</f>
        <v>0</v>
      </c>
      <c r="M13" s="21">
        <f>IF(ISERROR(VLOOKUP($F13,#REF!,6,0)*H13/1000),0,VLOOKUP($F13,#REF!,6,0)*H13/1000)</f>
        <v>0</v>
      </c>
      <c r="N13" s="21">
        <f>IF(ISERROR(VLOOKUP($F13,#REF!,6,0)*I13/1000),0,VLOOKUP($F13,#REF!,6,0)*I13/1000)</f>
        <v>0</v>
      </c>
      <c r="O13" s="21">
        <f>IF(ISERROR(VLOOKUP($F13,#REF!,6,0)*J13/1000),0,VLOOKUP($F13,#REF!,6,0)*J13/1000)</f>
        <v>0</v>
      </c>
      <c r="P13" s="21">
        <f>IF(ISERROR(VLOOKUP(F13,#REF!,6,0)*K13/1000),0,VLOOKUP(F13,#REF!,6,0)*K13/1000)</f>
        <v>0</v>
      </c>
      <c r="Q13" s="6">
        <f>IF(ISERROR(VLOOKUP(F13,#REF!,3,0)),0,VLOOKUP(F13,#REF!,3,0))</f>
        <v>0</v>
      </c>
      <c r="R13" s="6">
        <f>IF(ISERROR(VLOOKUP(F13,#REF!,4,0)),0,VLOOKUP(F13,#REF!,4,0))</f>
        <v>0</v>
      </c>
      <c r="S13" s="8">
        <f>IF(ISERROR(VLOOKUP(F13,#REF!,4,0)),0,VLOOKUP(F13,#REF!,10,0)/60*K13)</f>
        <v>0</v>
      </c>
      <c r="T13" s="6"/>
      <c r="U13" s="6"/>
      <c r="V13" s="7"/>
      <c r="AJ13">
        <v>11</v>
      </c>
      <c r="AK13" t="s">
        <v>15</v>
      </c>
    </row>
    <row r="14" spans="1:37" x14ac:dyDescent="0.3">
      <c r="A14" s="5">
        <f t="shared" si="1"/>
        <v>2019</v>
      </c>
      <c r="B14" s="6" t="str">
        <f t="shared" si="2"/>
        <v>SETEMBRO</v>
      </c>
      <c r="C14" s="25">
        <v>43710</v>
      </c>
      <c r="D14" s="26"/>
      <c r="E14" s="19">
        <v>3</v>
      </c>
      <c r="F14" s="15">
        <v>3</v>
      </c>
      <c r="G14" s="17">
        <v>635</v>
      </c>
      <c r="I14" s="17">
        <v>5</v>
      </c>
      <c r="J14" s="17">
        <v>100</v>
      </c>
      <c r="K14" s="18">
        <f t="shared" si="0"/>
        <v>740</v>
      </c>
      <c r="L14" s="21">
        <f>IF(ISERROR(VLOOKUP($F14,#REF!,6,0)*G14/1000),0,VLOOKUP($F14,#REF!,6,0)*G14/1000)</f>
        <v>0</v>
      </c>
      <c r="M14" s="21">
        <f>IF(ISERROR(VLOOKUP($F14,#REF!,6,0)*H14/1000),0,VLOOKUP($F14,#REF!,6,0)*H14/1000)</f>
        <v>0</v>
      </c>
      <c r="N14" s="21">
        <f>IF(ISERROR(VLOOKUP($F14,#REF!,6,0)*I14/1000),0,VLOOKUP($F14,#REF!,6,0)*I14/1000)</f>
        <v>0</v>
      </c>
      <c r="O14" s="21">
        <f>IF(ISERROR(VLOOKUP($F14,#REF!,6,0)*J14/1000),0,VLOOKUP($F14,#REF!,6,0)*J14/1000)</f>
        <v>0</v>
      </c>
      <c r="P14" s="21">
        <f>IF(ISERROR(VLOOKUP(F14,#REF!,6,0)*K14/1000),0,VLOOKUP(F14,#REF!,6,0)*K14/1000)</f>
        <v>0</v>
      </c>
      <c r="Q14" s="6">
        <f>IF(ISERROR(VLOOKUP(F14,#REF!,3,0)),0,VLOOKUP(F14,#REF!,3,0))</f>
        <v>0</v>
      </c>
      <c r="R14" s="6">
        <f>IF(ISERROR(VLOOKUP(F14,#REF!,4,0)),0,VLOOKUP(F14,#REF!,4,0))</f>
        <v>0</v>
      </c>
      <c r="S14" s="8">
        <f>IF(ISERROR(VLOOKUP(F14,#REF!,4,0)),0,VLOOKUP(F14,#REF!,10,0)/60*K14)</f>
        <v>0</v>
      </c>
      <c r="T14" s="6"/>
      <c r="U14" s="6"/>
      <c r="V14" s="7"/>
      <c r="AJ14">
        <v>12</v>
      </c>
      <c r="AK14" t="s">
        <v>16</v>
      </c>
    </row>
    <row r="15" spans="1:37" x14ac:dyDescent="0.3">
      <c r="A15" s="5">
        <f t="shared" si="1"/>
        <v>2019</v>
      </c>
      <c r="B15" s="6" t="str">
        <f t="shared" si="2"/>
        <v>SETEMBRO</v>
      </c>
      <c r="C15" s="13">
        <v>43711</v>
      </c>
      <c r="D15" s="26"/>
      <c r="E15" s="19">
        <v>1</v>
      </c>
      <c r="F15" s="15">
        <v>3</v>
      </c>
      <c r="G15" s="17">
        <v>1080</v>
      </c>
      <c r="I15" s="17">
        <v>30</v>
      </c>
      <c r="J15" s="17">
        <v>250</v>
      </c>
      <c r="K15" s="18">
        <f t="shared" si="0"/>
        <v>1360</v>
      </c>
      <c r="L15" s="21">
        <f>IF(ISERROR(VLOOKUP($F15,#REF!,6,0)*G15/1000),0,VLOOKUP($F15,#REF!,6,0)*G15/1000)</f>
        <v>0</v>
      </c>
      <c r="M15" s="21">
        <f>IF(ISERROR(VLOOKUP($F15,#REF!,6,0)*H15/1000),0,VLOOKUP($F15,#REF!,6,0)*H15/1000)</f>
        <v>0</v>
      </c>
      <c r="N15" s="21">
        <f>IF(ISERROR(VLOOKUP($F15,#REF!,6,0)*I15/1000),0,VLOOKUP($F15,#REF!,6,0)*I15/1000)</f>
        <v>0</v>
      </c>
      <c r="O15" s="21">
        <f>IF(ISERROR(VLOOKUP($F15,#REF!,6,0)*J15/1000),0,VLOOKUP($F15,#REF!,6,0)*J15/1000)</f>
        <v>0</v>
      </c>
      <c r="P15" s="21">
        <f>IF(ISERROR(VLOOKUP(F15,#REF!,6,0)*K15/1000),0,VLOOKUP(F15,#REF!,6,0)*K15/1000)</f>
        <v>0</v>
      </c>
      <c r="Q15" s="6">
        <f>IF(ISERROR(VLOOKUP(F15,#REF!,3,0)),0,VLOOKUP(F15,#REF!,3,0))</f>
        <v>0</v>
      </c>
      <c r="R15" s="6">
        <f>IF(ISERROR(VLOOKUP(F15,#REF!,4,0)),0,VLOOKUP(F15,#REF!,4,0))</f>
        <v>0</v>
      </c>
      <c r="S15" s="8">
        <f>IF(ISERROR(VLOOKUP(F15,#REF!,4,0)),0,VLOOKUP(F15,#REF!,10,0)/60*K15)</f>
        <v>0</v>
      </c>
      <c r="T15" s="6"/>
      <c r="U15" s="6"/>
      <c r="V15" s="7"/>
    </row>
    <row r="16" spans="1:37" x14ac:dyDescent="0.3">
      <c r="A16" s="5">
        <f t="shared" si="1"/>
        <v>2019</v>
      </c>
      <c r="B16" s="6" t="str">
        <f t="shared" si="2"/>
        <v>SETEMBRO</v>
      </c>
      <c r="C16" s="13">
        <v>43711</v>
      </c>
      <c r="D16" s="26"/>
      <c r="E16" s="19">
        <v>1</v>
      </c>
      <c r="F16" s="15">
        <v>49</v>
      </c>
      <c r="G16" s="17">
        <v>320</v>
      </c>
      <c r="K16" s="18">
        <f t="shared" si="0"/>
        <v>320</v>
      </c>
      <c r="L16" s="21">
        <f>IF(ISERROR(VLOOKUP($F16,#REF!,6,0)*G16/1000),0,VLOOKUP($F16,#REF!,6,0)*G16/1000)</f>
        <v>0</v>
      </c>
      <c r="M16" s="21">
        <f>IF(ISERROR(VLOOKUP($F16,#REF!,6,0)*H16/1000),0,VLOOKUP($F16,#REF!,6,0)*H16/1000)</f>
        <v>0</v>
      </c>
      <c r="N16" s="21">
        <f>IF(ISERROR(VLOOKUP($F16,#REF!,6,0)*I16/1000),0,VLOOKUP($F16,#REF!,6,0)*I16/1000)</f>
        <v>0</v>
      </c>
      <c r="O16" s="21">
        <f>IF(ISERROR(VLOOKUP($F16,#REF!,6,0)*J16/1000),0,VLOOKUP($F16,#REF!,6,0)*J16/1000)</f>
        <v>0</v>
      </c>
      <c r="P16" s="21">
        <f>IF(ISERROR(VLOOKUP(F16,#REF!,6,0)*K16/1000),0,VLOOKUP(F16,#REF!,6,0)*K16/1000)</f>
        <v>0</v>
      </c>
      <c r="Q16" s="6">
        <f>IF(ISERROR(VLOOKUP(F16,#REF!,3,0)),0,VLOOKUP(F16,#REF!,3,0))</f>
        <v>0</v>
      </c>
      <c r="R16" s="6">
        <f>IF(ISERROR(VLOOKUP(F16,#REF!,4,0)),0,VLOOKUP(F16,#REF!,4,0))</f>
        <v>0</v>
      </c>
      <c r="S16" s="8">
        <f>IF(ISERROR(VLOOKUP(F16,#REF!,4,0)),0,VLOOKUP(F16,#REF!,10,0)/60*K16)</f>
        <v>0</v>
      </c>
      <c r="T16" s="3"/>
      <c r="U16" s="3"/>
      <c r="V16" s="4"/>
    </row>
    <row r="17" spans="1:22" x14ac:dyDescent="0.3">
      <c r="A17" s="5">
        <f t="shared" si="1"/>
        <v>2019</v>
      </c>
      <c r="B17" s="6" t="str">
        <f t="shared" si="2"/>
        <v>SETEMBRO</v>
      </c>
      <c r="C17" s="13">
        <v>43711</v>
      </c>
      <c r="D17" s="26"/>
      <c r="E17" s="19">
        <v>1</v>
      </c>
      <c r="F17" s="15">
        <v>44</v>
      </c>
      <c r="G17" s="17">
        <v>204</v>
      </c>
      <c r="K17" s="18">
        <f t="shared" si="0"/>
        <v>204</v>
      </c>
      <c r="L17" s="21">
        <f>IF(ISERROR(VLOOKUP($F17,#REF!,6,0)*G17/1000),0,VLOOKUP($F17,#REF!,6,0)*G17/1000)</f>
        <v>0</v>
      </c>
      <c r="M17" s="21">
        <f>IF(ISERROR(VLOOKUP($F17,#REF!,6,0)*H17/1000),0,VLOOKUP($F17,#REF!,6,0)*H17/1000)</f>
        <v>0</v>
      </c>
      <c r="N17" s="21">
        <f>IF(ISERROR(VLOOKUP($F17,#REF!,6,0)*I17/1000),0,VLOOKUP($F17,#REF!,6,0)*I17/1000)</f>
        <v>0</v>
      </c>
      <c r="O17" s="21">
        <f>IF(ISERROR(VLOOKUP($F17,#REF!,6,0)*J17/1000),0,VLOOKUP($F17,#REF!,6,0)*J17/1000)</f>
        <v>0</v>
      </c>
      <c r="P17" s="21">
        <f>IF(ISERROR(VLOOKUP(F17,#REF!,6,0)*K17/1000),0,VLOOKUP(F17,#REF!,6,0)*K17/1000)</f>
        <v>0</v>
      </c>
      <c r="Q17" s="6">
        <f>IF(ISERROR(VLOOKUP(F17,#REF!,3,0)),0,VLOOKUP(F17,#REF!,3,0))</f>
        <v>0</v>
      </c>
      <c r="R17" s="6">
        <f>IF(ISERROR(VLOOKUP(F17,#REF!,4,0)),0,VLOOKUP(F17,#REF!,4,0))</f>
        <v>0</v>
      </c>
      <c r="S17" s="8">
        <f>IF(ISERROR(VLOOKUP(F17,#REF!,4,0)),0,VLOOKUP(F17,#REF!,10,0)/60*K17)</f>
        <v>0</v>
      </c>
      <c r="T17" s="3"/>
      <c r="U17" s="3"/>
      <c r="V17" s="4"/>
    </row>
    <row r="18" spans="1:22" x14ac:dyDescent="0.3">
      <c r="A18" s="5">
        <f t="shared" si="1"/>
        <v>2019</v>
      </c>
      <c r="B18" s="6" t="str">
        <f t="shared" si="2"/>
        <v>SETEMBRO</v>
      </c>
      <c r="C18" s="13">
        <v>43711</v>
      </c>
      <c r="D18" s="26"/>
      <c r="E18" s="19">
        <v>1</v>
      </c>
      <c r="F18" s="15">
        <v>51</v>
      </c>
      <c r="G18" s="17">
        <v>565</v>
      </c>
      <c r="H18" s="17">
        <v>150</v>
      </c>
      <c r="K18" s="18">
        <f t="shared" si="0"/>
        <v>715</v>
      </c>
      <c r="L18" s="21">
        <f>IF(ISERROR(VLOOKUP($F18,#REF!,6,0)*G18/1000),0,VLOOKUP($F18,#REF!,6,0)*G18/1000)</f>
        <v>0</v>
      </c>
      <c r="M18" s="21">
        <f>IF(ISERROR(VLOOKUP($F18,#REF!,6,0)*H18/1000),0,VLOOKUP($F18,#REF!,6,0)*H18/1000)</f>
        <v>0</v>
      </c>
      <c r="N18" s="21">
        <f>IF(ISERROR(VLOOKUP($F18,#REF!,6,0)*I18/1000),0,VLOOKUP($F18,#REF!,6,0)*I18/1000)</f>
        <v>0</v>
      </c>
      <c r="O18" s="21">
        <f>IF(ISERROR(VLOOKUP($F18,#REF!,6,0)*J18/1000),0,VLOOKUP($F18,#REF!,6,0)*J18/1000)</f>
        <v>0</v>
      </c>
      <c r="P18" s="21">
        <f>IF(ISERROR(VLOOKUP(F18,#REF!,6,0)*K18/1000),0,VLOOKUP(F18,#REF!,6,0)*K18/1000)</f>
        <v>0</v>
      </c>
      <c r="Q18" s="6">
        <f>IF(ISERROR(VLOOKUP(F18,#REF!,3,0)),0,VLOOKUP(F18,#REF!,3,0))</f>
        <v>0</v>
      </c>
      <c r="R18" s="6">
        <f>IF(ISERROR(VLOOKUP(F18,#REF!,4,0)),0,VLOOKUP(F18,#REF!,4,0))</f>
        <v>0</v>
      </c>
      <c r="S18" s="8">
        <f>IF(ISERROR(VLOOKUP(F18,#REF!,4,0)),0,VLOOKUP(F18,#REF!,10,0)/60*K18)</f>
        <v>0</v>
      </c>
      <c r="T18" s="3"/>
      <c r="U18" s="3"/>
      <c r="V18" s="4"/>
    </row>
    <row r="19" spans="1:22" x14ac:dyDescent="0.3">
      <c r="A19" s="5">
        <f t="shared" si="1"/>
        <v>2019</v>
      </c>
      <c r="B19" s="6" t="str">
        <f t="shared" si="2"/>
        <v>SETEMBRO</v>
      </c>
      <c r="C19" s="13">
        <v>43711</v>
      </c>
      <c r="D19" s="26"/>
      <c r="E19" s="19">
        <v>1</v>
      </c>
      <c r="F19" s="15">
        <v>11</v>
      </c>
      <c r="G19" s="17">
        <v>631</v>
      </c>
      <c r="K19" s="18">
        <f t="shared" si="0"/>
        <v>631</v>
      </c>
      <c r="L19" s="21">
        <f>IF(ISERROR(VLOOKUP($F19,#REF!,6,0)*G19/1000),0,VLOOKUP($F19,#REF!,6,0)*G19/1000)</f>
        <v>0</v>
      </c>
      <c r="M19" s="21">
        <f>IF(ISERROR(VLOOKUP($F19,#REF!,6,0)*H19/1000),0,VLOOKUP($F19,#REF!,6,0)*H19/1000)</f>
        <v>0</v>
      </c>
      <c r="N19" s="21">
        <f>IF(ISERROR(VLOOKUP($F19,#REF!,6,0)*I19/1000),0,VLOOKUP($F19,#REF!,6,0)*I19/1000)</f>
        <v>0</v>
      </c>
      <c r="O19" s="21">
        <f>IF(ISERROR(VLOOKUP($F19,#REF!,6,0)*J19/1000),0,VLOOKUP($F19,#REF!,6,0)*J19/1000)</f>
        <v>0</v>
      </c>
      <c r="P19" s="21">
        <f>IF(ISERROR(VLOOKUP(F19,#REF!,6,0)*K19/1000),0,VLOOKUP(F19,#REF!,6,0)*K19/1000)</f>
        <v>0</v>
      </c>
      <c r="Q19" s="6">
        <f>IF(ISERROR(VLOOKUP(F19,#REF!,3,0)),0,VLOOKUP(F19,#REF!,3,0))</f>
        <v>0</v>
      </c>
      <c r="R19" s="6">
        <f>IF(ISERROR(VLOOKUP(F19,#REF!,4,0)),0,VLOOKUP(F19,#REF!,4,0))</f>
        <v>0</v>
      </c>
      <c r="S19" s="8">
        <f>IF(ISERROR(VLOOKUP(F19,#REF!,4,0)),0,VLOOKUP(F19,#REF!,10,0)/60*K19)</f>
        <v>0</v>
      </c>
      <c r="T19" s="3"/>
      <c r="U19" s="3"/>
      <c r="V19" s="4"/>
    </row>
    <row r="20" spans="1:22" x14ac:dyDescent="0.3">
      <c r="A20" s="5">
        <f t="shared" si="1"/>
        <v>2019</v>
      </c>
      <c r="B20" s="6" t="str">
        <f t="shared" si="2"/>
        <v>SETEMBRO</v>
      </c>
      <c r="C20" s="13">
        <v>43711</v>
      </c>
      <c r="D20" s="26"/>
      <c r="E20" s="19">
        <v>2</v>
      </c>
      <c r="F20" s="15">
        <v>50</v>
      </c>
      <c r="I20" s="17">
        <v>601</v>
      </c>
      <c r="K20" s="18">
        <f t="shared" si="0"/>
        <v>601</v>
      </c>
      <c r="L20" s="21">
        <f>IF(ISERROR(VLOOKUP($F20,#REF!,6,0)*G20/1000),0,VLOOKUP($F20,#REF!,6,0)*G20/1000)</f>
        <v>0</v>
      </c>
      <c r="M20" s="21">
        <f>IF(ISERROR(VLOOKUP($F20,#REF!,6,0)*H20/1000),0,VLOOKUP($F20,#REF!,6,0)*H20/1000)</f>
        <v>0</v>
      </c>
      <c r="N20" s="21">
        <f>IF(ISERROR(VLOOKUP($F20,#REF!,6,0)*I20/1000),0,VLOOKUP($F20,#REF!,6,0)*I20/1000)</f>
        <v>0</v>
      </c>
      <c r="O20" s="21">
        <f>IF(ISERROR(VLOOKUP($F20,#REF!,6,0)*J20/1000),0,VLOOKUP($F20,#REF!,6,0)*J20/1000)</f>
        <v>0</v>
      </c>
      <c r="P20" s="21">
        <f>IF(ISERROR(VLOOKUP(F20,#REF!,6,0)*K20/1000),0,VLOOKUP(F20,#REF!,6,0)*K20/1000)</f>
        <v>0</v>
      </c>
      <c r="Q20" s="6">
        <f>IF(ISERROR(VLOOKUP(F20,#REF!,3,0)),0,VLOOKUP(F20,#REF!,3,0))</f>
        <v>0</v>
      </c>
      <c r="R20" s="6">
        <f>IF(ISERROR(VLOOKUP(F20,#REF!,4,0)),0,VLOOKUP(F20,#REF!,4,0))</f>
        <v>0</v>
      </c>
      <c r="S20" s="8">
        <f>IF(ISERROR(VLOOKUP(F20,#REF!,4,0)),0,VLOOKUP(F20,#REF!,10,0)/60*K20)</f>
        <v>0</v>
      </c>
      <c r="T20" s="3"/>
      <c r="U20" s="3"/>
      <c r="V20" s="4"/>
    </row>
    <row r="21" spans="1:22" x14ac:dyDescent="0.3">
      <c r="A21" s="5">
        <f t="shared" si="1"/>
        <v>2019</v>
      </c>
      <c r="B21" s="6" t="str">
        <f t="shared" si="2"/>
        <v>SETEMBRO</v>
      </c>
      <c r="C21" s="13">
        <v>43711</v>
      </c>
      <c r="D21" s="26"/>
      <c r="E21" s="19">
        <v>2</v>
      </c>
      <c r="F21" s="15">
        <v>49</v>
      </c>
      <c r="H21" s="17">
        <v>455</v>
      </c>
      <c r="I21" s="17">
        <v>508</v>
      </c>
      <c r="K21" s="18">
        <f t="shared" si="0"/>
        <v>963</v>
      </c>
      <c r="L21" s="21">
        <f>IF(ISERROR(VLOOKUP($F21,#REF!,6,0)*G21/1000),0,VLOOKUP($F21,#REF!,6,0)*G21/1000)</f>
        <v>0</v>
      </c>
      <c r="M21" s="21">
        <f>IF(ISERROR(VLOOKUP($F21,#REF!,6,0)*H21/1000),0,VLOOKUP($F21,#REF!,6,0)*H21/1000)</f>
        <v>0</v>
      </c>
      <c r="N21" s="21">
        <f>IF(ISERROR(VLOOKUP($F21,#REF!,6,0)*I21/1000),0,VLOOKUP($F21,#REF!,6,0)*I21/1000)</f>
        <v>0</v>
      </c>
      <c r="O21" s="21">
        <f>IF(ISERROR(VLOOKUP($F21,#REF!,6,0)*J21/1000),0,VLOOKUP($F21,#REF!,6,0)*J21/1000)</f>
        <v>0</v>
      </c>
      <c r="P21" s="21">
        <f>IF(ISERROR(VLOOKUP(F21,#REF!,6,0)*K21/1000),0,VLOOKUP(F21,#REF!,6,0)*K21/1000)</f>
        <v>0</v>
      </c>
      <c r="Q21" s="6">
        <f>IF(ISERROR(VLOOKUP(F21,#REF!,3,0)),0,VLOOKUP(F21,#REF!,3,0))</f>
        <v>0</v>
      </c>
      <c r="R21" s="6">
        <f>IF(ISERROR(VLOOKUP(F21,#REF!,4,0)),0,VLOOKUP(F21,#REF!,4,0))</f>
        <v>0</v>
      </c>
      <c r="S21" s="8">
        <f>IF(ISERROR(VLOOKUP(F21,#REF!,4,0)),0,VLOOKUP(F21,#REF!,10,0)/60*K21)</f>
        <v>0</v>
      </c>
      <c r="T21" s="3"/>
      <c r="U21" s="3"/>
      <c r="V21" s="4"/>
    </row>
    <row r="22" spans="1:22" x14ac:dyDescent="0.3">
      <c r="A22" s="5">
        <f t="shared" si="1"/>
        <v>2019</v>
      </c>
      <c r="B22" s="6" t="str">
        <f t="shared" si="2"/>
        <v>SETEMBRO</v>
      </c>
      <c r="C22" s="13">
        <v>43711</v>
      </c>
      <c r="D22" s="26"/>
      <c r="E22" s="19">
        <v>2</v>
      </c>
      <c r="F22" s="15">
        <v>44</v>
      </c>
      <c r="H22" s="17">
        <v>279</v>
      </c>
      <c r="I22" s="17">
        <v>293</v>
      </c>
      <c r="K22" s="18">
        <f t="shared" si="0"/>
        <v>572</v>
      </c>
      <c r="L22" s="21">
        <f>IF(ISERROR(VLOOKUP($F22,#REF!,6,0)*G22/1000),0,VLOOKUP($F22,#REF!,6,0)*G22/1000)</f>
        <v>0</v>
      </c>
      <c r="M22" s="21">
        <f>IF(ISERROR(VLOOKUP($F22,#REF!,6,0)*H22/1000),0,VLOOKUP($F22,#REF!,6,0)*H22/1000)</f>
        <v>0</v>
      </c>
      <c r="N22" s="21">
        <f>IF(ISERROR(VLOOKUP($F22,#REF!,6,0)*I22/1000),0,VLOOKUP($F22,#REF!,6,0)*I22/1000)</f>
        <v>0</v>
      </c>
      <c r="O22" s="21">
        <f>IF(ISERROR(VLOOKUP($F22,#REF!,6,0)*J22/1000),0,VLOOKUP($F22,#REF!,6,0)*J22/1000)</f>
        <v>0</v>
      </c>
      <c r="P22" s="21">
        <f>IF(ISERROR(VLOOKUP(F22,#REF!,6,0)*K22/1000),0,VLOOKUP(F22,#REF!,6,0)*K22/1000)</f>
        <v>0</v>
      </c>
      <c r="Q22" s="6">
        <f>IF(ISERROR(VLOOKUP(F22,#REF!,3,0)),0,VLOOKUP(F22,#REF!,3,0))</f>
        <v>0</v>
      </c>
      <c r="R22" s="6">
        <f>IF(ISERROR(VLOOKUP(F22,#REF!,4,0)),0,VLOOKUP(F22,#REF!,4,0))</f>
        <v>0</v>
      </c>
      <c r="S22" s="8">
        <f>IF(ISERROR(VLOOKUP(F22,#REF!,4,0)),0,VLOOKUP(F22,#REF!,10,0)/60*K22)</f>
        <v>0</v>
      </c>
      <c r="T22" s="3"/>
      <c r="U22" s="3"/>
      <c r="V22" s="4"/>
    </row>
    <row r="23" spans="1:22" x14ac:dyDescent="0.3">
      <c r="A23" s="5">
        <f t="shared" si="1"/>
        <v>2019</v>
      </c>
      <c r="B23" s="6" t="str">
        <f t="shared" si="2"/>
        <v>SETEMBRO</v>
      </c>
      <c r="C23" s="13">
        <v>43711</v>
      </c>
      <c r="D23" s="26"/>
      <c r="E23" s="19">
        <v>2</v>
      </c>
      <c r="F23" s="15">
        <v>51</v>
      </c>
      <c r="G23" s="17">
        <v>628</v>
      </c>
      <c r="K23" s="18">
        <f t="shared" si="0"/>
        <v>628</v>
      </c>
      <c r="L23" s="21">
        <f>IF(ISERROR(VLOOKUP($F23,#REF!,6,0)*G23/1000),0,VLOOKUP($F23,#REF!,6,0)*G23/1000)</f>
        <v>0</v>
      </c>
      <c r="M23" s="21">
        <f>IF(ISERROR(VLOOKUP($F23,#REF!,6,0)*H23/1000),0,VLOOKUP($F23,#REF!,6,0)*H23/1000)</f>
        <v>0</v>
      </c>
      <c r="N23" s="21">
        <f>IF(ISERROR(VLOOKUP($F23,#REF!,6,0)*I23/1000),0,VLOOKUP($F23,#REF!,6,0)*I23/1000)</f>
        <v>0</v>
      </c>
      <c r="O23" s="21">
        <f>IF(ISERROR(VLOOKUP($F23,#REF!,6,0)*J23/1000),0,VLOOKUP($F23,#REF!,6,0)*J23/1000)</f>
        <v>0</v>
      </c>
      <c r="P23" s="21">
        <f>IF(ISERROR(VLOOKUP(F23,#REF!,6,0)*K23/1000),0,VLOOKUP(F23,#REF!,6,0)*K23/1000)</f>
        <v>0</v>
      </c>
      <c r="Q23" s="6">
        <f>IF(ISERROR(VLOOKUP(F23,#REF!,3,0)),0,VLOOKUP(F23,#REF!,3,0))</f>
        <v>0</v>
      </c>
      <c r="R23" s="6">
        <f>IF(ISERROR(VLOOKUP(F23,#REF!,4,0)),0,VLOOKUP(F23,#REF!,4,0))</f>
        <v>0</v>
      </c>
      <c r="S23" s="8">
        <f>IF(ISERROR(VLOOKUP(F23,#REF!,4,0)),0,VLOOKUP(F23,#REF!,10,0)/60*K23)</f>
        <v>0</v>
      </c>
      <c r="T23" s="3"/>
      <c r="U23" s="3"/>
      <c r="V23" s="4"/>
    </row>
    <row r="24" spans="1:22" x14ac:dyDescent="0.3">
      <c r="A24" s="5">
        <f t="shared" si="1"/>
        <v>2019</v>
      </c>
      <c r="B24" s="6" t="str">
        <f t="shared" si="2"/>
        <v>SETEMBRO</v>
      </c>
      <c r="C24" s="13">
        <v>43711</v>
      </c>
      <c r="D24" s="26"/>
      <c r="E24" s="19">
        <v>3</v>
      </c>
      <c r="F24" s="15">
        <v>3</v>
      </c>
      <c r="G24" s="17">
        <v>1060</v>
      </c>
      <c r="I24" s="17">
        <v>7</v>
      </c>
      <c r="J24" s="17">
        <v>90</v>
      </c>
      <c r="K24" s="18">
        <f t="shared" si="0"/>
        <v>1157</v>
      </c>
      <c r="L24" s="21">
        <f>IF(ISERROR(VLOOKUP($F24,#REF!,6,0)*G24/1000),0,VLOOKUP($F24,#REF!,6,0)*G24/1000)</f>
        <v>0</v>
      </c>
      <c r="M24" s="21">
        <f>IF(ISERROR(VLOOKUP($F24,#REF!,6,0)*H24/1000),0,VLOOKUP($F24,#REF!,6,0)*H24/1000)</f>
        <v>0</v>
      </c>
      <c r="N24" s="21">
        <f>IF(ISERROR(VLOOKUP($F24,#REF!,6,0)*I24/1000),0,VLOOKUP($F24,#REF!,6,0)*I24/1000)</f>
        <v>0</v>
      </c>
      <c r="O24" s="21">
        <f>IF(ISERROR(VLOOKUP($F24,#REF!,6,0)*J24/1000),0,VLOOKUP($F24,#REF!,6,0)*J24/1000)</f>
        <v>0</v>
      </c>
      <c r="P24" s="21">
        <f>IF(ISERROR(VLOOKUP(F24,#REF!,6,0)*K24/1000),0,VLOOKUP(F24,#REF!,6,0)*K24/1000)</f>
        <v>0</v>
      </c>
      <c r="Q24" s="6">
        <f>IF(ISERROR(VLOOKUP(F24,#REF!,3,0)),0,VLOOKUP(F24,#REF!,3,0))</f>
        <v>0</v>
      </c>
      <c r="R24" s="6">
        <f>IF(ISERROR(VLOOKUP(F24,#REF!,4,0)),0,VLOOKUP(F24,#REF!,4,0))</f>
        <v>0</v>
      </c>
      <c r="S24" s="8">
        <f>IF(ISERROR(VLOOKUP(F24,#REF!,4,0)),0,VLOOKUP(F24,#REF!,10,0)/60*K24)</f>
        <v>0</v>
      </c>
      <c r="T24" s="3"/>
      <c r="U24" s="3"/>
      <c r="V24" s="4"/>
    </row>
    <row r="25" spans="1:22" x14ac:dyDescent="0.3">
      <c r="A25" s="5">
        <f t="shared" si="1"/>
        <v>2019</v>
      </c>
      <c r="B25" s="6" t="str">
        <f t="shared" si="2"/>
        <v>SETEMBRO</v>
      </c>
      <c r="C25" s="13">
        <v>43711</v>
      </c>
      <c r="D25" s="26"/>
      <c r="E25" s="19">
        <v>3</v>
      </c>
      <c r="F25" s="15">
        <v>45</v>
      </c>
      <c r="G25" s="17">
        <v>1000</v>
      </c>
      <c r="I25" s="17">
        <v>90</v>
      </c>
      <c r="K25" s="18">
        <f t="shared" si="0"/>
        <v>1090</v>
      </c>
      <c r="L25" s="21">
        <f>IF(ISERROR(VLOOKUP($F25,#REF!,6,0)*G25/1000),0,VLOOKUP($F25,#REF!,6,0)*G25/1000)</f>
        <v>0</v>
      </c>
      <c r="M25" s="21">
        <f>IF(ISERROR(VLOOKUP($F25,#REF!,6,0)*H25/1000),0,VLOOKUP($F25,#REF!,6,0)*H25/1000)</f>
        <v>0</v>
      </c>
      <c r="N25" s="21">
        <f>IF(ISERROR(VLOOKUP($F25,#REF!,6,0)*I25/1000),0,VLOOKUP($F25,#REF!,6,0)*I25/1000)</f>
        <v>0</v>
      </c>
      <c r="O25" s="21">
        <f>IF(ISERROR(VLOOKUP($F25,#REF!,6,0)*J25/1000),0,VLOOKUP($F25,#REF!,6,0)*J25/1000)</f>
        <v>0</v>
      </c>
      <c r="P25" s="21">
        <f>IF(ISERROR(VLOOKUP(F25,#REF!,6,0)*K25/1000),0,VLOOKUP(F25,#REF!,6,0)*K25/1000)</f>
        <v>0</v>
      </c>
      <c r="Q25" s="6">
        <f>IF(ISERROR(VLOOKUP(F25,#REF!,3,0)),0,VLOOKUP(F25,#REF!,3,0))</f>
        <v>0</v>
      </c>
      <c r="R25" s="6">
        <f>IF(ISERROR(VLOOKUP(F25,#REF!,4,0)),0,VLOOKUP(F25,#REF!,4,0))</f>
        <v>0</v>
      </c>
      <c r="S25" s="8">
        <f>IF(ISERROR(VLOOKUP(F25,#REF!,4,0)),0,VLOOKUP(F25,#REF!,10,0)/60*K25)</f>
        <v>0</v>
      </c>
      <c r="T25" s="3"/>
      <c r="U25" s="3"/>
      <c r="V25" s="4"/>
    </row>
    <row r="26" spans="1:22" x14ac:dyDescent="0.3">
      <c r="A26" s="5">
        <f t="shared" si="1"/>
        <v>2019</v>
      </c>
      <c r="B26" s="6" t="str">
        <f t="shared" si="2"/>
        <v>SETEMBRO</v>
      </c>
      <c r="C26" s="13">
        <v>43712</v>
      </c>
      <c r="D26" s="26"/>
      <c r="E26" s="19">
        <v>1</v>
      </c>
      <c r="F26" s="15">
        <v>3</v>
      </c>
      <c r="G26" s="17">
        <v>432</v>
      </c>
      <c r="I26" s="17">
        <v>15</v>
      </c>
      <c r="K26" s="18">
        <f t="shared" si="0"/>
        <v>447</v>
      </c>
      <c r="L26" s="21">
        <f>IF(ISERROR(VLOOKUP($F26,#REF!,6,0)*G26/1000),0,VLOOKUP($F26,#REF!,6,0)*G26/1000)</f>
        <v>0</v>
      </c>
      <c r="M26" s="21">
        <f>IF(ISERROR(VLOOKUP($F26,#REF!,6,0)*H26/1000),0,VLOOKUP($F26,#REF!,6,0)*H26/1000)</f>
        <v>0</v>
      </c>
      <c r="N26" s="21">
        <f>IF(ISERROR(VLOOKUP($F26,#REF!,6,0)*I26/1000),0,VLOOKUP($F26,#REF!,6,0)*I26/1000)</f>
        <v>0</v>
      </c>
      <c r="O26" s="21">
        <f>IF(ISERROR(VLOOKUP($F26,#REF!,6,0)*J26/1000),0,VLOOKUP($F26,#REF!,6,0)*J26/1000)</f>
        <v>0</v>
      </c>
      <c r="P26" s="21">
        <f>IF(ISERROR(VLOOKUP(F26,#REF!,6,0)*K26/1000),0,VLOOKUP(F26,#REF!,6,0)*K26/1000)</f>
        <v>0</v>
      </c>
      <c r="Q26" s="6">
        <f>IF(ISERROR(VLOOKUP(F26,#REF!,3,0)),0,VLOOKUP(F26,#REF!,3,0))</f>
        <v>0</v>
      </c>
      <c r="R26" s="6">
        <f>IF(ISERROR(VLOOKUP(F26,#REF!,4,0)),0,VLOOKUP(F26,#REF!,4,0))</f>
        <v>0</v>
      </c>
      <c r="S26" s="8">
        <f>IF(ISERROR(VLOOKUP(F26,#REF!,4,0)),0,VLOOKUP(F26,#REF!,10,0)/60*K26)</f>
        <v>0</v>
      </c>
      <c r="T26" s="3"/>
      <c r="U26" s="3"/>
      <c r="V26" s="4"/>
    </row>
    <row r="27" spans="1:22" x14ac:dyDescent="0.3">
      <c r="A27" s="5">
        <f t="shared" si="1"/>
        <v>2019</v>
      </c>
      <c r="B27" s="6" t="str">
        <f t="shared" si="2"/>
        <v>SETEMBRO</v>
      </c>
      <c r="C27" s="13">
        <v>43712</v>
      </c>
      <c r="D27" s="26"/>
      <c r="E27" s="19">
        <v>1</v>
      </c>
      <c r="F27" s="15">
        <v>33</v>
      </c>
      <c r="G27" s="17">
        <v>576</v>
      </c>
      <c r="H27" s="17">
        <v>60</v>
      </c>
      <c r="I27" s="17">
        <v>20</v>
      </c>
      <c r="K27" s="18">
        <f t="shared" si="0"/>
        <v>656</v>
      </c>
      <c r="L27" s="21">
        <f>IF(ISERROR(VLOOKUP($F27,#REF!,6,0)*G27/1000),0,VLOOKUP($F27,#REF!,6,0)*G27/1000)</f>
        <v>0</v>
      </c>
      <c r="M27" s="21">
        <f>IF(ISERROR(VLOOKUP($F27,#REF!,6,0)*H27/1000),0,VLOOKUP($F27,#REF!,6,0)*H27/1000)</f>
        <v>0</v>
      </c>
      <c r="N27" s="21">
        <f>IF(ISERROR(VLOOKUP($F27,#REF!,6,0)*I27/1000),0,VLOOKUP($F27,#REF!,6,0)*I27/1000)</f>
        <v>0</v>
      </c>
      <c r="O27" s="21">
        <f>IF(ISERROR(VLOOKUP($F27,#REF!,6,0)*J27/1000),0,VLOOKUP($F27,#REF!,6,0)*J27/1000)</f>
        <v>0</v>
      </c>
      <c r="P27" s="21">
        <f>IF(ISERROR(VLOOKUP(F27,#REF!,6,0)*K27/1000),0,VLOOKUP(F27,#REF!,6,0)*K27/1000)</f>
        <v>0</v>
      </c>
      <c r="Q27" s="6">
        <f>IF(ISERROR(VLOOKUP(F27,#REF!,3,0)),0,VLOOKUP(F27,#REF!,3,0))</f>
        <v>0</v>
      </c>
      <c r="R27" s="6">
        <f>IF(ISERROR(VLOOKUP(F27,#REF!,4,0)),0,VLOOKUP(F27,#REF!,4,0))</f>
        <v>0</v>
      </c>
      <c r="S27" s="8">
        <f>IF(ISERROR(VLOOKUP(F27,#REF!,4,0)),0,VLOOKUP(F27,#REF!,10,0)/60*K27)</f>
        <v>0</v>
      </c>
      <c r="T27" s="3"/>
      <c r="U27" s="3"/>
      <c r="V27" s="4"/>
    </row>
    <row r="28" spans="1:22" x14ac:dyDescent="0.3">
      <c r="A28" s="5">
        <f t="shared" si="1"/>
        <v>2019</v>
      </c>
      <c r="B28" s="6" t="str">
        <f t="shared" si="2"/>
        <v>SETEMBRO</v>
      </c>
      <c r="C28" s="13">
        <v>43712</v>
      </c>
      <c r="D28" s="26"/>
      <c r="E28" s="19">
        <v>1</v>
      </c>
      <c r="F28" s="15">
        <v>32</v>
      </c>
      <c r="G28" s="17">
        <v>2482</v>
      </c>
      <c r="H28" s="17">
        <v>1350</v>
      </c>
      <c r="I28" s="17">
        <v>50</v>
      </c>
      <c r="K28" s="18">
        <f t="shared" si="0"/>
        <v>3882</v>
      </c>
      <c r="L28" s="21">
        <f>IF(ISERROR(VLOOKUP($F28,#REF!,6,0)*G28/1000),0,VLOOKUP($F28,#REF!,6,0)*G28/1000)</f>
        <v>0</v>
      </c>
      <c r="M28" s="21">
        <f>IF(ISERROR(VLOOKUP($F28,#REF!,6,0)*H28/1000),0,VLOOKUP($F28,#REF!,6,0)*H28/1000)</f>
        <v>0</v>
      </c>
      <c r="N28" s="21">
        <f>IF(ISERROR(VLOOKUP($F28,#REF!,6,0)*I28/1000),0,VLOOKUP($F28,#REF!,6,0)*I28/1000)</f>
        <v>0</v>
      </c>
      <c r="O28" s="21">
        <f>IF(ISERROR(VLOOKUP($F28,#REF!,6,0)*J28/1000),0,VLOOKUP($F28,#REF!,6,0)*J28/1000)</f>
        <v>0</v>
      </c>
      <c r="P28" s="21">
        <f>IF(ISERROR(VLOOKUP(F28,#REF!,6,0)*K28/1000),0,VLOOKUP(F28,#REF!,6,0)*K28/1000)</f>
        <v>0</v>
      </c>
      <c r="Q28" s="6">
        <f>IF(ISERROR(VLOOKUP(F28,#REF!,3,0)),0,VLOOKUP(F28,#REF!,3,0))</f>
        <v>0</v>
      </c>
      <c r="R28" s="6">
        <f>IF(ISERROR(VLOOKUP(F28,#REF!,4,0)),0,VLOOKUP(F28,#REF!,4,0))</f>
        <v>0</v>
      </c>
      <c r="S28" s="8">
        <f>IF(ISERROR(VLOOKUP(F28,#REF!,4,0)),0,VLOOKUP(F28,#REF!,10,0)/60*K28)</f>
        <v>0</v>
      </c>
      <c r="T28" s="3"/>
      <c r="U28" s="3"/>
      <c r="V28" s="4"/>
    </row>
    <row r="29" spans="1:22" x14ac:dyDescent="0.3">
      <c r="A29" s="5">
        <f t="shared" si="1"/>
        <v>2019</v>
      </c>
      <c r="B29" s="6" t="str">
        <f t="shared" si="2"/>
        <v>SETEMBRO</v>
      </c>
      <c r="C29" s="13">
        <v>43712</v>
      </c>
      <c r="D29" s="26"/>
      <c r="E29" s="19">
        <v>2</v>
      </c>
      <c r="F29" s="15">
        <v>32</v>
      </c>
      <c r="G29" s="17">
        <v>3120</v>
      </c>
      <c r="H29" s="17">
        <v>1250</v>
      </c>
      <c r="I29" s="17">
        <v>120</v>
      </c>
      <c r="K29" s="18">
        <f t="shared" si="0"/>
        <v>4490</v>
      </c>
      <c r="L29" s="21">
        <f>IF(ISERROR(VLOOKUP($F29,#REF!,6,0)*G29/1000),0,VLOOKUP($F29,#REF!,6,0)*G29/1000)</f>
        <v>0</v>
      </c>
      <c r="M29" s="21">
        <f>IF(ISERROR(VLOOKUP($F29,#REF!,6,0)*H29/1000),0,VLOOKUP($F29,#REF!,6,0)*H29/1000)</f>
        <v>0</v>
      </c>
      <c r="N29" s="21">
        <f>IF(ISERROR(VLOOKUP($F29,#REF!,6,0)*I29/1000),0,VLOOKUP($F29,#REF!,6,0)*I29/1000)</f>
        <v>0</v>
      </c>
      <c r="O29" s="21">
        <f>IF(ISERROR(VLOOKUP($F29,#REF!,6,0)*J29/1000),0,VLOOKUP($F29,#REF!,6,0)*J29/1000)</f>
        <v>0</v>
      </c>
      <c r="P29" s="21">
        <f>IF(ISERROR(VLOOKUP(F29,#REF!,6,0)*K29/1000),0,VLOOKUP(F29,#REF!,6,0)*K29/1000)</f>
        <v>0</v>
      </c>
      <c r="Q29" s="6">
        <f>IF(ISERROR(VLOOKUP(F29,#REF!,3,0)),0,VLOOKUP(F29,#REF!,3,0))</f>
        <v>0</v>
      </c>
      <c r="R29" s="6">
        <f>IF(ISERROR(VLOOKUP(F29,#REF!,4,0)),0,VLOOKUP(F29,#REF!,4,0))</f>
        <v>0</v>
      </c>
      <c r="S29" s="8">
        <f>IF(ISERROR(VLOOKUP(F29,#REF!,4,0)),0,VLOOKUP(F29,#REF!,10,0)/60*K29)</f>
        <v>0</v>
      </c>
      <c r="T29" s="3"/>
      <c r="U29" s="3"/>
      <c r="V29" s="4"/>
    </row>
    <row r="30" spans="1:22" x14ac:dyDescent="0.3">
      <c r="A30" s="5">
        <f t="shared" si="1"/>
        <v>2019</v>
      </c>
      <c r="B30" s="6" t="str">
        <f t="shared" si="2"/>
        <v>SETEMBRO</v>
      </c>
      <c r="C30" s="13">
        <v>43712</v>
      </c>
      <c r="D30" s="26"/>
      <c r="E30" s="19">
        <v>1</v>
      </c>
      <c r="F30" s="15">
        <v>50</v>
      </c>
      <c r="G30" s="17">
        <v>576</v>
      </c>
      <c r="K30" s="18">
        <f t="shared" si="0"/>
        <v>576</v>
      </c>
      <c r="L30" s="21">
        <f>IF(ISERROR(VLOOKUP($F30,#REF!,6,0)*G30/1000),0,VLOOKUP($F30,#REF!,6,0)*G30/1000)</f>
        <v>0</v>
      </c>
      <c r="M30" s="21">
        <f>IF(ISERROR(VLOOKUP($F30,#REF!,6,0)*H30/1000),0,VLOOKUP($F30,#REF!,6,0)*H30/1000)</f>
        <v>0</v>
      </c>
      <c r="N30" s="21">
        <f>IF(ISERROR(VLOOKUP($F30,#REF!,6,0)*I30/1000),0,VLOOKUP($F30,#REF!,6,0)*I30/1000)</f>
        <v>0</v>
      </c>
      <c r="O30" s="21">
        <f>IF(ISERROR(VLOOKUP($F30,#REF!,6,0)*J30/1000),0,VLOOKUP($F30,#REF!,6,0)*J30/1000)</f>
        <v>0</v>
      </c>
      <c r="P30" s="21">
        <f>IF(ISERROR(VLOOKUP(F30,#REF!,6,0)*K30/1000),0,VLOOKUP(F30,#REF!,6,0)*K30/1000)</f>
        <v>0</v>
      </c>
      <c r="Q30" s="6">
        <f>IF(ISERROR(VLOOKUP(F30,#REF!,3,0)),0,VLOOKUP(F30,#REF!,3,0))</f>
        <v>0</v>
      </c>
      <c r="R30" s="6">
        <f>IF(ISERROR(VLOOKUP(F30,#REF!,4,0)),0,VLOOKUP(F30,#REF!,4,0))</f>
        <v>0</v>
      </c>
      <c r="S30" s="8">
        <f>IF(ISERROR(VLOOKUP(F30,#REF!,4,0)),0,VLOOKUP(F30,#REF!,10,0)/60*K30)</f>
        <v>0</v>
      </c>
      <c r="T30" s="3"/>
      <c r="U30" s="3"/>
      <c r="V30" s="4"/>
    </row>
    <row r="31" spans="1:22" x14ac:dyDescent="0.3">
      <c r="A31" s="5">
        <f t="shared" si="1"/>
        <v>2019</v>
      </c>
      <c r="B31" s="6" t="str">
        <f t="shared" si="2"/>
        <v>SETEMBRO</v>
      </c>
      <c r="C31" s="13">
        <v>43712</v>
      </c>
      <c r="D31" s="26"/>
      <c r="E31" s="19">
        <v>1</v>
      </c>
      <c r="F31" s="15">
        <v>49</v>
      </c>
      <c r="G31" s="17">
        <v>422</v>
      </c>
      <c r="K31" s="18">
        <f t="shared" si="0"/>
        <v>422</v>
      </c>
      <c r="L31" s="21">
        <f>IF(ISERROR(VLOOKUP($F31,#REF!,6,0)*G31/1000),0,VLOOKUP($F31,#REF!,6,0)*G31/1000)</f>
        <v>0</v>
      </c>
      <c r="M31" s="21">
        <f>IF(ISERROR(VLOOKUP($F31,#REF!,6,0)*H31/1000),0,VLOOKUP($F31,#REF!,6,0)*H31/1000)</f>
        <v>0</v>
      </c>
      <c r="N31" s="21">
        <f>IF(ISERROR(VLOOKUP($F31,#REF!,6,0)*I31/1000),0,VLOOKUP($F31,#REF!,6,0)*I31/1000)</f>
        <v>0</v>
      </c>
      <c r="O31" s="21">
        <f>IF(ISERROR(VLOOKUP($F31,#REF!,6,0)*J31/1000),0,VLOOKUP($F31,#REF!,6,0)*J31/1000)</f>
        <v>0</v>
      </c>
      <c r="P31" s="21">
        <f>IF(ISERROR(VLOOKUP(F31,#REF!,6,0)*K31/1000),0,VLOOKUP(F31,#REF!,6,0)*K31/1000)</f>
        <v>0</v>
      </c>
      <c r="Q31" s="6">
        <f>IF(ISERROR(VLOOKUP(F31,#REF!,3,0)),0,VLOOKUP(F31,#REF!,3,0))</f>
        <v>0</v>
      </c>
      <c r="R31" s="6">
        <f>IF(ISERROR(VLOOKUP(F31,#REF!,4,0)),0,VLOOKUP(F31,#REF!,4,0))</f>
        <v>0</v>
      </c>
      <c r="S31" s="8">
        <f>IF(ISERROR(VLOOKUP(F31,#REF!,4,0)),0,VLOOKUP(F31,#REF!,10,0)/60*K31)</f>
        <v>0</v>
      </c>
      <c r="T31" s="3"/>
      <c r="U31" s="3"/>
      <c r="V31" s="4"/>
    </row>
    <row r="32" spans="1:22" x14ac:dyDescent="0.3">
      <c r="A32" s="5">
        <f t="shared" si="1"/>
        <v>2019</v>
      </c>
      <c r="B32" s="6" t="str">
        <f t="shared" si="2"/>
        <v>SETEMBRO</v>
      </c>
      <c r="C32" s="13">
        <v>43712</v>
      </c>
      <c r="D32" s="26"/>
      <c r="E32" s="19">
        <v>1</v>
      </c>
      <c r="F32" s="15">
        <v>51</v>
      </c>
      <c r="G32" s="17">
        <v>650</v>
      </c>
      <c r="H32" s="17">
        <v>498</v>
      </c>
      <c r="I32" s="17">
        <v>45</v>
      </c>
      <c r="K32" s="18">
        <f t="shared" si="0"/>
        <v>1193</v>
      </c>
      <c r="L32" s="21">
        <f>IF(ISERROR(VLOOKUP($F32,#REF!,6,0)*G32/1000),0,VLOOKUP($F32,#REF!,6,0)*G32/1000)</f>
        <v>0</v>
      </c>
      <c r="M32" s="21">
        <f>IF(ISERROR(VLOOKUP($F32,#REF!,6,0)*H32/1000),0,VLOOKUP($F32,#REF!,6,0)*H32/1000)</f>
        <v>0</v>
      </c>
      <c r="N32" s="21">
        <f>IF(ISERROR(VLOOKUP($F32,#REF!,6,0)*I32/1000),0,VLOOKUP($F32,#REF!,6,0)*I32/1000)</f>
        <v>0</v>
      </c>
      <c r="O32" s="21">
        <f>IF(ISERROR(VLOOKUP($F32,#REF!,6,0)*J32/1000),0,VLOOKUP($F32,#REF!,6,0)*J32/1000)</f>
        <v>0</v>
      </c>
      <c r="P32" s="21">
        <f>IF(ISERROR(VLOOKUP(F32,#REF!,6,0)*K32/1000),0,VLOOKUP(F32,#REF!,6,0)*K32/1000)</f>
        <v>0</v>
      </c>
      <c r="Q32" s="6">
        <f>IF(ISERROR(VLOOKUP(F32,#REF!,3,0)),0,VLOOKUP(F32,#REF!,3,0))</f>
        <v>0</v>
      </c>
      <c r="R32" s="6">
        <f>IF(ISERROR(VLOOKUP(F32,#REF!,4,0)),0,VLOOKUP(F32,#REF!,4,0))</f>
        <v>0</v>
      </c>
      <c r="S32" s="8">
        <f>IF(ISERROR(VLOOKUP(F32,#REF!,4,0)),0,VLOOKUP(F32,#REF!,10,0)/60*K32)</f>
        <v>0</v>
      </c>
      <c r="T32" s="3"/>
      <c r="U32" s="3"/>
      <c r="V32" s="4"/>
    </row>
    <row r="33" spans="1:22" x14ac:dyDescent="0.3">
      <c r="A33" s="5">
        <f t="shared" si="1"/>
        <v>2019</v>
      </c>
      <c r="B33" s="6" t="str">
        <f t="shared" si="2"/>
        <v>SETEMBRO</v>
      </c>
      <c r="C33" s="13">
        <v>43712</v>
      </c>
      <c r="D33" s="26"/>
      <c r="E33" s="19">
        <v>1</v>
      </c>
      <c r="F33" s="15">
        <v>12</v>
      </c>
      <c r="G33" s="17">
        <v>818</v>
      </c>
      <c r="K33" s="18">
        <f t="shared" si="0"/>
        <v>818</v>
      </c>
      <c r="L33" s="21">
        <f>IF(ISERROR(VLOOKUP($F33,#REF!,6,0)*G33/1000),0,VLOOKUP($F33,#REF!,6,0)*G33/1000)</f>
        <v>0</v>
      </c>
      <c r="M33" s="21">
        <f>IF(ISERROR(VLOOKUP($F33,#REF!,6,0)*H33/1000),0,VLOOKUP($F33,#REF!,6,0)*H33/1000)</f>
        <v>0</v>
      </c>
      <c r="N33" s="21">
        <f>IF(ISERROR(VLOOKUP($F33,#REF!,6,0)*I33/1000),0,VLOOKUP($F33,#REF!,6,0)*I33/1000)</f>
        <v>0</v>
      </c>
      <c r="O33" s="21">
        <f>IF(ISERROR(VLOOKUP($F33,#REF!,6,0)*J33/1000),0,VLOOKUP($F33,#REF!,6,0)*J33/1000)</f>
        <v>0</v>
      </c>
      <c r="P33" s="21">
        <f>IF(ISERROR(VLOOKUP(F33,#REF!,6,0)*K33/1000),0,VLOOKUP(F33,#REF!,6,0)*K33/1000)</f>
        <v>0</v>
      </c>
      <c r="Q33" s="6">
        <f>IF(ISERROR(VLOOKUP(F33,#REF!,3,0)),0,VLOOKUP(F33,#REF!,3,0))</f>
        <v>0</v>
      </c>
      <c r="R33" s="6">
        <f>IF(ISERROR(VLOOKUP(F33,#REF!,4,0)),0,VLOOKUP(F33,#REF!,4,0))</f>
        <v>0</v>
      </c>
      <c r="S33" s="8">
        <f>IF(ISERROR(VLOOKUP(F33,#REF!,4,0)),0,VLOOKUP(F33,#REF!,10,0)/60*K33)</f>
        <v>0</v>
      </c>
      <c r="T33" s="3"/>
      <c r="U33" s="3"/>
      <c r="V33" s="4"/>
    </row>
    <row r="34" spans="1:22" x14ac:dyDescent="0.3">
      <c r="A34" s="5">
        <f t="shared" si="1"/>
        <v>2019</v>
      </c>
      <c r="B34" s="6" t="str">
        <f t="shared" si="2"/>
        <v>SETEMBRO</v>
      </c>
      <c r="C34" s="13">
        <v>43712</v>
      </c>
      <c r="D34" s="26"/>
      <c r="E34" s="19">
        <v>2</v>
      </c>
      <c r="F34" s="15">
        <v>50</v>
      </c>
      <c r="G34" s="17">
        <v>584</v>
      </c>
      <c r="H34" s="17">
        <v>501</v>
      </c>
      <c r="K34" s="18">
        <f t="shared" si="0"/>
        <v>1085</v>
      </c>
      <c r="L34" s="21">
        <f>IF(ISERROR(VLOOKUP($F34,#REF!,6,0)*G34/1000),0,VLOOKUP($F34,#REF!,6,0)*G34/1000)</f>
        <v>0</v>
      </c>
      <c r="M34" s="21">
        <f>IF(ISERROR(VLOOKUP($F34,#REF!,6,0)*H34/1000),0,VLOOKUP($F34,#REF!,6,0)*H34/1000)</f>
        <v>0</v>
      </c>
      <c r="N34" s="21">
        <f>IF(ISERROR(VLOOKUP($F34,#REF!,6,0)*I34/1000),0,VLOOKUP($F34,#REF!,6,0)*I34/1000)</f>
        <v>0</v>
      </c>
      <c r="O34" s="21">
        <f>IF(ISERROR(VLOOKUP($F34,#REF!,6,0)*J34/1000),0,VLOOKUP($F34,#REF!,6,0)*J34/1000)</f>
        <v>0</v>
      </c>
      <c r="P34" s="21">
        <f>IF(ISERROR(VLOOKUP(F34,#REF!,6,0)*K34/1000),0,VLOOKUP(F34,#REF!,6,0)*K34/1000)</f>
        <v>0</v>
      </c>
      <c r="Q34" s="6">
        <f>IF(ISERROR(VLOOKUP(F34,#REF!,3,0)),0,VLOOKUP(F34,#REF!,3,0))</f>
        <v>0</v>
      </c>
      <c r="R34" s="6">
        <f>IF(ISERROR(VLOOKUP(F34,#REF!,4,0)),0,VLOOKUP(F34,#REF!,4,0))</f>
        <v>0</v>
      </c>
      <c r="S34" s="8">
        <f>IF(ISERROR(VLOOKUP(F34,#REF!,4,0)),0,VLOOKUP(F34,#REF!,10,0)/60*K34)</f>
        <v>0</v>
      </c>
      <c r="T34" s="3"/>
      <c r="U34" s="3"/>
      <c r="V34" s="4"/>
    </row>
    <row r="35" spans="1:22" x14ac:dyDescent="0.3">
      <c r="A35" s="5">
        <f t="shared" si="1"/>
        <v>2019</v>
      </c>
      <c r="B35" s="6" t="str">
        <f t="shared" si="2"/>
        <v>SETEMBRO</v>
      </c>
      <c r="C35" s="13">
        <v>43712</v>
      </c>
      <c r="D35" s="26"/>
      <c r="E35" s="19">
        <v>2</v>
      </c>
      <c r="F35" s="15">
        <v>49</v>
      </c>
      <c r="G35" s="17">
        <v>441</v>
      </c>
      <c r="H35" s="17">
        <v>461</v>
      </c>
      <c r="I35" s="17">
        <v>483</v>
      </c>
      <c r="K35" s="18">
        <f t="shared" si="0"/>
        <v>1385</v>
      </c>
      <c r="L35" s="21">
        <f>IF(ISERROR(VLOOKUP($F35,#REF!,6,0)*G35/1000),0,VLOOKUP($F35,#REF!,6,0)*G35/1000)</f>
        <v>0</v>
      </c>
      <c r="M35" s="21">
        <f>IF(ISERROR(VLOOKUP($F35,#REF!,6,0)*H35/1000),0,VLOOKUP($F35,#REF!,6,0)*H35/1000)</f>
        <v>0</v>
      </c>
      <c r="N35" s="21">
        <f>IF(ISERROR(VLOOKUP($F35,#REF!,6,0)*I35/1000),0,VLOOKUP($F35,#REF!,6,0)*I35/1000)</f>
        <v>0</v>
      </c>
      <c r="O35" s="21">
        <f>IF(ISERROR(VLOOKUP($F35,#REF!,6,0)*J35/1000),0,VLOOKUP($F35,#REF!,6,0)*J35/1000)</f>
        <v>0</v>
      </c>
      <c r="P35" s="21">
        <f>IF(ISERROR(VLOOKUP(F35,#REF!,6,0)*K35/1000),0,VLOOKUP(F35,#REF!,6,0)*K35/1000)</f>
        <v>0</v>
      </c>
      <c r="Q35" s="6">
        <f>IF(ISERROR(VLOOKUP(F35,#REF!,3,0)),0,VLOOKUP(F35,#REF!,3,0))</f>
        <v>0</v>
      </c>
      <c r="R35" s="6">
        <f>IF(ISERROR(VLOOKUP(F35,#REF!,4,0)),0,VLOOKUP(F35,#REF!,4,0))</f>
        <v>0</v>
      </c>
      <c r="S35" s="8">
        <f>IF(ISERROR(VLOOKUP(F35,#REF!,4,0)),0,VLOOKUP(F35,#REF!,10,0)/60*K35)</f>
        <v>0</v>
      </c>
      <c r="T35" s="3"/>
      <c r="U35" s="3"/>
      <c r="V35" s="4"/>
    </row>
    <row r="36" spans="1:22" x14ac:dyDescent="0.3">
      <c r="A36" s="5">
        <f t="shared" si="1"/>
        <v>2019</v>
      </c>
      <c r="B36" s="6" t="str">
        <f t="shared" si="2"/>
        <v>SETEMBRO</v>
      </c>
      <c r="C36" s="13">
        <v>43712</v>
      </c>
      <c r="D36" s="26"/>
      <c r="E36" s="19">
        <v>2</v>
      </c>
      <c r="F36" s="15">
        <v>51</v>
      </c>
      <c r="G36" s="17">
        <v>688</v>
      </c>
      <c r="H36" s="17">
        <v>700</v>
      </c>
      <c r="K36" s="18">
        <f t="shared" si="0"/>
        <v>1388</v>
      </c>
      <c r="L36" s="21">
        <f>IF(ISERROR(VLOOKUP($F36,#REF!,6,0)*G36/1000),0,VLOOKUP($F36,#REF!,6,0)*G36/1000)</f>
        <v>0</v>
      </c>
      <c r="M36" s="21">
        <f>IF(ISERROR(VLOOKUP($F36,#REF!,6,0)*H36/1000),0,VLOOKUP($F36,#REF!,6,0)*H36/1000)</f>
        <v>0</v>
      </c>
      <c r="N36" s="21">
        <f>IF(ISERROR(VLOOKUP($F36,#REF!,6,0)*I36/1000),0,VLOOKUP($F36,#REF!,6,0)*I36/1000)</f>
        <v>0</v>
      </c>
      <c r="O36" s="21">
        <f>IF(ISERROR(VLOOKUP($F36,#REF!,6,0)*J36/1000),0,VLOOKUP($F36,#REF!,6,0)*J36/1000)</f>
        <v>0</v>
      </c>
      <c r="P36" s="21">
        <f>IF(ISERROR(VLOOKUP(F36,#REF!,6,0)*K36/1000),0,VLOOKUP(F36,#REF!,6,0)*K36/1000)</f>
        <v>0</v>
      </c>
      <c r="Q36" s="6">
        <f>IF(ISERROR(VLOOKUP(F36,#REF!,3,0)),0,VLOOKUP(F36,#REF!,3,0))</f>
        <v>0</v>
      </c>
      <c r="R36" s="6">
        <f>IF(ISERROR(VLOOKUP(F36,#REF!,4,0)),0,VLOOKUP(F36,#REF!,4,0))</f>
        <v>0</v>
      </c>
      <c r="S36" s="8">
        <f>IF(ISERROR(VLOOKUP(F36,#REF!,4,0)),0,VLOOKUP(F36,#REF!,10,0)/60*K36)</f>
        <v>0</v>
      </c>
      <c r="T36" s="3"/>
      <c r="U36" s="3"/>
      <c r="V36" s="4"/>
    </row>
    <row r="37" spans="1:22" x14ac:dyDescent="0.3">
      <c r="A37" s="5">
        <f t="shared" si="1"/>
        <v>2019</v>
      </c>
      <c r="B37" s="6" t="str">
        <f t="shared" si="2"/>
        <v>SETEMBRO</v>
      </c>
      <c r="C37" s="13">
        <v>43712</v>
      </c>
      <c r="D37" s="26"/>
      <c r="E37" s="19">
        <v>3</v>
      </c>
      <c r="F37" s="15">
        <v>32</v>
      </c>
      <c r="G37" s="17">
        <v>4800</v>
      </c>
      <c r="H37" s="17">
        <v>150</v>
      </c>
      <c r="I37" s="17">
        <v>145</v>
      </c>
      <c r="J37" s="17">
        <v>50</v>
      </c>
      <c r="K37" s="18">
        <f t="shared" si="0"/>
        <v>5145</v>
      </c>
      <c r="L37" s="21">
        <f>IF(ISERROR(VLOOKUP($F37,#REF!,6,0)*G37/1000),0,VLOOKUP($F37,#REF!,6,0)*G37/1000)</f>
        <v>0</v>
      </c>
      <c r="M37" s="21">
        <f>IF(ISERROR(VLOOKUP($F37,#REF!,6,0)*H37/1000),0,VLOOKUP($F37,#REF!,6,0)*H37/1000)</f>
        <v>0</v>
      </c>
      <c r="N37" s="21">
        <f>IF(ISERROR(VLOOKUP($F37,#REF!,6,0)*I37/1000),0,VLOOKUP($F37,#REF!,6,0)*I37/1000)</f>
        <v>0</v>
      </c>
      <c r="O37" s="21">
        <f>IF(ISERROR(VLOOKUP($F37,#REF!,6,0)*J37/1000),0,VLOOKUP($F37,#REF!,6,0)*J37/1000)</f>
        <v>0</v>
      </c>
      <c r="P37" s="21">
        <f>IF(ISERROR(VLOOKUP(F37,#REF!,6,0)*K37/1000),0,VLOOKUP(F37,#REF!,6,0)*K37/1000)</f>
        <v>0</v>
      </c>
      <c r="Q37" s="6">
        <f>IF(ISERROR(VLOOKUP(F37,#REF!,3,0)),0,VLOOKUP(F37,#REF!,3,0))</f>
        <v>0</v>
      </c>
      <c r="R37" s="6">
        <f>IF(ISERROR(VLOOKUP(F37,#REF!,4,0)),0,VLOOKUP(F37,#REF!,4,0))</f>
        <v>0</v>
      </c>
      <c r="S37" s="8">
        <f>IF(ISERROR(VLOOKUP(F37,#REF!,4,0)),0,VLOOKUP(F37,#REF!,10,0)/60*K37)</f>
        <v>0</v>
      </c>
      <c r="T37" s="3"/>
      <c r="U37" s="3"/>
      <c r="V37" s="4"/>
    </row>
    <row r="38" spans="1:22" x14ac:dyDescent="0.3">
      <c r="A38" s="5">
        <f t="shared" si="1"/>
        <v>2019</v>
      </c>
      <c r="B38" s="6" t="str">
        <f t="shared" si="2"/>
        <v>SETEMBRO</v>
      </c>
      <c r="C38" s="13">
        <v>43712</v>
      </c>
      <c r="D38" s="26"/>
      <c r="E38" s="19">
        <v>3</v>
      </c>
      <c r="F38" s="15">
        <v>3</v>
      </c>
      <c r="G38" s="17">
        <v>424</v>
      </c>
      <c r="I38" s="17">
        <v>18</v>
      </c>
      <c r="J38" s="17">
        <v>70</v>
      </c>
      <c r="K38" s="18">
        <f t="shared" si="0"/>
        <v>512</v>
      </c>
      <c r="L38" s="21">
        <f>IF(ISERROR(VLOOKUP($F38,#REF!,6,0)*G38/1000),0,VLOOKUP($F38,#REF!,6,0)*G38/1000)</f>
        <v>0</v>
      </c>
      <c r="M38" s="21">
        <f>IF(ISERROR(VLOOKUP($F38,#REF!,6,0)*H38/1000),0,VLOOKUP($F38,#REF!,6,0)*H38/1000)</f>
        <v>0</v>
      </c>
      <c r="N38" s="21">
        <f>IF(ISERROR(VLOOKUP($F38,#REF!,6,0)*I38/1000),0,VLOOKUP($F38,#REF!,6,0)*I38/1000)</f>
        <v>0</v>
      </c>
      <c r="O38" s="21">
        <f>IF(ISERROR(VLOOKUP($F38,#REF!,6,0)*J38/1000),0,VLOOKUP($F38,#REF!,6,0)*J38/1000)</f>
        <v>0</v>
      </c>
      <c r="P38" s="21">
        <f>IF(ISERROR(VLOOKUP(F38,#REF!,6,0)*K38/1000),0,VLOOKUP(F38,#REF!,6,0)*K38/1000)</f>
        <v>0</v>
      </c>
      <c r="Q38" s="6">
        <f>IF(ISERROR(VLOOKUP(F38,#REF!,3,0)),0,VLOOKUP(F38,#REF!,3,0))</f>
        <v>0</v>
      </c>
      <c r="R38" s="6">
        <f>IF(ISERROR(VLOOKUP(F38,#REF!,4,0)),0,VLOOKUP(F38,#REF!,4,0))</f>
        <v>0</v>
      </c>
      <c r="S38" s="8">
        <f>IF(ISERROR(VLOOKUP(F38,#REF!,4,0)),0,VLOOKUP(F38,#REF!,10,0)/60*K38)</f>
        <v>0</v>
      </c>
      <c r="T38" s="3"/>
      <c r="U38" s="3"/>
      <c r="V38" s="4"/>
    </row>
    <row r="39" spans="1:22" x14ac:dyDescent="0.3">
      <c r="A39" s="5">
        <f t="shared" si="1"/>
        <v>2019</v>
      </c>
      <c r="B39" s="6" t="str">
        <f t="shared" si="2"/>
        <v>SETEMBRO</v>
      </c>
      <c r="C39" s="13">
        <v>43713</v>
      </c>
      <c r="D39" s="26"/>
      <c r="E39" s="19">
        <v>1</v>
      </c>
      <c r="F39" s="15">
        <v>32</v>
      </c>
      <c r="G39" s="17">
        <v>2145</v>
      </c>
      <c r="H39" s="17">
        <v>650</v>
      </c>
      <c r="I39" s="17">
        <v>45</v>
      </c>
      <c r="J39" s="17">
        <v>300</v>
      </c>
      <c r="K39" s="18">
        <f t="shared" si="0"/>
        <v>3140</v>
      </c>
      <c r="L39" s="21">
        <f>IF(ISERROR(VLOOKUP($F39,#REF!,6,0)*G39/1000),0,VLOOKUP($F39,#REF!,6,0)*G39/1000)</f>
        <v>0</v>
      </c>
      <c r="M39" s="21">
        <f>IF(ISERROR(VLOOKUP($F39,#REF!,6,0)*H39/1000),0,VLOOKUP($F39,#REF!,6,0)*H39/1000)</f>
        <v>0</v>
      </c>
      <c r="N39" s="21">
        <f>IF(ISERROR(VLOOKUP($F39,#REF!,6,0)*I39/1000),0,VLOOKUP($F39,#REF!,6,0)*I39/1000)</f>
        <v>0</v>
      </c>
      <c r="O39" s="21">
        <f>IF(ISERROR(VLOOKUP($F39,#REF!,6,0)*J39/1000),0,VLOOKUP($F39,#REF!,6,0)*J39/1000)</f>
        <v>0</v>
      </c>
      <c r="P39" s="21">
        <f>IF(ISERROR(VLOOKUP(F39,#REF!,6,0)*K39/1000),0,VLOOKUP(F39,#REF!,6,0)*K39/1000)</f>
        <v>0</v>
      </c>
      <c r="Q39" s="6">
        <f>IF(ISERROR(VLOOKUP(F39,#REF!,3,0)),0,VLOOKUP(F39,#REF!,3,0))</f>
        <v>0</v>
      </c>
      <c r="R39" s="6">
        <f>IF(ISERROR(VLOOKUP(F39,#REF!,4,0)),0,VLOOKUP(F39,#REF!,4,0))</f>
        <v>0</v>
      </c>
      <c r="S39" s="8">
        <f>IF(ISERROR(VLOOKUP(F39,#REF!,4,0)),0,VLOOKUP(F39,#REF!,10,0)/60*K39)</f>
        <v>0</v>
      </c>
      <c r="T39" s="3"/>
      <c r="U39" s="3"/>
      <c r="V39" s="4"/>
    </row>
    <row r="40" spans="1:22" x14ac:dyDescent="0.3">
      <c r="A40" s="5">
        <f t="shared" si="1"/>
        <v>2019</v>
      </c>
      <c r="B40" s="6" t="str">
        <f t="shared" si="2"/>
        <v>SETEMBRO</v>
      </c>
      <c r="C40" s="13">
        <v>43713</v>
      </c>
      <c r="D40" s="26"/>
      <c r="E40" s="19">
        <v>1</v>
      </c>
      <c r="F40" s="15">
        <v>3</v>
      </c>
      <c r="G40" s="17">
        <v>432</v>
      </c>
      <c r="I40" s="17">
        <v>3</v>
      </c>
      <c r="K40" s="18">
        <f t="shared" si="0"/>
        <v>435</v>
      </c>
      <c r="L40" s="21">
        <f>IF(ISERROR(VLOOKUP($F40,#REF!,6,0)*G40/1000),0,VLOOKUP($F40,#REF!,6,0)*G40/1000)</f>
        <v>0</v>
      </c>
      <c r="M40" s="21">
        <f>IF(ISERROR(VLOOKUP($F40,#REF!,6,0)*H40/1000),0,VLOOKUP($F40,#REF!,6,0)*H40/1000)</f>
        <v>0</v>
      </c>
      <c r="N40" s="21">
        <f>IF(ISERROR(VLOOKUP($F40,#REF!,6,0)*I40/1000),0,VLOOKUP($F40,#REF!,6,0)*I40/1000)</f>
        <v>0</v>
      </c>
      <c r="O40" s="21">
        <f>IF(ISERROR(VLOOKUP($F40,#REF!,6,0)*J40/1000),0,VLOOKUP($F40,#REF!,6,0)*J40/1000)</f>
        <v>0</v>
      </c>
      <c r="P40" s="21">
        <f>IF(ISERROR(VLOOKUP(F40,#REF!,6,0)*K40/1000),0,VLOOKUP(F40,#REF!,6,0)*K40/1000)</f>
        <v>0</v>
      </c>
      <c r="Q40" s="6">
        <f>IF(ISERROR(VLOOKUP(F40,#REF!,3,0)),0,VLOOKUP(F40,#REF!,3,0))</f>
        <v>0</v>
      </c>
      <c r="R40" s="6">
        <f>IF(ISERROR(VLOOKUP(F40,#REF!,4,0)),0,VLOOKUP(F40,#REF!,4,0))</f>
        <v>0</v>
      </c>
      <c r="S40" s="8">
        <f>IF(ISERROR(VLOOKUP(F40,#REF!,4,0)),0,VLOOKUP(F40,#REF!,10,0)/60*K40)</f>
        <v>0</v>
      </c>
      <c r="T40" s="3"/>
      <c r="U40" s="3"/>
      <c r="V40" s="4"/>
    </row>
    <row r="41" spans="1:22" x14ac:dyDescent="0.3">
      <c r="A41" s="5">
        <f t="shared" si="1"/>
        <v>2019</v>
      </c>
      <c r="B41" s="6" t="str">
        <f t="shared" si="2"/>
        <v>SETEMBRO</v>
      </c>
      <c r="C41" s="13">
        <v>43713</v>
      </c>
      <c r="D41" s="26"/>
      <c r="E41" s="19">
        <v>1</v>
      </c>
      <c r="F41" s="15">
        <v>13</v>
      </c>
      <c r="G41" s="17">
        <v>2080</v>
      </c>
      <c r="H41" s="17">
        <v>300</v>
      </c>
      <c r="I41" s="17">
        <v>15</v>
      </c>
      <c r="J41" s="17">
        <v>30</v>
      </c>
      <c r="K41" s="18">
        <f t="shared" si="0"/>
        <v>2425</v>
      </c>
      <c r="L41" s="21">
        <f>IF(ISERROR(VLOOKUP($F41,#REF!,6,0)*G41/1000),0,VLOOKUP($F41,#REF!,6,0)*G41/1000)</f>
        <v>0</v>
      </c>
      <c r="M41" s="21">
        <f>IF(ISERROR(VLOOKUP($F41,#REF!,6,0)*H41/1000),0,VLOOKUP($F41,#REF!,6,0)*H41/1000)</f>
        <v>0</v>
      </c>
      <c r="N41" s="21">
        <f>IF(ISERROR(VLOOKUP($F41,#REF!,6,0)*I41/1000),0,VLOOKUP($F41,#REF!,6,0)*I41/1000)</f>
        <v>0</v>
      </c>
      <c r="O41" s="21">
        <f>IF(ISERROR(VLOOKUP($F41,#REF!,6,0)*J41/1000),0,VLOOKUP($F41,#REF!,6,0)*J41/1000)</f>
        <v>0</v>
      </c>
      <c r="P41" s="21">
        <f>IF(ISERROR(VLOOKUP(F41,#REF!,6,0)*K41/1000),0,VLOOKUP(F41,#REF!,6,0)*K41/1000)</f>
        <v>0</v>
      </c>
      <c r="Q41" s="6">
        <f>IF(ISERROR(VLOOKUP(F41,#REF!,3,0)),0,VLOOKUP(F41,#REF!,3,0))</f>
        <v>0</v>
      </c>
      <c r="R41" s="6">
        <f>IF(ISERROR(VLOOKUP(F41,#REF!,4,0)),0,VLOOKUP(F41,#REF!,4,0))</f>
        <v>0</v>
      </c>
      <c r="S41" s="8">
        <f>IF(ISERROR(VLOOKUP(F41,#REF!,4,0)),0,VLOOKUP(F41,#REF!,10,0)/60*K41)</f>
        <v>0</v>
      </c>
      <c r="T41" s="3"/>
      <c r="U41" s="3"/>
      <c r="V41" s="4"/>
    </row>
    <row r="42" spans="1:22" x14ac:dyDescent="0.3">
      <c r="A42" s="5">
        <f t="shared" si="1"/>
        <v>2019</v>
      </c>
      <c r="B42" s="6" t="str">
        <f t="shared" si="2"/>
        <v>SETEMBRO</v>
      </c>
      <c r="C42" s="13">
        <v>43713</v>
      </c>
      <c r="D42" s="26"/>
      <c r="E42" s="19">
        <v>1</v>
      </c>
      <c r="F42" s="15">
        <v>20</v>
      </c>
      <c r="G42" s="17">
        <v>288</v>
      </c>
      <c r="H42" s="17">
        <v>50</v>
      </c>
      <c r="I42" s="17">
        <v>20</v>
      </c>
      <c r="J42" s="17">
        <v>45</v>
      </c>
      <c r="K42" s="18">
        <f t="shared" si="0"/>
        <v>403</v>
      </c>
      <c r="L42" s="21">
        <f>IF(ISERROR(VLOOKUP($F42,#REF!,6,0)*G42/1000),0,VLOOKUP($F42,#REF!,6,0)*G42/1000)</f>
        <v>0</v>
      </c>
      <c r="M42" s="21">
        <f>IF(ISERROR(VLOOKUP($F42,#REF!,6,0)*H42/1000),0,VLOOKUP($F42,#REF!,6,0)*H42/1000)</f>
        <v>0</v>
      </c>
      <c r="N42" s="21">
        <f>IF(ISERROR(VLOOKUP($F42,#REF!,6,0)*I42/1000),0,VLOOKUP($F42,#REF!,6,0)*I42/1000)</f>
        <v>0</v>
      </c>
      <c r="O42" s="21">
        <f>IF(ISERROR(VLOOKUP($F42,#REF!,6,0)*J42/1000),0,VLOOKUP($F42,#REF!,6,0)*J42/1000)</f>
        <v>0</v>
      </c>
      <c r="P42" s="21">
        <f>IF(ISERROR(VLOOKUP(F42,#REF!,6,0)*K42/1000),0,VLOOKUP(F42,#REF!,6,0)*K42/1000)</f>
        <v>0</v>
      </c>
      <c r="Q42" s="6">
        <f>IF(ISERROR(VLOOKUP(F42,#REF!,3,0)),0,VLOOKUP(F42,#REF!,3,0))</f>
        <v>0</v>
      </c>
      <c r="R42" s="6">
        <f>IF(ISERROR(VLOOKUP(F42,#REF!,4,0)),0,VLOOKUP(F42,#REF!,4,0))</f>
        <v>0</v>
      </c>
      <c r="S42" s="8">
        <f>IF(ISERROR(VLOOKUP(F42,#REF!,4,0)),0,VLOOKUP(F42,#REF!,10,0)/60*K42)</f>
        <v>0</v>
      </c>
      <c r="T42" s="3"/>
      <c r="U42" s="3"/>
      <c r="V42" s="4"/>
    </row>
    <row r="43" spans="1:22" x14ac:dyDescent="0.3">
      <c r="A43" s="5">
        <f t="shared" si="1"/>
        <v>2019</v>
      </c>
      <c r="B43" s="6" t="str">
        <f t="shared" si="2"/>
        <v>SETEMBRO</v>
      </c>
      <c r="C43" s="13">
        <v>43713</v>
      </c>
      <c r="D43" s="26"/>
      <c r="E43" s="19">
        <v>2</v>
      </c>
      <c r="F43" s="15">
        <v>20</v>
      </c>
      <c r="G43" s="17">
        <v>576</v>
      </c>
      <c r="H43" s="17">
        <v>35</v>
      </c>
      <c r="I43" s="17">
        <v>25</v>
      </c>
      <c r="J43" s="17">
        <v>25</v>
      </c>
      <c r="K43" s="18">
        <f t="shared" si="0"/>
        <v>661</v>
      </c>
      <c r="L43" s="21">
        <f>IF(ISERROR(VLOOKUP($F43,#REF!,6,0)*G43/1000),0,VLOOKUP($F43,#REF!,6,0)*G43/1000)</f>
        <v>0</v>
      </c>
      <c r="M43" s="21">
        <f>IF(ISERROR(VLOOKUP($F43,#REF!,6,0)*H43/1000),0,VLOOKUP($F43,#REF!,6,0)*H43/1000)</f>
        <v>0</v>
      </c>
      <c r="N43" s="21">
        <f>IF(ISERROR(VLOOKUP($F43,#REF!,6,0)*I43/1000),0,VLOOKUP($F43,#REF!,6,0)*I43/1000)</f>
        <v>0</v>
      </c>
      <c r="O43" s="21">
        <f>IF(ISERROR(VLOOKUP($F43,#REF!,6,0)*J43/1000),0,VLOOKUP($F43,#REF!,6,0)*J43/1000)</f>
        <v>0</v>
      </c>
      <c r="P43" s="21">
        <f>IF(ISERROR(VLOOKUP(F43,#REF!,6,0)*K43/1000),0,VLOOKUP(F43,#REF!,6,0)*K43/1000)</f>
        <v>0</v>
      </c>
      <c r="Q43" s="6">
        <f>IF(ISERROR(VLOOKUP(F43,#REF!,3,0)),0,VLOOKUP(F43,#REF!,3,0))</f>
        <v>0</v>
      </c>
      <c r="R43" s="6">
        <f>IF(ISERROR(VLOOKUP(F43,#REF!,4,0)),0,VLOOKUP(F43,#REF!,4,0))</f>
        <v>0</v>
      </c>
      <c r="S43" s="8">
        <f>IF(ISERROR(VLOOKUP(F43,#REF!,4,0)),0,VLOOKUP(F43,#REF!,10,0)/60*K43)</f>
        <v>0</v>
      </c>
      <c r="T43" s="3"/>
      <c r="U43" s="3"/>
      <c r="V43" s="4"/>
    </row>
    <row r="44" spans="1:22" x14ac:dyDescent="0.3">
      <c r="A44" s="5">
        <f t="shared" si="1"/>
        <v>2019</v>
      </c>
      <c r="B44" s="6" t="str">
        <f t="shared" si="2"/>
        <v>SETEMBRO</v>
      </c>
      <c r="C44" s="13">
        <v>43713</v>
      </c>
      <c r="D44" s="26"/>
      <c r="E44" s="19">
        <v>2</v>
      </c>
      <c r="F44" s="15">
        <v>13</v>
      </c>
      <c r="G44" s="17">
        <v>480</v>
      </c>
      <c r="H44" s="17">
        <v>120</v>
      </c>
      <c r="I44" s="17">
        <v>45</v>
      </c>
      <c r="J44" s="17">
        <v>30</v>
      </c>
      <c r="K44" s="18">
        <f t="shared" si="0"/>
        <v>675</v>
      </c>
      <c r="L44" s="21">
        <f>IF(ISERROR(VLOOKUP($F44,#REF!,6,0)*G44/1000),0,VLOOKUP($F44,#REF!,6,0)*G44/1000)</f>
        <v>0</v>
      </c>
      <c r="M44" s="21">
        <f>IF(ISERROR(VLOOKUP($F44,#REF!,6,0)*H44/1000),0,VLOOKUP($F44,#REF!,6,0)*H44/1000)</f>
        <v>0</v>
      </c>
      <c r="N44" s="21">
        <f>IF(ISERROR(VLOOKUP($F44,#REF!,6,0)*I44/1000),0,VLOOKUP($F44,#REF!,6,0)*I44/1000)</f>
        <v>0</v>
      </c>
      <c r="O44" s="21">
        <f>IF(ISERROR(VLOOKUP($F44,#REF!,6,0)*J44/1000),0,VLOOKUP($F44,#REF!,6,0)*J44/1000)</f>
        <v>0</v>
      </c>
      <c r="P44" s="21">
        <f>IF(ISERROR(VLOOKUP(F44,#REF!,6,0)*K44/1000),0,VLOOKUP(F44,#REF!,6,0)*K44/1000)</f>
        <v>0</v>
      </c>
      <c r="Q44" s="6">
        <f>IF(ISERROR(VLOOKUP(F44,#REF!,3,0)),0,VLOOKUP(F44,#REF!,3,0))</f>
        <v>0</v>
      </c>
      <c r="R44" s="6">
        <f>IF(ISERROR(VLOOKUP(F44,#REF!,4,0)),0,VLOOKUP(F44,#REF!,4,0))</f>
        <v>0</v>
      </c>
      <c r="S44" s="8">
        <f>IF(ISERROR(VLOOKUP(F44,#REF!,4,0)),0,VLOOKUP(F44,#REF!,10,0)/60*K44)</f>
        <v>0</v>
      </c>
      <c r="T44" s="3"/>
      <c r="U44" s="3"/>
      <c r="V44" s="4"/>
    </row>
    <row r="45" spans="1:22" x14ac:dyDescent="0.3">
      <c r="A45" s="5">
        <f t="shared" si="1"/>
        <v>2019</v>
      </c>
      <c r="B45" s="6" t="str">
        <f t="shared" si="2"/>
        <v>SETEMBRO</v>
      </c>
      <c r="C45" s="13">
        <v>43713</v>
      </c>
      <c r="D45" s="26"/>
      <c r="E45" s="19">
        <v>2</v>
      </c>
      <c r="F45" s="15">
        <v>3</v>
      </c>
      <c r="G45" s="17">
        <v>216</v>
      </c>
      <c r="I45" s="17">
        <v>15</v>
      </c>
      <c r="J45" s="17">
        <v>30</v>
      </c>
      <c r="K45" s="18">
        <f t="shared" si="0"/>
        <v>261</v>
      </c>
      <c r="L45" s="21">
        <f>IF(ISERROR(VLOOKUP($F45,#REF!,6,0)*G45/1000),0,VLOOKUP($F45,#REF!,6,0)*G45/1000)</f>
        <v>0</v>
      </c>
      <c r="M45" s="21">
        <f>IF(ISERROR(VLOOKUP($F45,#REF!,6,0)*H45/1000),0,VLOOKUP($F45,#REF!,6,0)*H45/1000)</f>
        <v>0</v>
      </c>
      <c r="N45" s="21">
        <f>IF(ISERROR(VLOOKUP($F45,#REF!,6,0)*I45/1000),0,VLOOKUP($F45,#REF!,6,0)*I45/1000)</f>
        <v>0</v>
      </c>
      <c r="O45" s="21">
        <f>IF(ISERROR(VLOOKUP($F45,#REF!,6,0)*J45/1000),0,VLOOKUP($F45,#REF!,6,0)*J45/1000)</f>
        <v>0</v>
      </c>
      <c r="P45" s="21">
        <f>IF(ISERROR(VLOOKUP(F45,#REF!,6,0)*K45/1000),0,VLOOKUP(F45,#REF!,6,0)*K45/1000)</f>
        <v>0</v>
      </c>
      <c r="Q45" s="6">
        <f>IF(ISERROR(VLOOKUP(F45,#REF!,3,0)),0,VLOOKUP(F45,#REF!,3,0))</f>
        <v>0</v>
      </c>
      <c r="R45" s="6">
        <f>IF(ISERROR(VLOOKUP(F45,#REF!,4,0)),0,VLOOKUP(F45,#REF!,4,0))</f>
        <v>0</v>
      </c>
      <c r="S45" s="8">
        <f>IF(ISERROR(VLOOKUP(F45,#REF!,4,0)),0,VLOOKUP(F45,#REF!,10,0)/60*K45)</f>
        <v>0</v>
      </c>
      <c r="T45" s="3"/>
      <c r="U45" s="3"/>
      <c r="V45" s="4"/>
    </row>
    <row r="46" spans="1:22" x14ac:dyDescent="0.3">
      <c r="A46" s="5">
        <f t="shared" si="1"/>
        <v>2019</v>
      </c>
      <c r="B46" s="6" t="str">
        <f t="shared" si="2"/>
        <v>SETEMBRO</v>
      </c>
      <c r="C46" s="13">
        <v>43713</v>
      </c>
      <c r="D46" s="26"/>
      <c r="E46" s="19">
        <v>2</v>
      </c>
      <c r="F46" s="15">
        <v>8</v>
      </c>
      <c r="G46" s="17">
        <v>120</v>
      </c>
      <c r="H46" s="17">
        <v>32</v>
      </c>
      <c r="J46" s="17">
        <v>4</v>
      </c>
      <c r="K46" s="18">
        <f t="shared" si="0"/>
        <v>156</v>
      </c>
      <c r="L46" s="21">
        <f>IF(ISERROR(VLOOKUP($F46,#REF!,6,0)*G46/1000),0,VLOOKUP($F46,#REF!,6,0)*G46/1000)</f>
        <v>0</v>
      </c>
      <c r="M46" s="21">
        <f>IF(ISERROR(VLOOKUP($F46,#REF!,6,0)*H46/1000),0,VLOOKUP($F46,#REF!,6,0)*H46/1000)</f>
        <v>0</v>
      </c>
      <c r="N46" s="21">
        <f>IF(ISERROR(VLOOKUP($F46,#REF!,6,0)*I46/1000),0,VLOOKUP($F46,#REF!,6,0)*I46/1000)</f>
        <v>0</v>
      </c>
      <c r="O46" s="21">
        <f>IF(ISERROR(VLOOKUP($F46,#REF!,6,0)*J46/1000),0,VLOOKUP($F46,#REF!,6,0)*J46/1000)</f>
        <v>0</v>
      </c>
      <c r="P46" s="21">
        <f>IF(ISERROR(VLOOKUP(F46,#REF!,6,0)*K46/1000),0,VLOOKUP(F46,#REF!,6,0)*K46/1000)</f>
        <v>0</v>
      </c>
      <c r="Q46" s="6">
        <f>IF(ISERROR(VLOOKUP(F46,#REF!,3,0)),0,VLOOKUP(F46,#REF!,3,0))</f>
        <v>0</v>
      </c>
      <c r="R46" s="6">
        <f>IF(ISERROR(VLOOKUP(F46,#REF!,4,0)),0,VLOOKUP(F46,#REF!,4,0))</f>
        <v>0</v>
      </c>
      <c r="S46" s="8">
        <f>IF(ISERROR(VLOOKUP(F46,#REF!,4,0)),0,VLOOKUP(F46,#REF!,10,0)/60*K46)</f>
        <v>0</v>
      </c>
      <c r="T46" s="3"/>
      <c r="U46" s="3"/>
      <c r="V46" s="4"/>
    </row>
    <row r="47" spans="1:22" x14ac:dyDescent="0.3">
      <c r="A47" s="5">
        <f t="shared" si="1"/>
        <v>2019</v>
      </c>
      <c r="B47" s="6" t="str">
        <f t="shared" si="2"/>
        <v>SETEMBRO</v>
      </c>
      <c r="C47" s="13">
        <v>43713</v>
      </c>
      <c r="D47" s="26"/>
      <c r="E47" s="19">
        <v>2</v>
      </c>
      <c r="F47" s="15">
        <v>9</v>
      </c>
      <c r="G47" s="17">
        <v>296</v>
      </c>
      <c r="H47" s="17">
        <v>20</v>
      </c>
      <c r="I47" s="17">
        <v>6</v>
      </c>
      <c r="J47" s="17">
        <v>3</v>
      </c>
      <c r="K47" s="18">
        <f t="shared" si="0"/>
        <v>325</v>
      </c>
      <c r="L47" s="21">
        <f>IF(ISERROR(VLOOKUP($F47,#REF!,6,0)*G47/1000),0,VLOOKUP($F47,#REF!,6,0)*G47/1000)</f>
        <v>0</v>
      </c>
      <c r="M47" s="21">
        <f>IF(ISERROR(VLOOKUP($F47,#REF!,6,0)*H47/1000),0,VLOOKUP($F47,#REF!,6,0)*H47/1000)</f>
        <v>0</v>
      </c>
      <c r="N47" s="21">
        <f>IF(ISERROR(VLOOKUP($F47,#REF!,6,0)*I47/1000),0,VLOOKUP($F47,#REF!,6,0)*I47/1000)</f>
        <v>0</v>
      </c>
      <c r="O47" s="21">
        <f>IF(ISERROR(VLOOKUP($F47,#REF!,6,0)*J47/1000),0,VLOOKUP($F47,#REF!,6,0)*J47/1000)</f>
        <v>0</v>
      </c>
      <c r="P47" s="21">
        <f>IF(ISERROR(VLOOKUP(F47,#REF!,6,0)*K47/1000),0,VLOOKUP(F47,#REF!,6,0)*K47/1000)</f>
        <v>0</v>
      </c>
      <c r="Q47" s="6">
        <f>IF(ISERROR(VLOOKUP(F47,#REF!,3,0)),0,VLOOKUP(F47,#REF!,3,0))</f>
        <v>0</v>
      </c>
      <c r="R47" s="6">
        <f>IF(ISERROR(VLOOKUP(F47,#REF!,4,0)),0,VLOOKUP(F47,#REF!,4,0))</f>
        <v>0</v>
      </c>
      <c r="S47" s="8">
        <f>IF(ISERROR(VLOOKUP(F47,#REF!,4,0)),0,VLOOKUP(F47,#REF!,10,0)/60*K47)</f>
        <v>0</v>
      </c>
      <c r="T47" s="3"/>
      <c r="U47" s="3"/>
      <c r="V47" s="4"/>
    </row>
    <row r="48" spans="1:22" x14ac:dyDescent="0.3">
      <c r="A48" s="5">
        <f t="shared" si="1"/>
        <v>2019</v>
      </c>
      <c r="B48" s="6" t="str">
        <f t="shared" si="2"/>
        <v>SETEMBRO</v>
      </c>
      <c r="C48" s="13">
        <v>43713</v>
      </c>
      <c r="D48" s="26"/>
      <c r="E48" s="19">
        <v>1</v>
      </c>
      <c r="F48" s="15">
        <v>50</v>
      </c>
      <c r="G48" s="17">
        <v>1716</v>
      </c>
      <c r="H48" s="17">
        <v>120</v>
      </c>
      <c r="I48" s="17">
        <v>600</v>
      </c>
      <c r="K48" s="18">
        <f t="shared" si="0"/>
        <v>2436</v>
      </c>
      <c r="L48" s="21">
        <f>IF(ISERROR(VLOOKUP($F48,#REF!,6,0)*G48/1000),0,VLOOKUP($F48,#REF!,6,0)*G48/1000)</f>
        <v>0</v>
      </c>
      <c r="M48" s="21">
        <f>IF(ISERROR(VLOOKUP($F48,#REF!,6,0)*H48/1000),0,VLOOKUP($F48,#REF!,6,0)*H48/1000)</f>
        <v>0</v>
      </c>
      <c r="N48" s="21">
        <f>IF(ISERROR(VLOOKUP($F48,#REF!,6,0)*I48/1000),0,VLOOKUP($F48,#REF!,6,0)*I48/1000)</f>
        <v>0</v>
      </c>
      <c r="O48" s="21">
        <f>IF(ISERROR(VLOOKUP($F48,#REF!,6,0)*J48/1000),0,VLOOKUP($F48,#REF!,6,0)*J48/1000)</f>
        <v>0</v>
      </c>
      <c r="P48" s="21">
        <f>IF(ISERROR(VLOOKUP(F48,#REF!,6,0)*K48/1000),0,VLOOKUP(F48,#REF!,6,0)*K48/1000)</f>
        <v>0</v>
      </c>
      <c r="Q48" s="6">
        <f>IF(ISERROR(VLOOKUP(F48,#REF!,3,0)),0,VLOOKUP(F48,#REF!,3,0))</f>
        <v>0</v>
      </c>
      <c r="R48" s="6">
        <f>IF(ISERROR(VLOOKUP(F48,#REF!,4,0)),0,VLOOKUP(F48,#REF!,4,0))</f>
        <v>0</v>
      </c>
      <c r="S48" s="8">
        <f>IF(ISERROR(VLOOKUP(F48,#REF!,4,0)),0,VLOOKUP(F48,#REF!,10,0)/60*K48)</f>
        <v>0</v>
      </c>
      <c r="T48" s="3"/>
      <c r="U48" s="3"/>
      <c r="V48" s="4"/>
    </row>
    <row r="49" spans="1:22" x14ac:dyDescent="0.3">
      <c r="A49" s="5">
        <f t="shared" si="1"/>
        <v>2019</v>
      </c>
      <c r="B49" s="6" t="str">
        <f t="shared" si="2"/>
        <v>SETEMBRO</v>
      </c>
      <c r="C49" s="13">
        <v>43713</v>
      </c>
      <c r="D49" s="26"/>
      <c r="E49" s="19">
        <v>1</v>
      </c>
      <c r="F49" s="15">
        <v>49</v>
      </c>
      <c r="G49" s="17">
        <v>425</v>
      </c>
      <c r="K49" s="18">
        <f t="shared" si="0"/>
        <v>425</v>
      </c>
      <c r="L49" s="21">
        <f>IF(ISERROR(VLOOKUP($F49,#REF!,6,0)*G49/1000),0,VLOOKUP($F49,#REF!,6,0)*G49/1000)</f>
        <v>0</v>
      </c>
      <c r="M49" s="21">
        <f>IF(ISERROR(VLOOKUP($F49,#REF!,6,0)*H49/1000),0,VLOOKUP($F49,#REF!,6,0)*H49/1000)</f>
        <v>0</v>
      </c>
      <c r="N49" s="21">
        <f>IF(ISERROR(VLOOKUP($F49,#REF!,6,0)*I49/1000),0,VLOOKUP($F49,#REF!,6,0)*I49/1000)</f>
        <v>0</v>
      </c>
      <c r="O49" s="21">
        <f>IF(ISERROR(VLOOKUP($F49,#REF!,6,0)*J49/1000),0,VLOOKUP($F49,#REF!,6,0)*J49/1000)</f>
        <v>0</v>
      </c>
      <c r="P49" s="21">
        <f>IF(ISERROR(VLOOKUP(F49,#REF!,6,0)*K49/1000),0,VLOOKUP(F49,#REF!,6,0)*K49/1000)</f>
        <v>0</v>
      </c>
      <c r="Q49" s="6">
        <f>IF(ISERROR(VLOOKUP(F49,#REF!,3,0)),0,VLOOKUP(F49,#REF!,3,0))</f>
        <v>0</v>
      </c>
      <c r="R49" s="6">
        <f>IF(ISERROR(VLOOKUP(F49,#REF!,4,0)),0,VLOOKUP(F49,#REF!,4,0))</f>
        <v>0</v>
      </c>
      <c r="S49" s="8">
        <f>IF(ISERROR(VLOOKUP(F49,#REF!,4,0)),0,VLOOKUP(F49,#REF!,10,0)/60*K49)</f>
        <v>0</v>
      </c>
      <c r="T49" s="3"/>
      <c r="U49" s="3"/>
      <c r="V49" s="4"/>
    </row>
    <row r="50" spans="1:22" x14ac:dyDescent="0.3">
      <c r="A50" s="5">
        <f t="shared" si="1"/>
        <v>2019</v>
      </c>
      <c r="B50" s="6" t="str">
        <f t="shared" si="2"/>
        <v>SETEMBRO</v>
      </c>
      <c r="C50" s="13">
        <v>43713</v>
      </c>
      <c r="D50" s="26"/>
      <c r="E50" s="19">
        <v>1</v>
      </c>
      <c r="F50" s="15">
        <v>46</v>
      </c>
      <c r="G50" s="17">
        <v>189</v>
      </c>
      <c r="H50" s="17">
        <v>88</v>
      </c>
      <c r="I50" s="17">
        <v>23</v>
      </c>
      <c r="K50" s="18">
        <f t="shared" si="0"/>
        <v>300</v>
      </c>
      <c r="L50" s="21">
        <f>IF(ISERROR(VLOOKUP($F50,#REF!,6,0)*G50/1000),0,VLOOKUP($F50,#REF!,6,0)*G50/1000)</f>
        <v>0</v>
      </c>
      <c r="M50" s="21">
        <f>IF(ISERROR(VLOOKUP($F50,#REF!,6,0)*H50/1000),0,VLOOKUP($F50,#REF!,6,0)*H50/1000)</f>
        <v>0</v>
      </c>
      <c r="N50" s="21">
        <f>IF(ISERROR(VLOOKUP($F50,#REF!,6,0)*I50/1000),0,VLOOKUP($F50,#REF!,6,0)*I50/1000)</f>
        <v>0</v>
      </c>
      <c r="O50" s="21">
        <f>IF(ISERROR(VLOOKUP($F50,#REF!,6,0)*J50/1000),0,VLOOKUP($F50,#REF!,6,0)*J50/1000)</f>
        <v>0</v>
      </c>
      <c r="P50" s="21">
        <f>IF(ISERROR(VLOOKUP(F50,#REF!,6,0)*K50/1000),0,VLOOKUP(F50,#REF!,6,0)*K50/1000)</f>
        <v>0</v>
      </c>
      <c r="Q50" s="6">
        <f>IF(ISERROR(VLOOKUP(F50,#REF!,3,0)),0,VLOOKUP(F50,#REF!,3,0))</f>
        <v>0</v>
      </c>
      <c r="R50" s="6">
        <f>IF(ISERROR(VLOOKUP(F50,#REF!,4,0)),0,VLOOKUP(F50,#REF!,4,0))</f>
        <v>0</v>
      </c>
      <c r="S50" s="8">
        <f>IF(ISERROR(VLOOKUP(F50,#REF!,4,0)),0,VLOOKUP(F50,#REF!,10,0)/60*K50)</f>
        <v>0</v>
      </c>
      <c r="T50" s="3"/>
      <c r="U50" s="3"/>
      <c r="V50" s="4"/>
    </row>
    <row r="51" spans="1:22" x14ac:dyDescent="0.3">
      <c r="A51" s="5">
        <f t="shared" si="1"/>
        <v>2019</v>
      </c>
      <c r="B51" s="6" t="str">
        <f t="shared" si="2"/>
        <v>SETEMBRO</v>
      </c>
      <c r="C51" s="13">
        <v>43713</v>
      </c>
      <c r="D51" s="26"/>
      <c r="E51" s="19">
        <v>1</v>
      </c>
      <c r="F51" s="15">
        <v>51</v>
      </c>
      <c r="G51" s="17">
        <v>1149</v>
      </c>
      <c r="H51" s="17">
        <v>200</v>
      </c>
      <c r="I51" s="17">
        <v>400</v>
      </c>
      <c r="K51" s="18">
        <f t="shared" si="0"/>
        <v>1749</v>
      </c>
      <c r="L51" s="21">
        <f>IF(ISERROR(VLOOKUP($F51,#REF!,6,0)*G51/1000),0,VLOOKUP($F51,#REF!,6,0)*G51/1000)</f>
        <v>0</v>
      </c>
      <c r="M51" s="21">
        <f>IF(ISERROR(VLOOKUP($F51,#REF!,6,0)*H51/1000),0,VLOOKUP($F51,#REF!,6,0)*H51/1000)</f>
        <v>0</v>
      </c>
      <c r="N51" s="21">
        <f>IF(ISERROR(VLOOKUP($F51,#REF!,6,0)*I51/1000),0,VLOOKUP($F51,#REF!,6,0)*I51/1000)</f>
        <v>0</v>
      </c>
      <c r="O51" s="21">
        <f>IF(ISERROR(VLOOKUP($F51,#REF!,6,0)*J51/1000),0,VLOOKUP($F51,#REF!,6,0)*J51/1000)</f>
        <v>0</v>
      </c>
      <c r="P51" s="21">
        <f>IF(ISERROR(VLOOKUP(F51,#REF!,6,0)*K51/1000),0,VLOOKUP(F51,#REF!,6,0)*K51/1000)</f>
        <v>0</v>
      </c>
      <c r="Q51" s="6">
        <f>IF(ISERROR(VLOOKUP(F51,#REF!,3,0)),0,VLOOKUP(F51,#REF!,3,0))</f>
        <v>0</v>
      </c>
      <c r="R51" s="6">
        <f>IF(ISERROR(VLOOKUP(F51,#REF!,4,0)),0,VLOOKUP(F51,#REF!,4,0))</f>
        <v>0</v>
      </c>
      <c r="S51" s="8">
        <f>IF(ISERROR(VLOOKUP(F51,#REF!,4,0)),0,VLOOKUP(F51,#REF!,10,0)/60*K51)</f>
        <v>0</v>
      </c>
      <c r="T51" s="3"/>
      <c r="U51" s="3"/>
      <c r="V51" s="4"/>
    </row>
    <row r="52" spans="1:22" x14ac:dyDescent="0.3">
      <c r="A52" s="5">
        <f t="shared" si="1"/>
        <v>2019</v>
      </c>
      <c r="B52" s="6" t="str">
        <f t="shared" si="2"/>
        <v>SETEMBRO</v>
      </c>
      <c r="C52" s="13">
        <v>43713</v>
      </c>
      <c r="D52" s="26"/>
      <c r="E52" s="19">
        <v>2</v>
      </c>
      <c r="F52" s="15">
        <v>50</v>
      </c>
      <c r="G52" s="17">
        <v>1235</v>
      </c>
      <c r="H52" s="17">
        <v>1218</v>
      </c>
      <c r="K52" s="18">
        <f t="shared" si="0"/>
        <v>2453</v>
      </c>
      <c r="L52" s="21">
        <f>IF(ISERROR(VLOOKUP($F52,#REF!,6,0)*G52/1000),0,VLOOKUP($F52,#REF!,6,0)*G52/1000)</f>
        <v>0</v>
      </c>
      <c r="M52" s="21">
        <f>IF(ISERROR(VLOOKUP($F52,#REF!,6,0)*H52/1000),0,VLOOKUP($F52,#REF!,6,0)*H52/1000)</f>
        <v>0</v>
      </c>
      <c r="N52" s="21">
        <f>IF(ISERROR(VLOOKUP($F52,#REF!,6,0)*I52/1000),0,VLOOKUP($F52,#REF!,6,0)*I52/1000)</f>
        <v>0</v>
      </c>
      <c r="O52" s="21">
        <f>IF(ISERROR(VLOOKUP($F52,#REF!,6,0)*J52/1000),0,VLOOKUP($F52,#REF!,6,0)*J52/1000)</f>
        <v>0</v>
      </c>
      <c r="P52" s="21">
        <f>IF(ISERROR(VLOOKUP(F52,#REF!,6,0)*K52/1000),0,VLOOKUP(F52,#REF!,6,0)*K52/1000)</f>
        <v>0</v>
      </c>
      <c r="Q52" s="6">
        <f>IF(ISERROR(VLOOKUP(F52,#REF!,3,0)),0,VLOOKUP(F52,#REF!,3,0))</f>
        <v>0</v>
      </c>
      <c r="R52" s="6">
        <f>IF(ISERROR(VLOOKUP(F52,#REF!,4,0)),0,VLOOKUP(F52,#REF!,4,0))</f>
        <v>0</v>
      </c>
      <c r="S52" s="8">
        <f>IF(ISERROR(VLOOKUP(F52,#REF!,4,0)),0,VLOOKUP(F52,#REF!,10,0)/60*K52)</f>
        <v>0</v>
      </c>
      <c r="T52" s="3"/>
      <c r="U52" s="3"/>
      <c r="V52" s="4"/>
    </row>
    <row r="53" spans="1:22" x14ac:dyDescent="0.3">
      <c r="A53" s="5">
        <f t="shared" si="1"/>
        <v>2019</v>
      </c>
      <c r="B53" s="6" t="str">
        <f t="shared" si="2"/>
        <v>SETEMBRO</v>
      </c>
      <c r="C53" s="13">
        <v>43713</v>
      </c>
      <c r="D53" s="26"/>
      <c r="E53" s="19">
        <v>2</v>
      </c>
      <c r="F53" s="15">
        <v>49</v>
      </c>
      <c r="G53" s="17">
        <v>466</v>
      </c>
      <c r="H53" s="17">
        <v>350</v>
      </c>
      <c r="K53" s="18">
        <f t="shared" si="0"/>
        <v>816</v>
      </c>
      <c r="L53" s="21">
        <f>IF(ISERROR(VLOOKUP($F53,#REF!,6,0)*G53/1000),0,VLOOKUP($F53,#REF!,6,0)*G53/1000)</f>
        <v>0</v>
      </c>
      <c r="M53" s="21">
        <f>IF(ISERROR(VLOOKUP($F53,#REF!,6,0)*H53/1000),0,VLOOKUP($F53,#REF!,6,0)*H53/1000)</f>
        <v>0</v>
      </c>
      <c r="N53" s="21">
        <f>IF(ISERROR(VLOOKUP($F53,#REF!,6,0)*I53/1000),0,VLOOKUP($F53,#REF!,6,0)*I53/1000)</f>
        <v>0</v>
      </c>
      <c r="O53" s="21">
        <f>IF(ISERROR(VLOOKUP($F53,#REF!,6,0)*J53/1000),0,VLOOKUP($F53,#REF!,6,0)*J53/1000)</f>
        <v>0</v>
      </c>
      <c r="P53" s="21">
        <f>IF(ISERROR(VLOOKUP(F53,#REF!,6,0)*K53/1000),0,VLOOKUP(F53,#REF!,6,0)*K53/1000)</f>
        <v>0</v>
      </c>
      <c r="Q53" s="6">
        <f>IF(ISERROR(VLOOKUP(F53,#REF!,3,0)),0,VLOOKUP(F53,#REF!,3,0))</f>
        <v>0</v>
      </c>
      <c r="R53" s="6">
        <f>IF(ISERROR(VLOOKUP(F53,#REF!,4,0)),0,VLOOKUP(F53,#REF!,4,0))</f>
        <v>0</v>
      </c>
      <c r="S53" s="8">
        <f>IF(ISERROR(VLOOKUP(F53,#REF!,4,0)),0,VLOOKUP(F53,#REF!,10,0)/60*K53)</f>
        <v>0</v>
      </c>
      <c r="T53" s="3"/>
      <c r="U53" s="3"/>
      <c r="V53" s="4"/>
    </row>
    <row r="54" spans="1:22" x14ac:dyDescent="0.3">
      <c r="A54" s="5">
        <f t="shared" si="1"/>
        <v>2019</v>
      </c>
      <c r="B54" s="6" t="str">
        <f t="shared" si="2"/>
        <v>SETEMBRO</v>
      </c>
      <c r="C54" s="13">
        <v>43713</v>
      </c>
      <c r="D54" s="26"/>
      <c r="E54" s="19">
        <v>3</v>
      </c>
      <c r="F54" s="15">
        <v>33</v>
      </c>
      <c r="G54" s="17">
        <v>4032</v>
      </c>
      <c r="H54" s="17">
        <v>400</v>
      </c>
      <c r="I54" s="17">
        <v>65</v>
      </c>
      <c r="J54" s="17">
        <v>600</v>
      </c>
      <c r="K54" s="18">
        <f t="shared" si="0"/>
        <v>5097</v>
      </c>
      <c r="L54" s="21">
        <f>IF(ISERROR(VLOOKUP($F54,#REF!,6,0)*G54/1000),0,VLOOKUP($F54,#REF!,6,0)*G54/1000)</f>
        <v>0</v>
      </c>
      <c r="M54" s="21">
        <f>IF(ISERROR(VLOOKUP($F54,#REF!,6,0)*H54/1000),0,VLOOKUP($F54,#REF!,6,0)*H54/1000)</f>
        <v>0</v>
      </c>
      <c r="N54" s="21">
        <f>IF(ISERROR(VLOOKUP($F54,#REF!,6,0)*I54/1000),0,VLOOKUP($F54,#REF!,6,0)*I54/1000)</f>
        <v>0</v>
      </c>
      <c r="O54" s="21">
        <f>IF(ISERROR(VLOOKUP($F54,#REF!,6,0)*J54/1000),0,VLOOKUP($F54,#REF!,6,0)*J54/1000)</f>
        <v>0</v>
      </c>
      <c r="P54" s="21">
        <f>IF(ISERROR(VLOOKUP(F54,#REF!,6,0)*K54/1000),0,VLOOKUP(F54,#REF!,6,0)*K54/1000)</f>
        <v>0</v>
      </c>
      <c r="Q54" s="6">
        <f>IF(ISERROR(VLOOKUP(F54,#REF!,3,0)),0,VLOOKUP(F54,#REF!,3,0))</f>
        <v>0</v>
      </c>
      <c r="R54" s="6">
        <f>IF(ISERROR(VLOOKUP(F54,#REF!,4,0)),0,VLOOKUP(F54,#REF!,4,0))</f>
        <v>0</v>
      </c>
      <c r="S54" s="8">
        <f>IF(ISERROR(VLOOKUP(F54,#REF!,4,0)),0,VLOOKUP(F54,#REF!,10,0)/60*K54)</f>
        <v>0</v>
      </c>
      <c r="T54" s="3"/>
      <c r="U54" s="3"/>
      <c r="V54" s="4"/>
    </row>
    <row r="55" spans="1:22" x14ac:dyDescent="0.3">
      <c r="A55" s="5">
        <f t="shared" si="1"/>
        <v>2019</v>
      </c>
      <c r="B55" s="6" t="str">
        <f t="shared" si="2"/>
        <v>SETEMBRO</v>
      </c>
      <c r="C55" s="13">
        <v>43713</v>
      </c>
      <c r="D55" s="26"/>
      <c r="E55" s="19">
        <v>3</v>
      </c>
      <c r="F55" s="15">
        <v>8</v>
      </c>
      <c r="G55" s="17">
        <v>226</v>
      </c>
      <c r="H55" s="17">
        <v>8</v>
      </c>
      <c r="I55" s="17">
        <v>10</v>
      </c>
      <c r="J55" s="17">
        <v>20</v>
      </c>
      <c r="K55" s="18">
        <f t="shared" si="0"/>
        <v>264</v>
      </c>
      <c r="L55" s="21">
        <f>IF(ISERROR(VLOOKUP($F55,#REF!,6,0)*G55/1000),0,VLOOKUP($F55,#REF!,6,0)*G55/1000)</f>
        <v>0</v>
      </c>
      <c r="M55" s="21">
        <f>IF(ISERROR(VLOOKUP($F55,#REF!,6,0)*H55/1000),0,VLOOKUP($F55,#REF!,6,0)*H55/1000)</f>
        <v>0</v>
      </c>
      <c r="N55" s="21">
        <f>IF(ISERROR(VLOOKUP($F55,#REF!,6,0)*I55/1000),0,VLOOKUP($F55,#REF!,6,0)*I55/1000)</f>
        <v>0</v>
      </c>
      <c r="O55" s="21">
        <f>IF(ISERROR(VLOOKUP($F55,#REF!,6,0)*J55/1000),0,VLOOKUP($F55,#REF!,6,0)*J55/1000)</f>
        <v>0</v>
      </c>
      <c r="P55" s="21">
        <f>IF(ISERROR(VLOOKUP(F55,#REF!,6,0)*K55/1000),0,VLOOKUP(F55,#REF!,6,0)*K55/1000)</f>
        <v>0</v>
      </c>
      <c r="Q55" s="6">
        <f>IF(ISERROR(VLOOKUP(F55,#REF!,3,0)),0,VLOOKUP(F55,#REF!,3,0))</f>
        <v>0</v>
      </c>
      <c r="R55" s="6">
        <f>IF(ISERROR(VLOOKUP(F55,#REF!,4,0)),0,VLOOKUP(F55,#REF!,4,0))</f>
        <v>0</v>
      </c>
      <c r="S55" s="8">
        <f>IF(ISERROR(VLOOKUP(F55,#REF!,4,0)),0,VLOOKUP(F55,#REF!,10,0)/60*K55)</f>
        <v>0</v>
      </c>
      <c r="T55" s="3"/>
      <c r="U55" s="3"/>
      <c r="V55" s="4"/>
    </row>
    <row r="56" spans="1:22" x14ac:dyDescent="0.3">
      <c r="A56" s="5">
        <f t="shared" si="1"/>
        <v>2019</v>
      </c>
      <c r="B56" s="6" t="str">
        <f t="shared" si="2"/>
        <v>SETEMBRO</v>
      </c>
      <c r="C56" s="13">
        <v>43714</v>
      </c>
      <c r="D56" s="26"/>
      <c r="E56" s="19">
        <v>1</v>
      </c>
      <c r="F56" s="15">
        <v>3</v>
      </c>
      <c r="G56" s="17">
        <v>216</v>
      </c>
      <c r="I56" s="17">
        <v>5</v>
      </c>
      <c r="J56" s="17">
        <v>150</v>
      </c>
      <c r="K56" s="18">
        <f t="shared" si="0"/>
        <v>371</v>
      </c>
      <c r="L56" s="21">
        <f>IF(ISERROR(VLOOKUP($F56,#REF!,6,0)*G56/1000),0,VLOOKUP($F56,#REF!,6,0)*G56/1000)</f>
        <v>0</v>
      </c>
      <c r="M56" s="21">
        <f>IF(ISERROR(VLOOKUP($F56,#REF!,6,0)*H56/1000),0,VLOOKUP($F56,#REF!,6,0)*H56/1000)</f>
        <v>0</v>
      </c>
      <c r="N56" s="21">
        <f>IF(ISERROR(VLOOKUP($F56,#REF!,6,0)*I56/1000),0,VLOOKUP($F56,#REF!,6,0)*I56/1000)</f>
        <v>0</v>
      </c>
      <c r="O56" s="21">
        <f>IF(ISERROR(VLOOKUP($F56,#REF!,6,0)*J56/1000),0,VLOOKUP($F56,#REF!,6,0)*J56/1000)</f>
        <v>0</v>
      </c>
      <c r="P56" s="21">
        <f>IF(ISERROR(VLOOKUP(F56,#REF!,6,0)*K56/1000),0,VLOOKUP(F56,#REF!,6,0)*K56/1000)</f>
        <v>0</v>
      </c>
      <c r="Q56" s="6">
        <f>IF(ISERROR(VLOOKUP(F56,#REF!,3,0)),0,VLOOKUP(F56,#REF!,3,0))</f>
        <v>0</v>
      </c>
      <c r="R56" s="6">
        <f>IF(ISERROR(VLOOKUP(F56,#REF!,4,0)),0,VLOOKUP(F56,#REF!,4,0))</f>
        <v>0</v>
      </c>
      <c r="S56" s="8">
        <f>IF(ISERROR(VLOOKUP(F56,#REF!,4,0)),0,VLOOKUP(F56,#REF!,10,0)/60*K56)</f>
        <v>0</v>
      </c>
      <c r="T56" s="3"/>
      <c r="U56" s="3"/>
      <c r="V56" s="4"/>
    </row>
    <row r="57" spans="1:22" x14ac:dyDescent="0.3">
      <c r="A57" s="5">
        <f t="shared" si="1"/>
        <v>2019</v>
      </c>
      <c r="B57" s="6" t="str">
        <f t="shared" si="2"/>
        <v>SETEMBRO</v>
      </c>
      <c r="C57" s="13">
        <v>43714</v>
      </c>
      <c r="D57" s="26"/>
      <c r="E57" s="19">
        <v>1</v>
      </c>
      <c r="F57" s="15">
        <v>33</v>
      </c>
      <c r="G57" s="17">
        <v>576</v>
      </c>
      <c r="H57" s="17">
        <v>250</v>
      </c>
      <c r="I57" s="17">
        <v>30</v>
      </c>
      <c r="J57" s="17">
        <v>250</v>
      </c>
      <c r="K57" s="18">
        <f t="shared" si="0"/>
        <v>1106</v>
      </c>
      <c r="L57" s="21">
        <f>IF(ISERROR(VLOOKUP($F57,#REF!,6,0)*G57/1000),0,VLOOKUP($F57,#REF!,6,0)*G57/1000)</f>
        <v>0</v>
      </c>
      <c r="M57" s="21">
        <f>IF(ISERROR(VLOOKUP($F57,#REF!,6,0)*H57/1000),0,VLOOKUP($F57,#REF!,6,0)*H57/1000)</f>
        <v>0</v>
      </c>
      <c r="N57" s="21">
        <f>IF(ISERROR(VLOOKUP($F57,#REF!,6,0)*I57/1000),0,VLOOKUP($F57,#REF!,6,0)*I57/1000)</f>
        <v>0</v>
      </c>
      <c r="O57" s="21">
        <f>IF(ISERROR(VLOOKUP($F57,#REF!,6,0)*J57/1000),0,VLOOKUP($F57,#REF!,6,0)*J57/1000)</f>
        <v>0</v>
      </c>
      <c r="P57" s="21">
        <f>IF(ISERROR(VLOOKUP(F57,#REF!,6,0)*K57/1000),0,VLOOKUP(F57,#REF!,6,0)*K57/1000)</f>
        <v>0</v>
      </c>
      <c r="Q57" s="6">
        <f>IF(ISERROR(VLOOKUP(F57,#REF!,3,0)),0,VLOOKUP(F57,#REF!,3,0))</f>
        <v>0</v>
      </c>
      <c r="R57" s="6">
        <f>IF(ISERROR(VLOOKUP(F57,#REF!,4,0)),0,VLOOKUP(F57,#REF!,4,0))</f>
        <v>0</v>
      </c>
      <c r="S57" s="8">
        <f>IF(ISERROR(VLOOKUP(F57,#REF!,4,0)),0,VLOOKUP(F57,#REF!,10,0)/60*K57)</f>
        <v>0</v>
      </c>
      <c r="T57" s="3"/>
      <c r="U57" s="3"/>
      <c r="V57" s="4"/>
    </row>
    <row r="58" spans="1:22" x14ac:dyDescent="0.3">
      <c r="A58" s="5">
        <f t="shared" si="1"/>
        <v>2019</v>
      </c>
      <c r="B58" s="6" t="str">
        <f t="shared" si="2"/>
        <v>SETEMBRO</v>
      </c>
      <c r="C58" s="13">
        <v>43714</v>
      </c>
      <c r="D58" s="26"/>
      <c r="E58" s="19">
        <v>1</v>
      </c>
      <c r="F58" s="15">
        <v>8</v>
      </c>
      <c r="G58" s="17">
        <v>21</v>
      </c>
      <c r="I58" s="17">
        <v>2</v>
      </c>
      <c r="J58" s="17">
        <v>3</v>
      </c>
      <c r="K58" s="18">
        <f t="shared" si="0"/>
        <v>26</v>
      </c>
      <c r="L58" s="21">
        <f>IF(ISERROR(VLOOKUP($F58,#REF!,6,0)*G58/1000),0,VLOOKUP($F58,#REF!,6,0)*G58/1000)</f>
        <v>0</v>
      </c>
      <c r="M58" s="21">
        <f>IF(ISERROR(VLOOKUP($F58,#REF!,6,0)*H58/1000),0,VLOOKUP($F58,#REF!,6,0)*H58/1000)</f>
        <v>0</v>
      </c>
      <c r="N58" s="21">
        <f>IF(ISERROR(VLOOKUP($F58,#REF!,6,0)*I58/1000),0,VLOOKUP($F58,#REF!,6,0)*I58/1000)</f>
        <v>0</v>
      </c>
      <c r="O58" s="21">
        <f>IF(ISERROR(VLOOKUP($F58,#REF!,6,0)*J58/1000),0,VLOOKUP($F58,#REF!,6,0)*J58/1000)</f>
        <v>0</v>
      </c>
      <c r="P58" s="21">
        <f>IF(ISERROR(VLOOKUP(F58,#REF!,6,0)*K58/1000),0,VLOOKUP(F58,#REF!,6,0)*K58/1000)</f>
        <v>0</v>
      </c>
      <c r="Q58" s="6">
        <f>IF(ISERROR(VLOOKUP(F58,#REF!,3,0)),0,VLOOKUP(F58,#REF!,3,0))</f>
        <v>0</v>
      </c>
      <c r="R58" s="6">
        <f>IF(ISERROR(VLOOKUP(F58,#REF!,4,0)),0,VLOOKUP(F58,#REF!,4,0))</f>
        <v>0</v>
      </c>
      <c r="S58" s="8">
        <f>IF(ISERROR(VLOOKUP(F58,#REF!,4,0)),0,VLOOKUP(F58,#REF!,10,0)/60*K58)</f>
        <v>0</v>
      </c>
      <c r="T58" s="3"/>
      <c r="U58" s="3"/>
      <c r="V58" s="4"/>
    </row>
    <row r="59" spans="1:22" x14ac:dyDescent="0.3">
      <c r="A59" s="5">
        <f t="shared" si="1"/>
        <v>2019</v>
      </c>
      <c r="B59" s="6" t="str">
        <f t="shared" si="2"/>
        <v>SETEMBRO</v>
      </c>
      <c r="C59" s="13">
        <v>43714</v>
      </c>
      <c r="D59" s="26"/>
      <c r="E59" s="19">
        <v>1</v>
      </c>
      <c r="F59" s="15">
        <v>9</v>
      </c>
      <c r="G59" s="17">
        <v>160</v>
      </c>
      <c r="I59" s="17">
        <v>5</v>
      </c>
      <c r="J59" s="17">
        <v>5</v>
      </c>
      <c r="K59" s="18">
        <f t="shared" si="0"/>
        <v>170</v>
      </c>
      <c r="L59" s="21">
        <f>IF(ISERROR(VLOOKUP($F59,#REF!,6,0)*G59/1000),0,VLOOKUP($F59,#REF!,6,0)*G59/1000)</f>
        <v>0</v>
      </c>
      <c r="M59" s="21">
        <f>IF(ISERROR(VLOOKUP($F59,#REF!,6,0)*H59/1000),0,VLOOKUP($F59,#REF!,6,0)*H59/1000)</f>
        <v>0</v>
      </c>
      <c r="N59" s="21">
        <f>IF(ISERROR(VLOOKUP($F59,#REF!,6,0)*I59/1000),0,VLOOKUP($F59,#REF!,6,0)*I59/1000)</f>
        <v>0</v>
      </c>
      <c r="O59" s="21">
        <f>IF(ISERROR(VLOOKUP($F59,#REF!,6,0)*J59/1000),0,VLOOKUP($F59,#REF!,6,0)*J59/1000)</f>
        <v>0</v>
      </c>
      <c r="P59" s="21">
        <f>IF(ISERROR(VLOOKUP(F59,#REF!,6,0)*K59/1000),0,VLOOKUP(F59,#REF!,6,0)*K59/1000)</f>
        <v>0</v>
      </c>
      <c r="Q59" s="6">
        <f>IF(ISERROR(VLOOKUP(F59,#REF!,3,0)),0,VLOOKUP(F59,#REF!,3,0))</f>
        <v>0</v>
      </c>
      <c r="R59" s="6">
        <f>IF(ISERROR(VLOOKUP(F59,#REF!,4,0)),0,VLOOKUP(F59,#REF!,4,0))</f>
        <v>0</v>
      </c>
      <c r="S59" s="8">
        <f>IF(ISERROR(VLOOKUP(F59,#REF!,4,0)),0,VLOOKUP(F59,#REF!,10,0)/60*K59)</f>
        <v>0</v>
      </c>
      <c r="T59" s="3"/>
      <c r="U59" s="3"/>
      <c r="V59" s="4"/>
    </row>
    <row r="60" spans="1:22" x14ac:dyDescent="0.3">
      <c r="A60" s="5">
        <f t="shared" si="1"/>
        <v>2019</v>
      </c>
      <c r="B60" s="6" t="str">
        <f t="shared" si="2"/>
        <v>SETEMBRO</v>
      </c>
      <c r="C60" s="13">
        <v>43714</v>
      </c>
      <c r="D60" s="26"/>
      <c r="E60" s="19">
        <v>2</v>
      </c>
      <c r="F60" s="15">
        <v>3</v>
      </c>
      <c r="G60" s="17">
        <v>216</v>
      </c>
      <c r="I60" s="17">
        <v>4</v>
      </c>
      <c r="J60" s="17">
        <v>50</v>
      </c>
      <c r="K60" s="18">
        <f t="shared" si="0"/>
        <v>270</v>
      </c>
      <c r="L60" s="21">
        <f>IF(ISERROR(VLOOKUP($F60,#REF!,6,0)*G60/1000),0,VLOOKUP($F60,#REF!,6,0)*G60/1000)</f>
        <v>0</v>
      </c>
      <c r="M60" s="21">
        <f>IF(ISERROR(VLOOKUP($F60,#REF!,6,0)*H60/1000),0,VLOOKUP($F60,#REF!,6,0)*H60/1000)</f>
        <v>0</v>
      </c>
      <c r="N60" s="21">
        <f>IF(ISERROR(VLOOKUP($F60,#REF!,6,0)*I60/1000),0,VLOOKUP($F60,#REF!,6,0)*I60/1000)</f>
        <v>0</v>
      </c>
      <c r="O60" s="21">
        <f>IF(ISERROR(VLOOKUP($F60,#REF!,6,0)*J60/1000),0,VLOOKUP($F60,#REF!,6,0)*J60/1000)</f>
        <v>0</v>
      </c>
      <c r="P60" s="21">
        <f>IF(ISERROR(VLOOKUP(F60,#REF!,6,0)*K60/1000),0,VLOOKUP(F60,#REF!,6,0)*K60/1000)</f>
        <v>0</v>
      </c>
      <c r="Q60" s="6">
        <f>IF(ISERROR(VLOOKUP(F60,#REF!,3,0)),0,VLOOKUP(F60,#REF!,3,0))</f>
        <v>0</v>
      </c>
      <c r="R60" s="6">
        <f>IF(ISERROR(VLOOKUP(F60,#REF!,4,0)),0,VLOOKUP(F60,#REF!,4,0))</f>
        <v>0</v>
      </c>
      <c r="S60" s="8">
        <f>IF(ISERROR(VLOOKUP(F60,#REF!,4,0)),0,VLOOKUP(F60,#REF!,10,0)/60*K60)</f>
        <v>0</v>
      </c>
      <c r="T60" s="3"/>
      <c r="U60" s="3"/>
      <c r="V60" s="4"/>
    </row>
    <row r="61" spans="1:22" x14ac:dyDescent="0.3">
      <c r="A61" s="5">
        <f t="shared" si="1"/>
        <v>2019</v>
      </c>
      <c r="B61" s="6" t="str">
        <f t="shared" si="2"/>
        <v>SETEMBRO</v>
      </c>
      <c r="C61" s="13">
        <v>43714</v>
      </c>
      <c r="D61" s="26"/>
      <c r="E61" s="19">
        <v>2</v>
      </c>
      <c r="F61" s="15">
        <v>9</v>
      </c>
      <c r="G61" s="17">
        <v>234</v>
      </c>
      <c r="H61" s="17">
        <v>80</v>
      </c>
      <c r="I61" s="17">
        <v>7</v>
      </c>
      <c r="J61" s="17">
        <v>5</v>
      </c>
      <c r="K61" s="18">
        <f t="shared" si="0"/>
        <v>326</v>
      </c>
      <c r="L61" s="21">
        <f>IF(ISERROR(VLOOKUP($F61,#REF!,6,0)*G61/1000),0,VLOOKUP($F61,#REF!,6,0)*G61/1000)</f>
        <v>0</v>
      </c>
      <c r="M61" s="21">
        <f>IF(ISERROR(VLOOKUP($F61,#REF!,6,0)*H61/1000),0,VLOOKUP($F61,#REF!,6,0)*H61/1000)</f>
        <v>0</v>
      </c>
      <c r="N61" s="21">
        <f>IF(ISERROR(VLOOKUP($F61,#REF!,6,0)*I61/1000),0,VLOOKUP($F61,#REF!,6,0)*I61/1000)</f>
        <v>0</v>
      </c>
      <c r="O61" s="21">
        <f>IF(ISERROR(VLOOKUP($F61,#REF!,6,0)*J61/1000),0,VLOOKUP($F61,#REF!,6,0)*J61/1000)</f>
        <v>0</v>
      </c>
      <c r="P61" s="21">
        <f>IF(ISERROR(VLOOKUP(F61,#REF!,6,0)*K61/1000),0,VLOOKUP(F61,#REF!,6,0)*K61/1000)</f>
        <v>0</v>
      </c>
      <c r="Q61" s="6">
        <f>IF(ISERROR(VLOOKUP(F61,#REF!,3,0)),0,VLOOKUP(F61,#REF!,3,0))</f>
        <v>0</v>
      </c>
      <c r="R61" s="6">
        <f>IF(ISERROR(VLOOKUP(F61,#REF!,4,0)),0,VLOOKUP(F61,#REF!,4,0))</f>
        <v>0</v>
      </c>
      <c r="S61" s="8">
        <f>IF(ISERROR(VLOOKUP(F61,#REF!,4,0)),0,VLOOKUP(F61,#REF!,10,0)/60*K61)</f>
        <v>0</v>
      </c>
      <c r="T61" s="3"/>
      <c r="U61" s="3"/>
      <c r="V61" s="4"/>
    </row>
    <row r="62" spans="1:22" x14ac:dyDescent="0.3">
      <c r="A62" s="5">
        <f t="shared" si="1"/>
        <v>2019</v>
      </c>
      <c r="B62" s="6" t="str">
        <f t="shared" si="2"/>
        <v>SETEMBRO</v>
      </c>
      <c r="C62" s="13">
        <v>43714</v>
      </c>
      <c r="D62" s="26"/>
      <c r="E62" s="19">
        <v>2</v>
      </c>
      <c r="F62" s="15">
        <v>18</v>
      </c>
      <c r="G62" s="17">
        <v>53</v>
      </c>
      <c r="H62" s="17">
        <v>10</v>
      </c>
      <c r="I62" s="17">
        <v>4</v>
      </c>
      <c r="K62" s="18">
        <f t="shared" si="0"/>
        <v>67</v>
      </c>
      <c r="L62" s="21">
        <f>IF(ISERROR(VLOOKUP($F62,#REF!,6,0)*G62/1000),0,VLOOKUP($F62,#REF!,6,0)*G62/1000)</f>
        <v>0</v>
      </c>
      <c r="M62" s="21">
        <f>IF(ISERROR(VLOOKUP($F62,#REF!,6,0)*H62/1000),0,VLOOKUP($F62,#REF!,6,0)*H62/1000)</f>
        <v>0</v>
      </c>
      <c r="N62" s="21">
        <f>IF(ISERROR(VLOOKUP($F62,#REF!,6,0)*I62/1000),0,VLOOKUP($F62,#REF!,6,0)*I62/1000)</f>
        <v>0</v>
      </c>
      <c r="O62" s="21">
        <f>IF(ISERROR(VLOOKUP($F62,#REF!,6,0)*J62/1000),0,VLOOKUP($F62,#REF!,6,0)*J62/1000)</f>
        <v>0</v>
      </c>
      <c r="P62" s="21">
        <f>IF(ISERROR(VLOOKUP(F62,#REF!,6,0)*K62/1000),0,VLOOKUP(F62,#REF!,6,0)*K62/1000)</f>
        <v>0</v>
      </c>
      <c r="Q62" s="6">
        <f>IF(ISERROR(VLOOKUP(F62,#REF!,3,0)),0,VLOOKUP(F62,#REF!,3,0))</f>
        <v>0</v>
      </c>
      <c r="R62" s="6">
        <f>IF(ISERROR(VLOOKUP(F62,#REF!,4,0)),0,VLOOKUP(F62,#REF!,4,0))</f>
        <v>0</v>
      </c>
      <c r="S62" s="8">
        <f>IF(ISERROR(VLOOKUP(F62,#REF!,4,0)),0,VLOOKUP(F62,#REF!,10,0)/60*K62)</f>
        <v>0</v>
      </c>
      <c r="T62" s="3"/>
      <c r="U62" s="3"/>
      <c r="V62" s="4"/>
    </row>
    <row r="63" spans="1:22" x14ac:dyDescent="0.3">
      <c r="A63" s="5">
        <f t="shared" si="1"/>
        <v>2019</v>
      </c>
      <c r="B63" s="6" t="str">
        <f t="shared" si="2"/>
        <v>SETEMBRO</v>
      </c>
      <c r="C63" s="13">
        <v>43714</v>
      </c>
      <c r="D63" s="26"/>
      <c r="E63" s="19">
        <v>1</v>
      </c>
      <c r="F63" s="15">
        <v>50</v>
      </c>
      <c r="G63" s="17">
        <v>1133</v>
      </c>
      <c r="H63" s="17">
        <v>400</v>
      </c>
      <c r="I63" s="17">
        <v>600</v>
      </c>
      <c r="K63" s="18">
        <f t="shared" si="0"/>
        <v>2133</v>
      </c>
      <c r="L63" s="21">
        <f>IF(ISERROR(VLOOKUP($F63,#REF!,6,0)*G63/1000),0,VLOOKUP($F63,#REF!,6,0)*G63/1000)</f>
        <v>0</v>
      </c>
      <c r="M63" s="21">
        <f>IF(ISERROR(VLOOKUP($F63,#REF!,6,0)*H63/1000),0,VLOOKUP($F63,#REF!,6,0)*H63/1000)</f>
        <v>0</v>
      </c>
      <c r="N63" s="21">
        <f>IF(ISERROR(VLOOKUP($F63,#REF!,6,0)*I63/1000),0,VLOOKUP($F63,#REF!,6,0)*I63/1000)</f>
        <v>0</v>
      </c>
      <c r="O63" s="21">
        <f>IF(ISERROR(VLOOKUP($F63,#REF!,6,0)*J63/1000),0,VLOOKUP($F63,#REF!,6,0)*J63/1000)</f>
        <v>0</v>
      </c>
      <c r="P63" s="21">
        <f>IF(ISERROR(VLOOKUP(F63,#REF!,6,0)*K63/1000),0,VLOOKUP(F63,#REF!,6,0)*K63/1000)</f>
        <v>0</v>
      </c>
      <c r="Q63" s="6">
        <f>IF(ISERROR(VLOOKUP(F63,#REF!,3,0)),0,VLOOKUP(F63,#REF!,3,0))</f>
        <v>0</v>
      </c>
      <c r="R63" s="6">
        <f>IF(ISERROR(VLOOKUP(F63,#REF!,4,0)),0,VLOOKUP(F63,#REF!,4,0))</f>
        <v>0</v>
      </c>
      <c r="S63" s="8">
        <f>IF(ISERROR(VLOOKUP(F63,#REF!,4,0)),0,VLOOKUP(F63,#REF!,10,0)/60*K63)</f>
        <v>0</v>
      </c>
      <c r="T63" s="3"/>
      <c r="U63" s="3"/>
      <c r="V63" s="4"/>
    </row>
    <row r="64" spans="1:22" x14ac:dyDescent="0.3">
      <c r="A64" s="5">
        <f t="shared" si="1"/>
        <v>2019</v>
      </c>
      <c r="B64" s="6" t="str">
        <f t="shared" si="2"/>
        <v>SETEMBRO</v>
      </c>
      <c r="C64" s="13">
        <v>43714</v>
      </c>
      <c r="D64" s="26"/>
      <c r="E64" s="19">
        <v>1</v>
      </c>
      <c r="F64" s="15">
        <v>49</v>
      </c>
      <c r="G64" s="17">
        <v>661</v>
      </c>
      <c r="H64" s="17">
        <v>50</v>
      </c>
      <c r="I64" s="17">
        <v>100</v>
      </c>
      <c r="K64" s="18">
        <f t="shared" si="0"/>
        <v>811</v>
      </c>
      <c r="L64" s="21">
        <f>IF(ISERROR(VLOOKUP($F64,#REF!,6,0)*G64/1000),0,VLOOKUP($F64,#REF!,6,0)*G64/1000)</f>
        <v>0</v>
      </c>
      <c r="M64" s="21">
        <f>IF(ISERROR(VLOOKUP($F64,#REF!,6,0)*H64/1000),0,VLOOKUP($F64,#REF!,6,0)*H64/1000)</f>
        <v>0</v>
      </c>
      <c r="N64" s="21">
        <f>IF(ISERROR(VLOOKUP($F64,#REF!,6,0)*I64/1000),0,VLOOKUP($F64,#REF!,6,0)*I64/1000)</f>
        <v>0</v>
      </c>
      <c r="O64" s="21">
        <f>IF(ISERROR(VLOOKUP($F64,#REF!,6,0)*J64/1000),0,VLOOKUP($F64,#REF!,6,0)*J64/1000)</f>
        <v>0</v>
      </c>
      <c r="P64" s="21">
        <f>IF(ISERROR(VLOOKUP(F64,#REF!,6,0)*K64/1000),0,VLOOKUP(F64,#REF!,6,0)*K64/1000)</f>
        <v>0</v>
      </c>
      <c r="Q64" s="6">
        <f>IF(ISERROR(VLOOKUP(F64,#REF!,3,0)),0,VLOOKUP(F64,#REF!,3,0))</f>
        <v>0</v>
      </c>
      <c r="R64" s="6">
        <f>IF(ISERROR(VLOOKUP(F64,#REF!,4,0)),0,VLOOKUP(F64,#REF!,4,0))</f>
        <v>0</v>
      </c>
      <c r="S64" s="8">
        <f>IF(ISERROR(VLOOKUP(F64,#REF!,4,0)),0,VLOOKUP(F64,#REF!,10,0)/60*K64)</f>
        <v>0</v>
      </c>
      <c r="T64" s="3"/>
      <c r="U64" s="3"/>
      <c r="V64" s="4"/>
    </row>
    <row r="65" spans="1:22" x14ac:dyDescent="0.3">
      <c r="A65" s="5">
        <f t="shared" si="1"/>
        <v>2019</v>
      </c>
      <c r="B65" s="6" t="str">
        <f t="shared" si="2"/>
        <v>SETEMBRO</v>
      </c>
      <c r="C65" s="13">
        <v>43714</v>
      </c>
      <c r="D65" s="26"/>
      <c r="E65" s="19">
        <v>1</v>
      </c>
      <c r="F65" s="15">
        <v>45</v>
      </c>
      <c r="G65" s="17">
        <v>1249</v>
      </c>
      <c r="H65" s="17">
        <v>450</v>
      </c>
      <c r="I65" s="17">
        <v>200</v>
      </c>
      <c r="K65" s="18">
        <f t="shared" si="0"/>
        <v>1899</v>
      </c>
      <c r="L65" s="21">
        <f>IF(ISERROR(VLOOKUP($F65,#REF!,6,0)*G65/1000),0,VLOOKUP($F65,#REF!,6,0)*G65/1000)</f>
        <v>0</v>
      </c>
      <c r="M65" s="21">
        <f>IF(ISERROR(VLOOKUP($F65,#REF!,6,0)*H65/1000),0,VLOOKUP($F65,#REF!,6,0)*H65/1000)</f>
        <v>0</v>
      </c>
      <c r="N65" s="21">
        <f>IF(ISERROR(VLOOKUP($F65,#REF!,6,0)*I65/1000),0,VLOOKUP($F65,#REF!,6,0)*I65/1000)</f>
        <v>0</v>
      </c>
      <c r="O65" s="21">
        <f>IF(ISERROR(VLOOKUP($F65,#REF!,6,0)*J65/1000),0,VLOOKUP($F65,#REF!,6,0)*J65/1000)</f>
        <v>0</v>
      </c>
      <c r="P65" s="21">
        <f>IF(ISERROR(VLOOKUP(F65,#REF!,6,0)*K65/1000),0,VLOOKUP(F65,#REF!,6,0)*K65/1000)</f>
        <v>0</v>
      </c>
      <c r="Q65" s="6">
        <f>IF(ISERROR(VLOOKUP(F65,#REF!,3,0)),0,VLOOKUP(F65,#REF!,3,0))</f>
        <v>0</v>
      </c>
      <c r="R65" s="6">
        <f>IF(ISERROR(VLOOKUP(F65,#REF!,4,0)),0,VLOOKUP(F65,#REF!,4,0))</f>
        <v>0</v>
      </c>
      <c r="S65" s="8">
        <f>IF(ISERROR(VLOOKUP(F65,#REF!,4,0)),0,VLOOKUP(F65,#REF!,10,0)/60*K65)</f>
        <v>0</v>
      </c>
      <c r="T65" s="3"/>
      <c r="U65" s="3"/>
      <c r="V65" s="4"/>
    </row>
    <row r="66" spans="1:22" x14ac:dyDescent="0.3">
      <c r="A66" s="5">
        <f t="shared" si="1"/>
        <v>2019</v>
      </c>
      <c r="B66" s="6" t="str">
        <f t="shared" si="2"/>
        <v>SETEMBRO</v>
      </c>
      <c r="C66" s="13">
        <v>43714</v>
      </c>
      <c r="D66" s="26"/>
      <c r="E66" s="19">
        <v>2</v>
      </c>
      <c r="F66" s="15">
        <v>50</v>
      </c>
      <c r="G66" s="17">
        <v>380</v>
      </c>
      <c r="H66" s="17">
        <v>137</v>
      </c>
      <c r="K66" s="18">
        <f t="shared" si="0"/>
        <v>517</v>
      </c>
      <c r="L66" s="21">
        <f>IF(ISERROR(VLOOKUP($F66,#REF!,6,0)*G66/1000),0,VLOOKUP($F66,#REF!,6,0)*G66/1000)</f>
        <v>0</v>
      </c>
      <c r="M66" s="21">
        <f>IF(ISERROR(VLOOKUP($F66,#REF!,6,0)*H66/1000),0,VLOOKUP($F66,#REF!,6,0)*H66/1000)</f>
        <v>0</v>
      </c>
      <c r="N66" s="21">
        <f>IF(ISERROR(VLOOKUP($F66,#REF!,6,0)*I66/1000),0,VLOOKUP($F66,#REF!,6,0)*I66/1000)</f>
        <v>0</v>
      </c>
      <c r="O66" s="21">
        <f>IF(ISERROR(VLOOKUP($F66,#REF!,6,0)*J66/1000),0,VLOOKUP($F66,#REF!,6,0)*J66/1000)</f>
        <v>0</v>
      </c>
      <c r="P66" s="21">
        <f>IF(ISERROR(VLOOKUP(F66,#REF!,6,0)*K66/1000),0,VLOOKUP(F66,#REF!,6,0)*K66/1000)</f>
        <v>0</v>
      </c>
      <c r="Q66" s="6">
        <f>IF(ISERROR(VLOOKUP(F66,#REF!,3,0)),0,VLOOKUP(F66,#REF!,3,0))</f>
        <v>0</v>
      </c>
      <c r="R66" s="6">
        <f>IF(ISERROR(VLOOKUP(F66,#REF!,4,0)),0,VLOOKUP(F66,#REF!,4,0))</f>
        <v>0</v>
      </c>
      <c r="S66" s="8">
        <f>IF(ISERROR(VLOOKUP(F66,#REF!,4,0)),0,VLOOKUP(F66,#REF!,10,0)/60*K66)</f>
        <v>0</v>
      </c>
      <c r="T66" s="3"/>
      <c r="U66" s="3"/>
      <c r="V66" s="4"/>
    </row>
    <row r="67" spans="1:22" x14ac:dyDescent="0.3">
      <c r="A67" s="5">
        <f t="shared" si="1"/>
        <v>2019</v>
      </c>
      <c r="B67" s="6" t="str">
        <f t="shared" si="2"/>
        <v>SETEMBRO</v>
      </c>
      <c r="C67" s="13">
        <v>43714</v>
      </c>
      <c r="D67" s="26"/>
      <c r="E67" s="19">
        <v>2</v>
      </c>
      <c r="F67" s="15">
        <v>49</v>
      </c>
      <c r="G67" s="17">
        <v>802</v>
      </c>
      <c r="K67" s="18">
        <f t="shared" si="0"/>
        <v>802</v>
      </c>
      <c r="L67" s="21">
        <f>IF(ISERROR(VLOOKUP($F67,#REF!,6,0)*G67/1000),0,VLOOKUP($F67,#REF!,6,0)*G67/1000)</f>
        <v>0</v>
      </c>
      <c r="M67" s="21">
        <f>IF(ISERROR(VLOOKUP($F67,#REF!,6,0)*H67/1000),0,VLOOKUP($F67,#REF!,6,0)*H67/1000)</f>
        <v>0</v>
      </c>
      <c r="N67" s="21">
        <f>IF(ISERROR(VLOOKUP($F67,#REF!,6,0)*I67/1000),0,VLOOKUP($F67,#REF!,6,0)*I67/1000)</f>
        <v>0</v>
      </c>
      <c r="O67" s="21">
        <f>IF(ISERROR(VLOOKUP($F67,#REF!,6,0)*J67/1000),0,VLOOKUP($F67,#REF!,6,0)*J67/1000)</f>
        <v>0</v>
      </c>
      <c r="P67" s="21">
        <f>IF(ISERROR(VLOOKUP(F67,#REF!,6,0)*K67/1000),0,VLOOKUP(F67,#REF!,6,0)*K67/1000)</f>
        <v>0</v>
      </c>
      <c r="Q67" s="6">
        <f>IF(ISERROR(VLOOKUP(F67,#REF!,3,0)),0,VLOOKUP(F67,#REF!,3,0))</f>
        <v>0</v>
      </c>
      <c r="R67" s="6">
        <f>IF(ISERROR(VLOOKUP(F67,#REF!,4,0)),0,VLOOKUP(F67,#REF!,4,0))</f>
        <v>0</v>
      </c>
      <c r="S67" s="8">
        <f>IF(ISERROR(VLOOKUP(F67,#REF!,4,0)),0,VLOOKUP(F67,#REF!,10,0)/60*K67)</f>
        <v>0</v>
      </c>
      <c r="T67" s="3"/>
      <c r="U67" s="3"/>
      <c r="V67" s="4"/>
    </row>
    <row r="68" spans="1:22" x14ac:dyDescent="0.3">
      <c r="A68" s="5">
        <f t="shared" si="1"/>
        <v>2019</v>
      </c>
      <c r="B68" s="6" t="str">
        <f t="shared" si="2"/>
        <v>SETEMBRO</v>
      </c>
      <c r="C68" s="13">
        <v>43714</v>
      </c>
      <c r="D68" s="26"/>
      <c r="E68" s="19">
        <v>2</v>
      </c>
      <c r="F68" s="15">
        <v>45</v>
      </c>
      <c r="G68" s="17">
        <v>500</v>
      </c>
      <c r="H68" s="17">
        <v>1002</v>
      </c>
      <c r="K68" s="18">
        <f t="shared" ref="K68:K131" si="3">SUM(G68:J68)</f>
        <v>1502</v>
      </c>
      <c r="L68" s="21">
        <f>IF(ISERROR(VLOOKUP($F68,#REF!,6,0)*G68/1000),0,VLOOKUP($F68,#REF!,6,0)*G68/1000)</f>
        <v>0</v>
      </c>
      <c r="M68" s="21">
        <f>IF(ISERROR(VLOOKUP($F68,#REF!,6,0)*H68/1000),0,VLOOKUP($F68,#REF!,6,0)*H68/1000)</f>
        <v>0</v>
      </c>
      <c r="N68" s="21">
        <f>IF(ISERROR(VLOOKUP($F68,#REF!,6,0)*I68/1000),0,VLOOKUP($F68,#REF!,6,0)*I68/1000)</f>
        <v>0</v>
      </c>
      <c r="O68" s="21">
        <f>IF(ISERROR(VLOOKUP($F68,#REF!,6,0)*J68/1000),0,VLOOKUP($F68,#REF!,6,0)*J68/1000)</f>
        <v>0</v>
      </c>
      <c r="P68" s="21">
        <f>IF(ISERROR(VLOOKUP(F68,#REF!,6,0)*K68/1000),0,VLOOKUP(F68,#REF!,6,0)*K68/1000)</f>
        <v>0</v>
      </c>
      <c r="Q68" s="6">
        <f>IF(ISERROR(VLOOKUP(F68,#REF!,3,0)),0,VLOOKUP(F68,#REF!,3,0))</f>
        <v>0</v>
      </c>
      <c r="R68" s="6">
        <f>IF(ISERROR(VLOOKUP(F68,#REF!,4,0)),0,VLOOKUP(F68,#REF!,4,0))</f>
        <v>0</v>
      </c>
      <c r="S68" s="8">
        <f>IF(ISERROR(VLOOKUP(F68,#REF!,4,0)),0,VLOOKUP(F68,#REF!,10,0)/60*K68)</f>
        <v>0</v>
      </c>
      <c r="T68" s="3"/>
      <c r="U68" s="3"/>
      <c r="V68" s="4"/>
    </row>
    <row r="69" spans="1:22" x14ac:dyDescent="0.3">
      <c r="A69" s="5">
        <f t="shared" ref="A69:A132" si="4">IF(C69=0,0,YEAR(C69))</f>
        <v>2019</v>
      </c>
      <c r="B69" s="6" t="str">
        <f t="shared" ref="B69:B132" si="5">IF(C69&gt;0,VLOOKUP(MONTH($C69),$AJ$3:$AK$14,2,0),0)</f>
        <v>SETEMBRO</v>
      </c>
      <c r="C69" s="13">
        <v>43717</v>
      </c>
      <c r="D69" s="26"/>
      <c r="E69" s="19">
        <v>1</v>
      </c>
      <c r="F69" s="15">
        <v>3</v>
      </c>
      <c r="G69" s="17">
        <v>216</v>
      </c>
      <c r="I69" s="17">
        <v>10</v>
      </c>
      <c r="K69" s="18">
        <f t="shared" si="3"/>
        <v>226</v>
      </c>
      <c r="L69" s="21">
        <f>IF(ISERROR(VLOOKUP($F69,#REF!,6,0)*G69/1000),0,VLOOKUP($F69,#REF!,6,0)*G69/1000)</f>
        <v>0</v>
      </c>
      <c r="M69" s="21">
        <f>IF(ISERROR(VLOOKUP($F69,#REF!,6,0)*H69/1000),0,VLOOKUP($F69,#REF!,6,0)*H69/1000)</f>
        <v>0</v>
      </c>
      <c r="N69" s="21">
        <f>IF(ISERROR(VLOOKUP($F69,#REF!,6,0)*I69/1000),0,VLOOKUP($F69,#REF!,6,0)*I69/1000)</f>
        <v>0</v>
      </c>
      <c r="O69" s="21">
        <f>IF(ISERROR(VLOOKUP($F69,#REF!,6,0)*J69/1000),0,VLOOKUP($F69,#REF!,6,0)*J69/1000)</f>
        <v>0</v>
      </c>
      <c r="P69" s="21">
        <f>IF(ISERROR(VLOOKUP(F69,#REF!,6,0)*K69/1000),0,VLOOKUP(F69,#REF!,6,0)*K69/1000)</f>
        <v>0</v>
      </c>
      <c r="Q69" s="6">
        <f>IF(ISERROR(VLOOKUP(F69,#REF!,3,0)),0,VLOOKUP(F69,#REF!,3,0))</f>
        <v>0</v>
      </c>
      <c r="R69" s="6">
        <f>IF(ISERROR(VLOOKUP(F69,#REF!,4,0)),0,VLOOKUP(F69,#REF!,4,0))</f>
        <v>0</v>
      </c>
      <c r="S69" s="8">
        <f>IF(ISERROR(VLOOKUP(F69,#REF!,4,0)),0,VLOOKUP(F69,#REF!,10,0)/60*K69)</f>
        <v>0</v>
      </c>
      <c r="T69" s="3"/>
      <c r="U69" s="3"/>
      <c r="V69" s="4"/>
    </row>
    <row r="70" spans="1:22" x14ac:dyDescent="0.3">
      <c r="A70" s="5">
        <f t="shared" si="4"/>
        <v>2019</v>
      </c>
      <c r="B70" s="6" t="str">
        <f t="shared" si="5"/>
        <v>SETEMBRO</v>
      </c>
      <c r="C70" s="13">
        <v>43717</v>
      </c>
      <c r="D70" s="26"/>
      <c r="E70" s="19">
        <v>1</v>
      </c>
      <c r="F70" s="15">
        <v>31</v>
      </c>
      <c r="G70" s="17">
        <v>2160</v>
      </c>
      <c r="H70" s="17">
        <v>1440</v>
      </c>
      <c r="I70" s="17">
        <v>35</v>
      </c>
      <c r="K70" s="18">
        <f t="shared" si="3"/>
        <v>3635</v>
      </c>
      <c r="L70" s="21">
        <f>IF(ISERROR(VLOOKUP($F70,#REF!,6,0)*G70/1000),0,VLOOKUP($F70,#REF!,6,0)*G70/1000)</f>
        <v>0</v>
      </c>
      <c r="M70" s="21">
        <f>IF(ISERROR(VLOOKUP($F70,#REF!,6,0)*H70/1000),0,VLOOKUP($F70,#REF!,6,0)*H70/1000)</f>
        <v>0</v>
      </c>
      <c r="N70" s="21">
        <f>IF(ISERROR(VLOOKUP($F70,#REF!,6,0)*I70/1000),0,VLOOKUP($F70,#REF!,6,0)*I70/1000)</f>
        <v>0</v>
      </c>
      <c r="O70" s="21">
        <f>IF(ISERROR(VLOOKUP($F70,#REF!,6,0)*J70/1000),0,VLOOKUP($F70,#REF!,6,0)*J70/1000)</f>
        <v>0</v>
      </c>
      <c r="P70" s="21">
        <f>IF(ISERROR(VLOOKUP(F70,#REF!,6,0)*K70/1000),0,VLOOKUP(F70,#REF!,6,0)*K70/1000)</f>
        <v>0</v>
      </c>
      <c r="Q70" s="6">
        <f>IF(ISERROR(VLOOKUP(F70,#REF!,3,0)),0,VLOOKUP(F70,#REF!,3,0))</f>
        <v>0</v>
      </c>
      <c r="R70" s="6">
        <f>IF(ISERROR(VLOOKUP(F70,#REF!,4,0)),0,VLOOKUP(F70,#REF!,4,0))</f>
        <v>0</v>
      </c>
      <c r="S70" s="8">
        <f>IF(ISERROR(VLOOKUP(F70,#REF!,4,0)),0,VLOOKUP(F70,#REF!,10,0)/60*K70)</f>
        <v>0</v>
      </c>
      <c r="T70" s="3"/>
      <c r="U70" s="3"/>
      <c r="V70" s="4"/>
    </row>
    <row r="71" spans="1:22" x14ac:dyDescent="0.3">
      <c r="A71" s="5">
        <f t="shared" si="4"/>
        <v>2019</v>
      </c>
      <c r="B71" s="6" t="str">
        <f t="shared" si="5"/>
        <v>SETEMBRO</v>
      </c>
      <c r="C71" s="13">
        <v>43717</v>
      </c>
      <c r="D71" s="26"/>
      <c r="E71" s="19">
        <v>2</v>
      </c>
      <c r="F71" s="15">
        <v>31</v>
      </c>
      <c r="G71" s="17">
        <v>4080</v>
      </c>
      <c r="H71" s="17">
        <v>1500</v>
      </c>
      <c r="I71" s="17">
        <v>150</v>
      </c>
      <c r="K71" s="18">
        <f t="shared" si="3"/>
        <v>5730</v>
      </c>
      <c r="L71" s="21">
        <f>IF(ISERROR(VLOOKUP($F71,#REF!,6,0)*G71/1000),0,VLOOKUP($F71,#REF!,6,0)*G71/1000)</f>
        <v>0</v>
      </c>
      <c r="M71" s="21">
        <f>IF(ISERROR(VLOOKUP($F71,#REF!,6,0)*H71/1000),0,VLOOKUP($F71,#REF!,6,0)*H71/1000)</f>
        <v>0</v>
      </c>
      <c r="N71" s="21">
        <f>IF(ISERROR(VLOOKUP($F71,#REF!,6,0)*I71/1000),0,VLOOKUP($F71,#REF!,6,0)*I71/1000)</f>
        <v>0</v>
      </c>
      <c r="O71" s="21">
        <f>IF(ISERROR(VLOOKUP($F71,#REF!,6,0)*J71/1000),0,VLOOKUP($F71,#REF!,6,0)*J71/1000)</f>
        <v>0</v>
      </c>
      <c r="P71" s="21">
        <f>IF(ISERROR(VLOOKUP(F71,#REF!,6,0)*K71/1000),0,VLOOKUP(F71,#REF!,6,0)*K71/1000)</f>
        <v>0</v>
      </c>
      <c r="Q71" s="6">
        <f>IF(ISERROR(VLOOKUP(F71,#REF!,3,0)),0,VLOOKUP(F71,#REF!,3,0))</f>
        <v>0</v>
      </c>
      <c r="R71" s="6">
        <f>IF(ISERROR(VLOOKUP(F71,#REF!,4,0)),0,VLOOKUP(F71,#REF!,4,0))</f>
        <v>0</v>
      </c>
      <c r="S71" s="8">
        <f>IF(ISERROR(VLOOKUP(F71,#REF!,4,0)),0,VLOOKUP(F71,#REF!,10,0)/60*K71)</f>
        <v>0</v>
      </c>
      <c r="T71" s="3"/>
      <c r="U71" s="3"/>
      <c r="V71" s="4"/>
    </row>
    <row r="72" spans="1:22" x14ac:dyDescent="0.3">
      <c r="A72" s="5">
        <f t="shared" si="4"/>
        <v>2019</v>
      </c>
      <c r="B72" s="6" t="str">
        <f t="shared" si="5"/>
        <v>SETEMBRO</v>
      </c>
      <c r="C72" s="13">
        <v>43717</v>
      </c>
      <c r="D72" s="26"/>
      <c r="E72" s="19">
        <v>1</v>
      </c>
      <c r="F72" s="15">
        <v>49</v>
      </c>
      <c r="G72" s="17">
        <v>615</v>
      </c>
      <c r="K72" s="18">
        <f t="shared" si="3"/>
        <v>615</v>
      </c>
      <c r="L72" s="21">
        <f>IF(ISERROR(VLOOKUP($F72,#REF!,6,0)*G72/1000),0,VLOOKUP($F72,#REF!,6,0)*G72/1000)</f>
        <v>0</v>
      </c>
      <c r="M72" s="21">
        <f>IF(ISERROR(VLOOKUP($F72,#REF!,6,0)*H72/1000),0,VLOOKUP($F72,#REF!,6,0)*H72/1000)</f>
        <v>0</v>
      </c>
      <c r="N72" s="21">
        <f>IF(ISERROR(VLOOKUP($F72,#REF!,6,0)*I72/1000),0,VLOOKUP($F72,#REF!,6,0)*I72/1000)</f>
        <v>0</v>
      </c>
      <c r="O72" s="21">
        <f>IF(ISERROR(VLOOKUP($F72,#REF!,6,0)*J72/1000),0,VLOOKUP($F72,#REF!,6,0)*J72/1000)</f>
        <v>0</v>
      </c>
      <c r="P72" s="21">
        <f>IF(ISERROR(VLOOKUP(F72,#REF!,6,0)*K72/1000),0,VLOOKUP(F72,#REF!,6,0)*K72/1000)</f>
        <v>0</v>
      </c>
      <c r="Q72" s="6">
        <f>IF(ISERROR(VLOOKUP(F72,#REF!,3,0)),0,VLOOKUP(F72,#REF!,3,0))</f>
        <v>0</v>
      </c>
      <c r="R72" s="6">
        <f>IF(ISERROR(VLOOKUP(F72,#REF!,4,0)),0,VLOOKUP(F72,#REF!,4,0))</f>
        <v>0</v>
      </c>
      <c r="S72" s="8">
        <f>IF(ISERROR(VLOOKUP(F72,#REF!,4,0)),0,VLOOKUP(F72,#REF!,10,0)/60*K72)</f>
        <v>0</v>
      </c>
      <c r="T72" s="3"/>
      <c r="U72" s="3"/>
      <c r="V72" s="4"/>
    </row>
    <row r="73" spans="1:22" x14ac:dyDescent="0.3">
      <c r="A73" s="5">
        <f t="shared" si="4"/>
        <v>2019</v>
      </c>
      <c r="B73" s="6" t="str">
        <f t="shared" si="5"/>
        <v>SETEMBRO</v>
      </c>
      <c r="C73" s="13">
        <v>43717</v>
      </c>
      <c r="D73" s="26"/>
      <c r="E73" s="19">
        <v>1</v>
      </c>
      <c r="F73" s="15">
        <v>45</v>
      </c>
      <c r="G73" s="17">
        <v>447</v>
      </c>
      <c r="H73" s="17">
        <v>500</v>
      </c>
      <c r="K73" s="18">
        <f t="shared" si="3"/>
        <v>947</v>
      </c>
      <c r="L73" s="21">
        <f>IF(ISERROR(VLOOKUP($F73,#REF!,6,0)*G73/1000),0,VLOOKUP($F73,#REF!,6,0)*G73/1000)</f>
        <v>0</v>
      </c>
      <c r="M73" s="21">
        <f>IF(ISERROR(VLOOKUP($F73,#REF!,6,0)*H73/1000),0,VLOOKUP($F73,#REF!,6,0)*H73/1000)</f>
        <v>0</v>
      </c>
      <c r="N73" s="21">
        <f>IF(ISERROR(VLOOKUP($F73,#REF!,6,0)*I73/1000),0,VLOOKUP($F73,#REF!,6,0)*I73/1000)</f>
        <v>0</v>
      </c>
      <c r="O73" s="21">
        <f>IF(ISERROR(VLOOKUP($F73,#REF!,6,0)*J73/1000),0,VLOOKUP($F73,#REF!,6,0)*J73/1000)</f>
        <v>0</v>
      </c>
      <c r="P73" s="21">
        <f>IF(ISERROR(VLOOKUP(F73,#REF!,6,0)*K73/1000),0,VLOOKUP(F73,#REF!,6,0)*K73/1000)</f>
        <v>0</v>
      </c>
      <c r="Q73" s="6">
        <f>IF(ISERROR(VLOOKUP(F73,#REF!,3,0)),0,VLOOKUP(F73,#REF!,3,0))</f>
        <v>0</v>
      </c>
      <c r="R73" s="6">
        <f>IF(ISERROR(VLOOKUP(F73,#REF!,4,0)),0,VLOOKUP(F73,#REF!,4,0))</f>
        <v>0</v>
      </c>
      <c r="S73" s="8">
        <f>IF(ISERROR(VLOOKUP(F73,#REF!,4,0)),0,VLOOKUP(F73,#REF!,10,0)/60*K73)</f>
        <v>0</v>
      </c>
      <c r="T73" s="3"/>
      <c r="U73" s="3"/>
      <c r="V73" s="4"/>
    </row>
    <row r="74" spans="1:22" x14ac:dyDescent="0.3">
      <c r="A74" s="5">
        <f t="shared" si="4"/>
        <v>2019</v>
      </c>
      <c r="B74" s="6" t="str">
        <f t="shared" si="5"/>
        <v>SETEMBRO</v>
      </c>
      <c r="C74" s="13">
        <v>43717</v>
      </c>
      <c r="D74" s="26"/>
      <c r="E74" s="19">
        <v>1</v>
      </c>
      <c r="F74" s="15">
        <v>26</v>
      </c>
      <c r="G74" s="17">
        <v>795</v>
      </c>
      <c r="K74" s="18">
        <f t="shared" si="3"/>
        <v>795</v>
      </c>
      <c r="L74" s="21">
        <f>IF(ISERROR(VLOOKUP($F74,#REF!,6,0)*G74/1000),0,VLOOKUP($F74,#REF!,6,0)*G74/1000)</f>
        <v>0</v>
      </c>
      <c r="M74" s="21">
        <f>IF(ISERROR(VLOOKUP($F74,#REF!,6,0)*H74/1000),0,VLOOKUP($F74,#REF!,6,0)*H74/1000)</f>
        <v>0</v>
      </c>
      <c r="N74" s="21">
        <f>IF(ISERROR(VLOOKUP($F74,#REF!,6,0)*I74/1000),0,VLOOKUP($F74,#REF!,6,0)*I74/1000)</f>
        <v>0</v>
      </c>
      <c r="O74" s="21">
        <f>IF(ISERROR(VLOOKUP($F74,#REF!,6,0)*J74/1000),0,VLOOKUP($F74,#REF!,6,0)*J74/1000)</f>
        <v>0</v>
      </c>
      <c r="P74" s="21">
        <f>IF(ISERROR(VLOOKUP(F74,#REF!,6,0)*K74/1000),0,VLOOKUP(F74,#REF!,6,0)*K74/1000)</f>
        <v>0</v>
      </c>
      <c r="Q74" s="6">
        <f>IF(ISERROR(VLOOKUP(F74,#REF!,3,0)),0,VLOOKUP(F74,#REF!,3,0))</f>
        <v>0</v>
      </c>
      <c r="R74" s="6">
        <f>IF(ISERROR(VLOOKUP(F74,#REF!,4,0)),0,VLOOKUP(F74,#REF!,4,0))</f>
        <v>0</v>
      </c>
      <c r="S74" s="8">
        <f>IF(ISERROR(VLOOKUP(F74,#REF!,4,0)),0,VLOOKUP(F74,#REF!,10,0)/60*K74)</f>
        <v>0</v>
      </c>
      <c r="T74" s="3"/>
      <c r="U74" s="3"/>
      <c r="V74" s="4"/>
    </row>
    <row r="75" spans="1:22" x14ac:dyDescent="0.3">
      <c r="A75" s="5">
        <f t="shared" si="4"/>
        <v>2019</v>
      </c>
      <c r="B75" s="6" t="str">
        <f t="shared" si="5"/>
        <v>SETEMBRO</v>
      </c>
      <c r="C75" s="13">
        <v>43717</v>
      </c>
      <c r="D75" s="26"/>
      <c r="E75" s="19">
        <v>1</v>
      </c>
      <c r="F75" s="15">
        <v>46</v>
      </c>
      <c r="G75" s="17">
        <v>301</v>
      </c>
      <c r="H75" s="17">
        <v>590</v>
      </c>
      <c r="K75" s="18">
        <f t="shared" si="3"/>
        <v>891</v>
      </c>
      <c r="L75" s="21">
        <f>IF(ISERROR(VLOOKUP($F75,#REF!,6,0)*G75/1000),0,VLOOKUP($F75,#REF!,6,0)*G75/1000)</f>
        <v>0</v>
      </c>
      <c r="M75" s="21">
        <f>IF(ISERROR(VLOOKUP($F75,#REF!,6,0)*H75/1000),0,VLOOKUP($F75,#REF!,6,0)*H75/1000)</f>
        <v>0</v>
      </c>
      <c r="N75" s="21">
        <f>IF(ISERROR(VLOOKUP($F75,#REF!,6,0)*I75/1000),0,VLOOKUP($F75,#REF!,6,0)*I75/1000)</f>
        <v>0</v>
      </c>
      <c r="O75" s="21">
        <f>IF(ISERROR(VLOOKUP($F75,#REF!,6,0)*J75/1000),0,VLOOKUP($F75,#REF!,6,0)*J75/1000)</f>
        <v>0</v>
      </c>
      <c r="P75" s="21">
        <f>IF(ISERROR(VLOOKUP(F75,#REF!,6,0)*K75/1000),0,VLOOKUP(F75,#REF!,6,0)*K75/1000)</f>
        <v>0</v>
      </c>
      <c r="Q75" s="6">
        <f>IF(ISERROR(VLOOKUP(F75,#REF!,3,0)),0,VLOOKUP(F75,#REF!,3,0))</f>
        <v>0</v>
      </c>
      <c r="R75" s="6">
        <f>IF(ISERROR(VLOOKUP(F75,#REF!,4,0)),0,VLOOKUP(F75,#REF!,4,0))</f>
        <v>0</v>
      </c>
      <c r="S75" s="8">
        <f>IF(ISERROR(VLOOKUP(F75,#REF!,4,0)),0,VLOOKUP(F75,#REF!,10,0)/60*K75)</f>
        <v>0</v>
      </c>
      <c r="T75" s="3"/>
      <c r="U75" s="3"/>
      <c r="V75" s="4"/>
    </row>
    <row r="76" spans="1:22" x14ac:dyDescent="0.3">
      <c r="A76" s="5">
        <f t="shared" si="4"/>
        <v>2019</v>
      </c>
      <c r="B76" s="6" t="str">
        <f t="shared" si="5"/>
        <v>SETEMBRO</v>
      </c>
      <c r="C76" s="13">
        <v>43717</v>
      </c>
      <c r="D76" s="26"/>
      <c r="E76" s="19">
        <v>2</v>
      </c>
      <c r="F76" s="15">
        <v>49</v>
      </c>
      <c r="G76" s="17">
        <v>432</v>
      </c>
      <c r="K76" s="18">
        <f t="shared" si="3"/>
        <v>432</v>
      </c>
      <c r="L76" s="21">
        <f>IF(ISERROR(VLOOKUP($F76,#REF!,6,0)*G76/1000),0,VLOOKUP($F76,#REF!,6,0)*G76/1000)</f>
        <v>0</v>
      </c>
      <c r="M76" s="21">
        <f>IF(ISERROR(VLOOKUP($F76,#REF!,6,0)*H76/1000),0,VLOOKUP($F76,#REF!,6,0)*H76/1000)</f>
        <v>0</v>
      </c>
      <c r="N76" s="21">
        <f>IF(ISERROR(VLOOKUP($F76,#REF!,6,0)*I76/1000),0,VLOOKUP($F76,#REF!,6,0)*I76/1000)</f>
        <v>0</v>
      </c>
      <c r="O76" s="21">
        <f>IF(ISERROR(VLOOKUP($F76,#REF!,6,0)*J76/1000),0,VLOOKUP($F76,#REF!,6,0)*J76/1000)</f>
        <v>0</v>
      </c>
      <c r="P76" s="21">
        <f>IF(ISERROR(VLOOKUP(F76,#REF!,6,0)*K76/1000),0,VLOOKUP(F76,#REF!,6,0)*K76/1000)</f>
        <v>0</v>
      </c>
      <c r="Q76" s="6">
        <f>IF(ISERROR(VLOOKUP(F76,#REF!,3,0)),0,VLOOKUP(F76,#REF!,3,0))</f>
        <v>0</v>
      </c>
      <c r="R76" s="6">
        <f>IF(ISERROR(VLOOKUP(F76,#REF!,4,0)),0,VLOOKUP(F76,#REF!,4,0))</f>
        <v>0</v>
      </c>
      <c r="S76" s="8">
        <f>IF(ISERROR(VLOOKUP(F76,#REF!,4,0)),0,VLOOKUP(F76,#REF!,10,0)/60*K76)</f>
        <v>0</v>
      </c>
      <c r="T76" s="3"/>
      <c r="U76" s="3"/>
      <c r="V76" s="4"/>
    </row>
    <row r="77" spans="1:22" x14ac:dyDescent="0.3">
      <c r="A77" s="5">
        <f t="shared" si="4"/>
        <v>2019</v>
      </c>
      <c r="B77" s="6" t="str">
        <f t="shared" si="5"/>
        <v>SETEMBRO</v>
      </c>
      <c r="C77" s="13">
        <v>43717</v>
      </c>
      <c r="D77" s="26"/>
      <c r="E77" s="19">
        <v>2</v>
      </c>
      <c r="F77" s="15">
        <v>45</v>
      </c>
      <c r="I77" s="17">
        <v>468</v>
      </c>
      <c r="K77" s="18">
        <f t="shared" si="3"/>
        <v>468</v>
      </c>
      <c r="L77" s="21">
        <f>IF(ISERROR(VLOOKUP($F77,#REF!,6,0)*G77/1000),0,VLOOKUP($F77,#REF!,6,0)*G77/1000)</f>
        <v>0</v>
      </c>
      <c r="M77" s="21">
        <f>IF(ISERROR(VLOOKUP($F77,#REF!,6,0)*H77/1000),0,VLOOKUP($F77,#REF!,6,0)*H77/1000)</f>
        <v>0</v>
      </c>
      <c r="N77" s="21">
        <f>IF(ISERROR(VLOOKUP($F77,#REF!,6,0)*I77/1000),0,VLOOKUP($F77,#REF!,6,0)*I77/1000)</f>
        <v>0</v>
      </c>
      <c r="O77" s="21">
        <f>IF(ISERROR(VLOOKUP($F77,#REF!,6,0)*J77/1000),0,VLOOKUP($F77,#REF!,6,0)*J77/1000)</f>
        <v>0</v>
      </c>
      <c r="P77" s="21">
        <f>IF(ISERROR(VLOOKUP(F77,#REF!,6,0)*K77/1000),0,VLOOKUP(F77,#REF!,6,0)*K77/1000)</f>
        <v>0</v>
      </c>
      <c r="Q77" s="6">
        <f>IF(ISERROR(VLOOKUP(F77,#REF!,3,0)),0,VLOOKUP(F77,#REF!,3,0))</f>
        <v>0</v>
      </c>
      <c r="R77" s="6">
        <f>IF(ISERROR(VLOOKUP(F77,#REF!,4,0)),0,VLOOKUP(F77,#REF!,4,0))</f>
        <v>0</v>
      </c>
      <c r="S77" s="8">
        <f>IF(ISERROR(VLOOKUP(F77,#REF!,4,0)),0,VLOOKUP(F77,#REF!,10,0)/60*K77)</f>
        <v>0</v>
      </c>
      <c r="T77" s="3"/>
      <c r="U77" s="3"/>
      <c r="V77" s="4"/>
    </row>
    <row r="78" spans="1:22" x14ac:dyDescent="0.3">
      <c r="A78" s="5">
        <f t="shared" si="4"/>
        <v>2019</v>
      </c>
      <c r="B78" s="6" t="str">
        <f t="shared" si="5"/>
        <v>SETEMBRO</v>
      </c>
      <c r="C78" s="13">
        <v>43717</v>
      </c>
      <c r="D78" s="26"/>
      <c r="E78" s="19">
        <v>2</v>
      </c>
      <c r="F78" s="15">
        <v>26</v>
      </c>
      <c r="H78" s="17">
        <v>1571</v>
      </c>
      <c r="K78" s="18">
        <f t="shared" si="3"/>
        <v>1571</v>
      </c>
      <c r="L78" s="21">
        <f>IF(ISERROR(VLOOKUP($F78,#REF!,6,0)*G78/1000),0,VLOOKUP($F78,#REF!,6,0)*G78/1000)</f>
        <v>0</v>
      </c>
      <c r="M78" s="21">
        <f>IF(ISERROR(VLOOKUP($F78,#REF!,6,0)*H78/1000),0,VLOOKUP($F78,#REF!,6,0)*H78/1000)</f>
        <v>0</v>
      </c>
      <c r="N78" s="21">
        <f>IF(ISERROR(VLOOKUP($F78,#REF!,6,0)*I78/1000),0,VLOOKUP($F78,#REF!,6,0)*I78/1000)</f>
        <v>0</v>
      </c>
      <c r="O78" s="21">
        <f>IF(ISERROR(VLOOKUP($F78,#REF!,6,0)*J78/1000),0,VLOOKUP($F78,#REF!,6,0)*J78/1000)</f>
        <v>0</v>
      </c>
      <c r="P78" s="21">
        <f>IF(ISERROR(VLOOKUP(F78,#REF!,6,0)*K78/1000),0,VLOOKUP(F78,#REF!,6,0)*K78/1000)</f>
        <v>0</v>
      </c>
      <c r="Q78" s="6">
        <f>IF(ISERROR(VLOOKUP(F78,#REF!,3,0)),0,VLOOKUP(F78,#REF!,3,0))</f>
        <v>0</v>
      </c>
      <c r="R78" s="6">
        <f>IF(ISERROR(VLOOKUP(F78,#REF!,4,0)),0,VLOOKUP(F78,#REF!,4,0))</f>
        <v>0</v>
      </c>
      <c r="S78" s="8">
        <f>IF(ISERROR(VLOOKUP(F78,#REF!,4,0)),0,VLOOKUP(F78,#REF!,10,0)/60*K78)</f>
        <v>0</v>
      </c>
      <c r="T78" s="3"/>
      <c r="U78" s="3"/>
      <c r="V78" s="4"/>
    </row>
    <row r="79" spans="1:22" x14ac:dyDescent="0.3">
      <c r="A79" s="5">
        <f t="shared" si="4"/>
        <v>2019</v>
      </c>
      <c r="B79" s="6" t="str">
        <f t="shared" si="5"/>
        <v>SETEMBRO</v>
      </c>
      <c r="C79" s="13">
        <v>43717</v>
      </c>
      <c r="D79" s="26"/>
      <c r="E79" s="19">
        <v>2</v>
      </c>
      <c r="F79" s="15">
        <v>46</v>
      </c>
      <c r="G79" s="17">
        <v>346</v>
      </c>
      <c r="H79" s="17">
        <v>616</v>
      </c>
      <c r="I79" s="17">
        <v>278</v>
      </c>
      <c r="K79" s="18">
        <f t="shared" si="3"/>
        <v>1240</v>
      </c>
      <c r="L79" s="21">
        <f>IF(ISERROR(VLOOKUP($F79,#REF!,6,0)*G79/1000),0,VLOOKUP($F79,#REF!,6,0)*G79/1000)</f>
        <v>0</v>
      </c>
      <c r="M79" s="21">
        <f>IF(ISERROR(VLOOKUP($F79,#REF!,6,0)*H79/1000),0,VLOOKUP($F79,#REF!,6,0)*H79/1000)</f>
        <v>0</v>
      </c>
      <c r="N79" s="21">
        <f>IF(ISERROR(VLOOKUP($F79,#REF!,6,0)*I79/1000),0,VLOOKUP($F79,#REF!,6,0)*I79/1000)</f>
        <v>0</v>
      </c>
      <c r="O79" s="21">
        <f>IF(ISERROR(VLOOKUP($F79,#REF!,6,0)*J79/1000),0,VLOOKUP($F79,#REF!,6,0)*J79/1000)</f>
        <v>0</v>
      </c>
      <c r="P79" s="21">
        <f>IF(ISERROR(VLOOKUP(F79,#REF!,6,0)*K79/1000),0,VLOOKUP(F79,#REF!,6,0)*K79/1000)</f>
        <v>0</v>
      </c>
      <c r="Q79" s="6">
        <f>IF(ISERROR(VLOOKUP(F79,#REF!,3,0)),0,VLOOKUP(F79,#REF!,3,0))</f>
        <v>0</v>
      </c>
      <c r="R79" s="6">
        <f>IF(ISERROR(VLOOKUP(F79,#REF!,4,0)),0,VLOOKUP(F79,#REF!,4,0))</f>
        <v>0</v>
      </c>
      <c r="S79" s="8">
        <f>IF(ISERROR(VLOOKUP(F79,#REF!,4,0)),0,VLOOKUP(F79,#REF!,10,0)/60*K79)</f>
        <v>0</v>
      </c>
      <c r="T79" s="3"/>
      <c r="U79" s="3"/>
      <c r="V79" s="4"/>
    </row>
    <row r="80" spans="1:22" x14ac:dyDescent="0.3">
      <c r="A80" s="5">
        <f t="shared" si="4"/>
        <v>2019</v>
      </c>
      <c r="B80" s="6" t="str">
        <f t="shared" si="5"/>
        <v>SETEMBRO</v>
      </c>
      <c r="C80" s="13">
        <v>43717</v>
      </c>
      <c r="D80" s="26"/>
      <c r="E80" s="19">
        <v>3</v>
      </c>
      <c r="F80" s="15">
        <v>31</v>
      </c>
      <c r="G80" s="17">
        <v>2880</v>
      </c>
      <c r="H80" s="17">
        <v>200</v>
      </c>
      <c r="I80" s="17">
        <v>90</v>
      </c>
      <c r="K80" s="18">
        <f t="shared" si="3"/>
        <v>3170</v>
      </c>
      <c r="L80" s="21">
        <f>IF(ISERROR(VLOOKUP($F80,#REF!,6,0)*G80/1000),0,VLOOKUP($F80,#REF!,6,0)*G80/1000)</f>
        <v>0</v>
      </c>
      <c r="M80" s="21">
        <f>IF(ISERROR(VLOOKUP($F80,#REF!,6,0)*H80/1000),0,VLOOKUP($F80,#REF!,6,0)*H80/1000)</f>
        <v>0</v>
      </c>
      <c r="N80" s="21">
        <f>IF(ISERROR(VLOOKUP($F80,#REF!,6,0)*I80/1000),0,VLOOKUP($F80,#REF!,6,0)*I80/1000)</f>
        <v>0</v>
      </c>
      <c r="O80" s="21">
        <f>IF(ISERROR(VLOOKUP($F80,#REF!,6,0)*J80/1000),0,VLOOKUP($F80,#REF!,6,0)*J80/1000)</f>
        <v>0</v>
      </c>
      <c r="P80" s="21">
        <f>IF(ISERROR(VLOOKUP(F80,#REF!,6,0)*K80/1000),0,VLOOKUP(F80,#REF!,6,0)*K80/1000)</f>
        <v>0</v>
      </c>
      <c r="Q80" s="6">
        <f>IF(ISERROR(VLOOKUP(F80,#REF!,3,0)),0,VLOOKUP(F80,#REF!,3,0))</f>
        <v>0</v>
      </c>
      <c r="R80" s="6">
        <f>IF(ISERROR(VLOOKUP(F80,#REF!,4,0)),0,VLOOKUP(F80,#REF!,4,0))</f>
        <v>0</v>
      </c>
      <c r="S80" s="8">
        <f>IF(ISERROR(VLOOKUP(F80,#REF!,4,0)),0,VLOOKUP(F80,#REF!,10,0)/60*K80)</f>
        <v>0</v>
      </c>
      <c r="T80" s="3"/>
      <c r="U80" s="3"/>
      <c r="V80" s="4"/>
    </row>
    <row r="81" spans="1:22" x14ac:dyDescent="0.3">
      <c r="A81" s="5">
        <f t="shared" si="4"/>
        <v>2019</v>
      </c>
      <c r="B81" s="6" t="str">
        <f t="shared" si="5"/>
        <v>SETEMBRO</v>
      </c>
      <c r="C81" s="13">
        <v>43717</v>
      </c>
      <c r="D81" s="26"/>
      <c r="E81" s="19">
        <v>3</v>
      </c>
      <c r="F81" s="15">
        <v>55</v>
      </c>
      <c r="G81" s="17">
        <v>546</v>
      </c>
      <c r="H81" s="17">
        <v>40</v>
      </c>
      <c r="I81" s="17">
        <v>150</v>
      </c>
      <c r="K81" s="18">
        <f t="shared" si="3"/>
        <v>736</v>
      </c>
      <c r="L81" s="21">
        <f>IF(ISERROR(VLOOKUP($F81,#REF!,6,0)*G81/1000),0,VLOOKUP($F81,#REF!,6,0)*G81/1000)</f>
        <v>0</v>
      </c>
      <c r="M81" s="21">
        <f>IF(ISERROR(VLOOKUP($F81,#REF!,6,0)*H81/1000),0,VLOOKUP($F81,#REF!,6,0)*H81/1000)</f>
        <v>0</v>
      </c>
      <c r="N81" s="21">
        <f>IF(ISERROR(VLOOKUP($F81,#REF!,6,0)*I81/1000),0,VLOOKUP($F81,#REF!,6,0)*I81/1000)</f>
        <v>0</v>
      </c>
      <c r="O81" s="21">
        <f>IF(ISERROR(VLOOKUP($F81,#REF!,6,0)*J81/1000),0,VLOOKUP($F81,#REF!,6,0)*J81/1000)</f>
        <v>0</v>
      </c>
      <c r="P81" s="21">
        <f>IF(ISERROR(VLOOKUP(F81,#REF!,6,0)*K81/1000),0,VLOOKUP(F81,#REF!,6,0)*K81/1000)</f>
        <v>0</v>
      </c>
      <c r="Q81" s="6">
        <f>IF(ISERROR(VLOOKUP(F81,#REF!,3,0)),0,VLOOKUP(F81,#REF!,3,0))</f>
        <v>0</v>
      </c>
      <c r="R81" s="6">
        <f>IF(ISERROR(VLOOKUP(F81,#REF!,4,0)),0,VLOOKUP(F81,#REF!,4,0))</f>
        <v>0</v>
      </c>
      <c r="S81" s="8">
        <f>IF(ISERROR(VLOOKUP(F81,#REF!,4,0)),0,VLOOKUP(F81,#REF!,10,0)/60*K81)</f>
        <v>0</v>
      </c>
      <c r="T81" s="3"/>
      <c r="U81" s="3"/>
      <c r="V81" s="4"/>
    </row>
    <row r="82" spans="1:22" x14ac:dyDescent="0.3">
      <c r="A82" s="5">
        <f t="shared" si="4"/>
        <v>2019</v>
      </c>
      <c r="B82" s="6" t="str">
        <f t="shared" si="5"/>
        <v>SETEMBRO</v>
      </c>
      <c r="C82" s="13">
        <v>43718</v>
      </c>
      <c r="D82" s="26"/>
      <c r="E82" s="19">
        <v>1</v>
      </c>
      <c r="F82" s="15">
        <v>31</v>
      </c>
      <c r="G82" s="17">
        <v>576</v>
      </c>
      <c r="H82" s="17">
        <v>100</v>
      </c>
      <c r="I82" s="17">
        <v>15</v>
      </c>
      <c r="J82" s="17">
        <v>80</v>
      </c>
      <c r="K82" s="18">
        <f t="shared" si="3"/>
        <v>771</v>
      </c>
      <c r="L82" s="21">
        <f>IF(ISERROR(VLOOKUP($F82,#REF!,6,0)*G82/1000),0,VLOOKUP($F82,#REF!,6,0)*G82/1000)</f>
        <v>0</v>
      </c>
      <c r="M82" s="21">
        <f>IF(ISERROR(VLOOKUP($F82,#REF!,6,0)*H82/1000),0,VLOOKUP($F82,#REF!,6,0)*H82/1000)</f>
        <v>0</v>
      </c>
      <c r="N82" s="21">
        <f>IF(ISERROR(VLOOKUP($F82,#REF!,6,0)*I82/1000),0,VLOOKUP($F82,#REF!,6,0)*I82/1000)</f>
        <v>0</v>
      </c>
      <c r="O82" s="21">
        <f>IF(ISERROR(VLOOKUP($F82,#REF!,6,0)*J82/1000),0,VLOOKUP($F82,#REF!,6,0)*J82/1000)</f>
        <v>0</v>
      </c>
      <c r="P82" s="21">
        <f>IF(ISERROR(VLOOKUP(F82,#REF!,6,0)*K82/1000),0,VLOOKUP(F82,#REF!,6,0)*K82/1000)</f>
        <v>0</v>
      </c>
      <c r="Q82" s="6">
        <f>IF(ISERROR(VLOOKUP(F82,#REF!,3,0)),0,VLOOKUP(F82,#REF!,3,0))</f>
        <v>0</v>
      </c>
      <c r="R82" s="6">
        <f>IF(ISERROR(VLOOKUP(F82,#REF!,4,0)),0,VLOOKUP(F82,#REF!,4,0))</f>
        <v>0</v>
      </c>
      <c r="S82" s="8">
        <f>IF(ISERROR(VLOOKUP(F82,#REF!,4,0)),0,VLOOKUP(F82,#REF!,10,0)/60*K82)</f>
        <v>0</v>
      </c>
      <c r="T82" s="3"/>
      <c r="U82" s="3"/>
      <c r="V82" s="4"/>
    </row>
    <row r="83" spans="1:22" x14ac:dyDescent="0.3">
      <c r="A83" s="5">
        <f t="shared" si="4"/>
        <v>2019</v>
      </c>
      <c r="B83" s="6" t="str">
        <f t="shared" si="5"/>
        <v>SETEMBRO</v>
      </c>
      <c r="C83" s="13">
        <v>43718</v>
      </c>
      <c r="D83" s="26"/>
      <c r="E83" s="19">
        <v>1</v>
      </c>
      <c r="F83" s="15">
        <v>9</v>
      </c>
      <c r="G83" s="17">
        <v>160</v>
      </c>
      <c r="H83" s="17">
        <v>5</v>
      </c>
      <c r="I83" s="17">
        <v>3</v>
      </c>
      <c r="J83" s="17">
        <v>8</v>
      </c>
      <c r="K83" s="18">
        <f t="shared" si="3"/>
        <v>176</v>
      </c>
      <c r="L83" s="21">
        <f>IF(ISERROR(VLOOKUP($F83,#REF!,6,0)*G83/1000),0,VLOOKUP($F83,#REF!,6,0)*G83/1000)</f>
        <v>0</v>
      </c>
      <c r="M83" s="21">
        <f>IF(ISERROR(VLOOKUP($F83,#REF!,6,0)*H83/1000),0,VLOOKUP($F83,#REF!,6,0)*H83/1000)</f>
        <v>0</v>
      </c>
      <c r="N83" s="21">
        <f>IF(ISERROR(VLOOKUP($F83,#REF!,6,0)*I83/1000),0,VLOOKUP($F83,#REF!,6,0)*I83/1000)</f>
        <v>0</v>
      </c>
      <c r="O83" s="21">
        <f>IF(ISERROR(VLOOKUP($F83,#REF!,6,0)*J83/1000),0,VLOOKUP($F83,#REF!,6,0)*J83/1000)</f>
        <v>0</v>
      </c>
      <c r="P83" s="21">
        <f>IF(ISERROR(VLOOKUP(F83,#REF!,6,0)*K83/1000),0,VLOOKUP(F83,#REF!,6,0)*K83/1000)</f>
        <v>0</v>
      </c>
      <c r="Q83" s="6">
        <f>IF(ISERROR(VLOOKUP(F83,#REF!,3,0)),0,VLOOKUP(F83,#REF!,3,0))</f>
        <v>0</v>
      </c>
      <c r="R83" s="6">
        <f>IF(ISERROR(VLOOKUP(F83,#REF!,4,0)),0,VLOOKUP(F83,#REF!,4,0))</f>
        <v>0</v>
      </c>
      <c r="S83" s="8">
        <f>IF(ISERROR(VLOOKUP(F83,#REF!,4,0)),0,VLOOKUP(F83,#REF!,10,0)/60*K83)</f>
        <v>0</v>
      </c>
      <c r="T83" s="3"/>
      <c r="U83" s="3"/>
      <c r="V83" s="4"/>
    </row>
    <row r="84" spans="1:22" x14ac:dyDescent="0.3">
      <c r="A84" s="5">
        <f t="shared" si="4"/>
        <v>2019</v>
      </c>
      <c r="B84" s="6" t="str">
        <f t="shared" si="5"/>
        <v>SETEMBRO</v>
      </c>
      <c r="C84" s="13">
        <v>43718</v>
      </c>
      <c r="D84" s="26"/>
      <c r="E84" s="19">
        <v>2</v>
      </c>
      <c r="F84" s="15">
        <v>8</v>
      </c>
      <c r="G84" s="17">
        <v>293</v>
      </c>
      <c r="H84" s="17">
        <v>33</v>
      </c>
      <c r="I84" s="17">
        <v>46</v>
      </c>
      <c r="J84" s="17">
        <v>4</v>
      </c>
      <c r="K84" s="18">
        <f t="shared" si="3"/>
        <v>376</v>
      </c>
      <c r="L84" s="21">
        <f>IF(ISERROR(VLOOKUP($F84,#REF!,6,0)*G84/1000),0,VLOOKUP($F84,#REF!,6,0)*G84/1000)</f>
        <v>0</v>
      </c>
      <c r="M84" s="21">
        <f>IF(ISERROR(VLOOKUP($F84,#REF!,6,0)*H84/1000),0,VLOOKUP($F84,#REF!,6,0)*H84/1000)</f>
        <v>0</v>
      </c>
      <c r="N84" s="21">
        <f>IF(ISERROR(VLOOKUP($F84,#REF!,6,0)*I84/1000),0,VLOOKUP($F84,#REF!,6,0)*I84/1000)</f>
        <v>0</v>
      </c>
      <c r="O84" s="21">
        <f>IF(ISERROR(VLOOKUP($F84,#REF!,6,0)*J84/1000),0,VLOOKUP($F84,#REF!,6,0)*J84/1000)</f>
        <v>0</v>
      </c>
      <c r="P84" s="21">
        <f>IF(ISERROR(VLOOKUP(F84,#REF!,6,0)*K84/1000),0,VLOOKUP(F84,#REF!,6,0)*K84/1000)</f>
        <v>0</v>
      </c>
      <c r="Q84" s="6">
        <f>IF(ISERROR(VLOOKUP(F84,#REF!,3,0)),0,VLOOKUP(F84,#REF!,3,0))</f>
        <v>0</v>
      </c>
      <c r="R84" s="6">
        <f>IF(ISERROR(VLOOKUP(F84,#REF!,4,0)),0,VLOOKUP(F84,#REF!,4,0))</f>
        <v>0</v>
      </c>
      <c r="S84" s="8">
        <f>IF(ISERROR(VLOOKUP(F84,#REF!,4,0)),0,VLOOKUP(F84,#REF!,10,0)/60*K84)</f>
        <v>0</v>
      </c>
      <c r="T84" s="3"/>
      <c r="U84" s="3"/>
      <c r="V84" s="4"/>
    </row>
    <row r="85" spans="1:22" x14ac:dyDescent="0.3">
      <c r="A85" s="5">
        <f t="shared" si="4"/>
        <v>2019</v>
      </c>
      <c r="B85" s="6" t="str">
        <f t="shared" si="5"/>
        <v>SETEMBRO</v>
      </c>
      <c r="C85" s="13">
        <v>43718</v>
      </c>
      <c r="D85" s="26"/>
      <c r="E85" s="19">
        <v>1</v>
      </c>
      <c r="F85" s="15">
        <v>49</v>
      </c>
      <c r="G85" s="17">
        <v>869</v>
      </c>
      <c r="H85" s="17">
        <v>400</v>
      </c>
      <c r="I85" s="17">
        <v>400</v>
      </c>
      <c r="K85" s="18">
        <f t="shared" si="3"/>
        <v>1669</v>
      </c>
      <c r="L85" s="21">
        <f>IF(ISERROR(VLOOKUP($F85,#REF!,6,0)*G85/1000),0,VLOOKUP($F85,#REF!,6,0)*G85/1000)</f>
        <v>0</v>
      </c>
      <c r="M85" s="21">
        <f>IF(ISERROR(VLOOKUP($F85,#REF!,6,0)*H85/1000),0,VLOOKUP($F85,#REF!,6,0)*H85/1000)</f>
        <v>0</v>
      </c>
      <c r="N85" s="21">
        <f>IF(ISERROR(VLOOKUP($F85,#REF!,6,0)*I85/1000),0,VLOOKUP($F85,#REF!,6,0)*I85/1000)</f>
        <v>0</v>
      </c>
      <c r="O85" s="21">
        <f>IF(ISERROR(VLOOKUP($F85,#REF!,6,0)*J85/1000),0,VLOOKUP($F85,#REF!,6,0)*J85/1000)</f>
        <v>0</v>
      </c>
      <c r="P85" s="21">
        <f>IF(ISERROR(VLOOKUP(F85,#REF!,6,0)*K85/1000),0,VLOOKUP(F85,#REF!,6,0)*K85/1000)</f>
        <v>0</v>
      </c>
      <c r="Q85" s="6">
        <f>IF(ISERROR(VLOOKUP(F85,#REF!,3,0)),0,VLOOKUP(F85,#REF!,3,0))</f>
        <v>0</v>
      </c>
      <c r="R85" s="6">
        <f>IF(ISERROR(VLOOKUP(F85,#REF!,4,0)),0,VLOOKUP(F85,#REF!,4,0))</f>
        <v>0</v>
      </c>
      <c r="S85" s="8">
        <f>IF(ISERROR(VLOOKUP(F85,#REF!,4,0)),0,VLOOKUP(F85,#REF!,10,0)/60*K85)</f>
        <v>0</v>
      </c>
      <c r="T85" s="3"/>
      <c r="U85" s="3"/>
      <c r="V85" s="4"/>
    </row>
    <row r="86" spans="1:22" x14ac:dyDescent="0.3">
      <c r="A86" s="5">
        <f t="shared" si="4"/>
        <v>2019</v>
      </c>
      <c r="B86" s="6" t="str">
        <f t="shared" si="5"/>
        <v>SETEMBRO</v>
      </c>
      <c r="C86" s="13">
        <v>43718</v>
      </c>
      <c r="D86" s="26"/>
      <c r="E86" s="19">
        <v>1</v>
      </c>
      <c r="F86" s="15">
        <v>45</v>
      </c>
      <c r="G86" s="17">
        <v>902</v>
      </c>
      <c r="K86" s="18">
        <f t="shared" si="3"/>
        <v>902</v>
      </c>
      <c r="L86" s="21">
        <f>IF(ISERROR(VLOOKUP($F86,#REF!,6,0)*G86/1000),0,VLOOKUP($F86,#REF!,6,0)*G86/1000)</f>
        <v>0</v>
      </c>
      <c r="M86" s="21">
        <f>IF(ISERROR(VLOOKUP($F86,#REF!,6,0)*H86/1000),0,VLOOKUP($F86,#REF!,6,0)*H86/1000)</f>
        <v>0</v>
      </c>
      <c r="N86" s="21">
        <f>IF(ISERROR(VLOOKUP($F86,#REF!,6,0)*I86/1000),0,VLOOKUP($F86,#REF!,6,0)*I86/1000)</f>
        <v>0</v>
      </c>
      <c r="O86" s="21">
        <f>IF(ISERROR(VLOOKUP($F86,#REF!,6,0)*J86/1000),0,VLOOKUP($F86,#REF!,6,0)*J86/1000)</f>
        <v>0</v>
      </c>
      <c r="P86" s="21">
        <f>IF(ISERROR(VLOOKUP(F86,#REF!,6,0)*K86/1000),0,VLOOKUP(F86,#REF!,6,0)*K86/1000)</f>
        <v>0</v>
      </c>
      <c r="Q86" s="6">
        <f>IF(ISERROR(VLOOKUP(F86,#REF!,3,0)),0,VLOOKUP(F86,#REF!,3,0))</f>
        <v>0</v>
      </c>
      <c r="R86" s="6">
        <f>IF(ISERROR(VLOOKUP(F86,#REF!,4,0)),0,VLOOKUP(F86,#REF!,4,0))</f>
        <v>0</v>
      </c>
      <c r="S86" s="8">
        <f>IF(ISERROR(VLOOKUP(F86,#REF!,4,0)),0,VLOOKUP(F86,#REF!,10,0)/60*K86)</f>
        <v>0</v>
      </c>
      <c r="T86" s="3"/>
      <c r="U86" s="3"/>
      <c r="V86" s="4"/>
    </row>
    <row r="87" spans="1:22" x14ac:dyDescent="0.3">
      <c r="A87" s="5">
        <f t="shared" si="4"/>
        <v>2019</v>
      </c>
      <c r="B87" s="6" t="str">
        <f t="shared" si="5"/>
        <v>SETEMBRO</v>
      </c>
      <c r="C87" s="13">
        <v>43718</v>
      </c>
      <c r="D87" s="26"/>
      <c r="E87" s="19">
        <v>1</v>
      </c>
      <c r="F87" s="15">
        <v>26</v>
      </c>
      <c r="G87" s="17">
        <v>1628</v>
      </c>
      <c r="K87" s="18">
        <f t="shared" si="3"/>
        <v>1628</v>
      </c>
      <c r="L87" s="21">
        <f>IF(ISERROR(VLOOKUP($F87,#REF!,6,0)*G87/1000),0,VLOOKUP($F87,#REF!,6,0)*G87/1000)</f>
        <v>0</v>
      </c>
      <c r="M87" s="21">
        <f>IF(ISERROR(VLOOKUP($F87,#REF!,6,0)*H87/1000),0,VLOOKUP($F87,#REF!,6,0)*H87/1000)</f>
        <v>0</v>
      </c>
      <c r="N87" s="21">
        <f>IF(ISERROR(VLOOKUP($F87,#REF!,6,0)*I87/1000),0,VLOOKUP($F87,#REF!,6,0)*I87/1000)</f>
        <v>0</v>
      </c>
      <c r="O87" s="21">
        <f>IF(ISERROR(VLOOKUP($F87,#REF!,6,0)*J87/1000),0,VLOOKUP($F87,#REF!,6,0)*J87/1000)</f>
        <v>0</v>
      </c>
      <c r="P87" s="21">
        <f>IF(ISERROR(VLOOKUP(F87,#REF!,6,0)*K87/1000),0,VLOOKUP(F87,#REF!,6,0)*K87/1000)</f>
        <v>0</v>
      </c>
      <c r="Q87" s="6">
        <f>IF(ISERROR(VLOOKUP(F87,#REF!,3,0)),0,VLOOKUP(F87,#REF!,3,0))</f>
        <v>0</v>
      </c>
      <c r="R87" s="6">
        <f>IF(ISERROR(VLOOKUP(F87,#REF!,4,0)),0,VLOOKUP(F87,#REF!,4,0))</f>
        <v>0</v>
      </c>
      <c r="S87" s="8">
        <f>IF(ISERROR(VLOOKUP(F87,#REF!,4,0)),0,VLOOKUP(F87,#REF!,10,0)/60*K87)</f>
        <v>0</v>
      </c>
      <c r="T87" s="3"/>
      <c r="U87" s="3"/>
      <c r="V87" s="4"/>
    </row>
    <row r="88" spans="1:22" x14ac:dyDescent="0.3">
      <c r="A88" s="5">
        <f t="shared" si="4"/>
        <v>2019</v>
      </c>
      <c r="B88" s="6" t="str">
        <f t="shared" si="5"/>
        <v>SETEMBRO</v>
      </c>
      <c r="C88" s="13">
        <v>43718</v>
      </c>
      <c r="D88" s="26"/>
      <c r="E88" s="19">
        <v>1</v>
      </c>
      <c r="F88" s="15">
        <v>46</v>
      </c>
      <c r="G88" s="17">
        <v>712</v>
      </c>
      <c r="H88" s="17">
        <v>1050</v>
      </c>
      <c r="I88" s="17">
        <v>170</v>
      </c>
      <c r="K88" s="18">
        <f t="shared" si="3"/>
        <v>1932</v>
      </c>
      <c r="L88" s="21">
        <f>IF(ISERROR(VLOOKUP($F88,#REF!,6,0)*G88/1000),0,VLOOKUP($F88,#REF!,6,0)*G88/1000)</f>
        <v>0</v>
      </c>
      <c r="M88" s="21">
        <f>IF(ISERROR(VLOOKUP($F88,#REF!,6,0)*H88/1000),0,VLOOKUP($F88,#REF!,6,0)*H88/1000)</f>
        <v>0</v>
      </c>
      <c r="N88" s="21">
        <f>IF(ISERROR(VLOOKUP($F88,#REF!,6,0)*I88/1000),0,VLOOKUP($F88,#REF!,6,0)*I88/1000)</f>
        <v>0</v>
      </c>
      <c r="O88" s="21">
        <f>IF(ISERROR(VLOOKUP($F88,#REF!,6,0)*J88/1000),0,VLOOKUP($F88,#REF!,6,0)*J88/1000)</f>
        <v>0</v>
      </c>
      <c r="P88" s="21">
        <f>IF(ISERROR(VLOOKUP(F88,#REF!,6,0)*K88/1000),0,VLOOKUP(F88,#REF!,6,0)*K88/1000)</f>
        <v>0</v>
      </c>
      <c r="Q88" s="6">
        <f>IF(ISERROR(VLOOKUP(F88,#REF!,3,0)),0,VLOOKUP(F88,#REF!,3,0))</f>
        <v>0</v>
      </c>
      <c r="R88" s="6">
        <f>IF(ISERROR(VLOOKUP(F88,#REF!,4,0)),0,VLOOKUP(F88,#REF!,4,0))</f>
        <v>0</v>
      </c>
      <c r="S88" s="8">
        <f>IF(ISERROR(VLOOKUP(F88,#REF!,4,0)),0,VLOOKUP(F88,#REF!,10,0)/60*K88)</f>
        <v>0</v>
      </c>
      <c r="T88" s="3"/>
      <c r="U88" s="3"/>
      <c r="V88" s="4"/>
    </row>
    <row r="89" spans="1:22" x14ac:dyDescent="0.3">
      <c r="A89" s="5">
        <f t="shared" si="4"/>
        <v>2019</v>
      </c>
      <c r="B89" s="6" t="str">
        <f t="shared" si="5"/>
        <v>SETEMBRO</v>
      </c>
      <c r="C89" s="13">
        <v>43718</v>
      </c>
      <c r="D89" s="26"/>
      <c r="E89" s="19">
        <v>2</v>
      </c>
      <c r="F89" s="15">
        <v>43</v>
      </c>
      <c r="G89" s="17">
        <v>505</v>
      </c>
      <c r="K89" s="18">
        <f t="shared" si="3"/>
        <v>505</v>
      </c>
      <c r="L89" s="21">
        <f>IF(ISERROR(VLOOKUP($F89,#REF!,6,0)*G89/1000),0,VLOOKUP($F89,#REF!,6,0)*G89/1000)</f>
        <v>0</v>
      </c>
      <c r="M89" s="21">
        <f>IF(ISERROR(VLOOKUP($F89,#REF!,6,0)*H89/1000),0,VLOOKUP($F89,#REF!,6,0)*H89/1000)</f>
        <v>0</v>
      </c>
      <c r="N89" s="21">
        <f>IF(ISERROR(VLOOKUP($F89,#REF!,6,0)*I89/1000),0,VLOOKUP($F89,#REF!,6,0)*I89/1000)</f>
        <v>0</v>
      </c>
      <c r="O89" s="21">
        <f>IF(ISERROR(VLOOKUP($F89,#REF!,6,0)*J89/1000),0,VLOOKUP($F89,#REF!,6,0)*J89/1000)</f>
        <v>0</v>
      </c>
      <c r="P89" s="21">
        <f>IF(ISERROR(VLOOKUP(F89,#REF!,6,0)*K89/1000),0,VLOOKUP(F89,#REF!,6,0)*K89/1000)</f>
        <v>0</v>
      </c>
      <c r="Q89" s="6">
        <f>IF(ISERROR(VLOOKUP(F89,#REF!,3,0)),0,VLOOKUP(F89,#REF!,3,0))</f>
        <v>0</v>
      </c>
      <c r="R89" s="6">
        <f>IF(ISERROR(VLOOKUP(F89,#REF!,4,0)),0,VLOOKUP(F89,#REF!,4,0))</f>
        <v>0</v>
      </c>
      <c r="S89" s="8">
        <f>IF(ISERROR(VLOOKUP(F89,#REF!,4,0)),0,VLOOKUP(F89,#REF!,10,0)/60*K89)</f>
        <v>0</v>
      </c>
      <c r="T89" s="3"/>
      <c r="U89" s="3"/>
      <c r="V89" s="4"/>
    </row>
    <row r="90" spans="1:22" x14ac:dyDescent="0.3">
      <c r="A90" s="5">
        <f t="shared" si="4"/>
        <v>2019</v>
      </c>
      <c r="B90" s="6" t="str">
        <f t="shared" si="5"/>
        <v>SETEMBRO</v>
      </c>
      <c r="C90" s="13">
        <v>43718</v>
      </c>
      <c r="D90" s="26"/>
      <c r="E90" s="19">
        <v>2</v>
      </c>
      <c r="F90" s="15">
        <v>49</v>
      </c>
      <c r="G90" s="17">
        <v>235</v>
      </c>
      <c r="H90" s="17">
        <v>10</v>
      </c>
      <c r="I90" s="17">
        <v>31</v>
      </c>
      <c r="K90" s="18">
        <f t="shared" si="3"/>
        <v>276</v>
      </c>
      <c r="L90" s="21">
        <f>IF(ISERROR(VLOOKUP($F90,#REF!,6,0)*G90/1000),0,VLOOKUP($F90,#REF!,6,0)*G90/1000)</f>
        <v>0</v>
      </c>
      <c r="M90" s="21">
        <f>IF(ISERROR(VLOOKUP($F90,#REF!,6,0)*H90/1000),0,VLOOKUP($F90,#REF!,6,0)*H90/1000)</f>
        <v>0</v>
      </c>
      <c r="N90" s="21">
        <f>IF(ISERROR(VLOOKUP($F90,#REF!,6,0)*I90/1000),0,VLOOKUP($F90,#REF!,6,0)*I90/1000)</f>
        <v>0</v>
      </c>
      <c r="O90" s="21">
        <f>IF(ISERROR(VLOOKUP($F90,#REF!,6,0)*J90/1000),0,VLOOKUP($F90,#REF!,6,0)*J90/1000)</f>
        <v>0</v>
      </c>
      <c r="P90" s="21">
        <f>IF(ISERROR(VLOOKUP(F90,#REF!,6,0)*K90/1000),0,VLOOKUP(F90,#REF!,6,0)*K90/1000)</f>
        <v>0</v>
      </c>
      <c r="Q90" s="6">
        <f>IF(ISERROR(VLOOKUP(F90,#REF!,3,0)),0,VLOOKUP(F90,#REF!,3,0))</f>
        <v>0</v>
      </c>
      <c r="R90" s="6">
        <f>IF(ISERROR(VLOOKUP(F90,#REF!,4,0)),0,VLOOKUP(F90,#REF!,4,0))</f>
        <v>0</v>
      </c>
      <c r="S90" s="8">
        <f>IF(ISERROR(VLOOKUP(F90,#REF!,4,0)),0,VLOOKUP(F90,#REF!,10,0)/60*K90)</f>
        <v>0</v>
      </c>
      <c r="T90" s="3"/>
      <c r="U90" s="3"/>
      <c r="V90" s="4"/>
    </row>
    <row r="91" spans="1:22" x14ac:dyDescent="0.3">
      <c r="A91" s="5">
        <f t="shared" si="4"/>
        <v>2019</v>
      </c>
      <c r="B91" s="6" t="str">
        <f t="shared" si="5"/>
        <v>SETEMBRO</v>
      </c>
      <c r="C91" s="13">
        <v>43718</v>
      </c>
      <c r="D91" s="26"/>
      <c r="E91" s="19">
        <v>2</v>
      </c>
      <c r="F91" s="15">
        <v>45</v>
      </c>
      <c r="G91" s="17">
        <v>226</v>
      </c>
      <c r="H91" s="17">
        <v>427</v>
      </c>
      <c r="I91" s="17">
        <v>541</v>
      </c>
      <c r="K91" s="18">
        <f t="shared" si="3"/>
        <v>1194</v>
      </c>
      <c r="L91" s="21">
        <f>IF(ISERROR(VLOOKUP($F91,#REF!,6,0)*G91/1000),0,VLOOKUP($F91,#REF!,6,0)*G91/1000)</f>
        <v>0</v>
      </c>
      <c r="M91" s="21">
        <f>IF(ISERROR(VLOOKUP($F91,#REF!,6,0)*H91/1000),0,VLOOKUP($F91,#REF!,6,0)*H91/1000)</f>
        <v>0</v>
      </c>
      <c r="N91" s="21">
        <f>IF(ISERROR(VLOOKUP($F91,#REF!,6,0)*I91/1000),0,VLOOKUP($F91,#REF!,6,0)*I91/1000)</f>
        <v>0</v>
      </c>
      <c r="O91" s="21">
        <f>IF(ISERROR(VLOOKUP($F91,#REF!,6,0)*J91/1000),0,VLOOKUP($F91,#REF!,6,0)*J91/1000)</f>
        <v>0</v>
      </c>
      <c r="P91" s="21">
        <f>IF(ISERROR(VLOOKUP(F91,#REF!,6,0)*K91/1000),0,VLOOKUP(F91,#REF!,6,0)*K91/1000)</f>
        <v>0</v>
      </c>
      <c r="Q91" s="6">
        <f>IF(ISERROR(VLOOKUP(F91,#REF!,3,0)),0,VLOOKUP(F91,#REF!,3,0))</f>
        <v>0</v>
      </c>
      <c r="R91" s="6">
        <f>IF(ISERROR(VLOOKUP(F91,#REF!,4,0)),0,VLOOKUP(F91,#REF!,4,0))</f>
        <v>0</v>
      </c>
      <c r="S91" s="8">
        <f>IF(ISERROR(VLOOKUP(F91,#REF!,4,0)),0,VLOOKUP(F91,#REF!,10,0)/60*K91)</f>
        <v>0</v>
      </c>
      <c r="T91" s="3"/>
      <c r="U91" s="3"/>
      <c r="V91" s="4"/>
    </row>
    <row r="92" spans="1:22" x14ac:dyDescent="0.3">
      <c r="A92" s="5">
        <f t="shared" si="4"/>
        <v>2019</v>
      </c>
      <c r="B92" s="6" t="str">
        <f t="shared" si="5"/>
        <v>SETEMBRO</v>
      </c>
      <c r="C92" s="13">
        <v>43718</v>
      </c>
      <c r="D92" s="26"/>
      <c r="E92" s="19">
        <v>2</v>
      </c>
      <c r="F92" s="15">
        <v>26</v>
      </c>
      <c r="H92" s="17">
        <v>866</v>
      </c>
      <c r="I92" s="17">
        <v>737</v>
      </c>
      <c r="K92" s="18">
        <f t="shared" si="3"/>
        <v>1603</v>
      </c>
      <c r="L92" s="21">
        <f>IF(ISERROR(VLOOKUP($F92,#REF!,6,0)*G92/1000),0,VLOOKUP($F92,#REF!,6,0)*G92/1000)</f>
        <v>0</v>
      </c>
      <c r="M92" s="21">
        <f>IF(ISERROR(VLOOKUP($F92,#REF!,6,0)*H92/1000),0,VLOOKUP($F92,#REF!,6,0)*H92/1000)</f>
        <v>0</v>
      </c>
      <c r="N92" s="21">
        <f>IF(ISERROR(VLOOKUP($F92,#REF!,6,0)*I92/1000),0,VLOOKUP($F92,#REF!,6,0)*I92/1000)</f>
        <v>0</v>
      </c>
      <c r="O92" s="21">
        <f>IF(ISERROR(VLOOKUP($F92,#REF!,6,0)*J92/1000),0,VLOOKUP($F92,#REF!,6,0)*J92/1000)</f>
        <v>0</v>
      </c>
      <c r="P92" s="21">
        <f>IF(ISERROR(VLOOKUP(F92,#REF!,6,0)*K92/1000),0,VLOOKUP(F92,#REF!,6,0)*K92/1000)</f>
        <v>0</v>
      </c>
      <c r="Q92" s="6">
        <f>IF(ISERROR(VLOOKUP(F92,#REF!,3,0)),0,VLOOKUP(F92,#REF!,3,0))</f>
        <v>0</v>
      </c>
      <c r="R92" s="6">
        <f>IF(ISERROR(VLOOKUP(F92,#REF!,4,0)),0,VLOOKUP(F92,#REF!,4,0))</f>
        <v>0</v>
      </c>
      <c r="S92" s="8">
        <f>IF(ISERROR(VLOOKUP(F92,#REF!,4,0)),0,VLOOKUP(F92,#REF!,10,0)/60*K92)</f>
        <v>0</v>
      </c>
      <c r="T92" s="3"/>
      <c r="U92" s="3"/>
      <c r="V92" s="4"/>
    </row>
    <row r="93" spans="1:22" x14ac:dyDescent="0.3">
      <c r="A93" s="5">
        <f t="shared" si="4"/>
        <v>2019</v>
      </c>
      <c r="B93" s="6" t="str">
        <f t="shared" si="5"/>
        <v>SETEMBRO</v>
      </c>
      <c r="C93" s="13">
        <v>43718</v>
      </c>
      <c r="D93" s="26"/>
      <c r="E93" s="19">
        <v>2</v>
      </c>
      <c r="F93" s="15">
        <v>47</v>
      </c>
      <c r="G93" s="17">
        <v>325</v>
      </c>
      <c r="K93" s="18">
        <f t="shared" si="3"/>
        <v>325</v>
      </c>
      <c r="L93" s="21">
        <f>IF(ISERROR(VLOOKUP($F93,#REF!,6,0)*G93/1000),0,VLOOKUP($F93,#REF!,6,0)*G93/1000)</f>
        <v>0</v>
      </c>
      <c r="M93" s="21">
        <f>IF(ISERROR(VLOOKUP($F93,#REF!,6,0)*H93/1000),0,VLOOKUP($F93,#REF!,6,0)*H93/1000)</f>
        <v>0</v>
      </c>
      <c r="N93" s="21">
        <f>IF(ISERROR(VLOOKUP($F93,#REF!,6,0)*I93/1000),0,VLOOKUP($F93,#REF!,6,0)*I93/1000)</f>
        <v>0</v>
      </c>
      <c r="O93" s="21">
        <f>IF(ISERROR(VLOOKUP($F93,#REF!,6,0)*J93/1000),0,VLOOKUP($F93,#REF!,6,0)*J93/1000)</f>
        <v>0</v>
      </c>
      <c r="P93" s="21">
        <f>IF(ISERROR(VLOOKUP(F93,#REF!,6,0)*K93/1000),0,VLOOKUP(F93,#REF!,6,0)*K93/1000)</f>
        <v>0</v>
      </c>
      <c r="Q93" s="6">
        <f>IF(ISERROR(VLOOKUP(F93,#REF!,3,0)),0,VLOOKUP(F93,#REF!,3,0))</f>
        <v>0</v>
      </c>
      <c r="R93" s="6">
        <f>IF(ISERROR(VLOOKUP(F93,#REF!,4,0)),0,VLOOKUP(F93,#REF!,4,0))</f>
        <v>0</v>
      </c>
      <c r="S93" s="8">
        <f>IF(ISERROR(VLOOKUP(F93,#REF!,4,0)),0,VLOOKUP(F93,#REF!,10,0)/60*K93)</f>
        <v>0</v>
      </c>
      <c r="T93" s="3"/>
      <c r="U93" s="3"/>
      <c r="V93" s="4"/>
    </row>
    <row r="94" spans="1:22" x14ac:dyDescent="0.3">
      <c r="A94" s="5">
        <f t="shared" si="4"/>
        <v>2019</v>
      </c>
      <c r="B94" s="6" t="str">
        <f t="shared" si="5"/>
        <v>SETEMBRO</v>
      </c>
      <c r="C94" s="13">
        <v>43718</v>
      </c>
      <c r="D94" s="26"/>
      <c r="E94" s="19">
        <v>3</v>
      </c>
      <c r="F94" s="15">
        <v>8</v>
      </c>
      <c r="G94" s="17">
        <v>212</v>
      </c>
      <c r="H94" s="17">
        <v>40</v>
      </c>
      <c r="I94" s="17">
        <v>18</v>
      </c>
      <c r="J94" s="17">
        <v>2</v>
      </c>
      <c r="K94" s="18">
        <f t="shared" si="3"/>
        <v>272</v>
      </c>
      <c r="L94" s="21">
        <f>IF(ISERROR(VLOOKUP($F94,#REF!,6,0)*G94/1000),0,VLOOKUP($F94,#REF!,6,0)*G94/1000)</f>
        <v>0</v>
      </c>
      <c r="M94" s="21">
        <f>IF(ISERROR(VLOOKUP($F94,#REF!,6,0)*H94/1000),0,VLOOKUP($F94,#REF!,6,0)*H94/1000)</f>
        <v>0</v>
      </c>
      <c r="N94" s="21">
        <f>IF(ISERROR(VLOOKUP($F94,#REF!,6,0)*I94/1000),0,VLOOKUP($F94,#REF!,6,0)*I94/1000)</f>
        <v>0</v>
      </c>
      <c r="O94" s="21">
        <f>IF(ISERROR(VLOOKUP($F94,#REF!,6,0)*J94/1000),0,VLOOKUP($F94,#REF!,6,0)*J94/1000)</f>
        <v>0</v>
      </c>
      <c r="P94" s="21">
        <f>IF(ISERROR(VLOOKUP(F94,#REF!,6,0)*K94/1000),0,VLOOKUP(F94,#REF!,6,0)*K94/1000)</f>
        <v>0</v>
      </c>
      <c r="Q94" s="6">
        <f>IF(ISERROR(VLOOKUP(F94,#REF!,3,0)),0,VLOOKUP(F94,#REF!,3,0))</f>
        <v>0</v>
      </c>
      <c r="R94" s="6">
        <f>IF(ISERROR(VLOOKUP(F94,#REF!,4,0)),0,VLOOKUP(F94,#REF!,4,0))</f>
        <v>0</v>
      </c>
      <c r="S94" s="8">
        <f>IF(ISERROR(VLOOKUP(F94,#REF!,4,0)),0,VLOOKUP(F94,#REF!,10,0)/60*K94)</f>
        <v>0</v>
      </c>
      <c r="T94" s="3"/>
      <c r="U94" s="3"/>
      <c r="V94" s="4"/>
    </row>
    <row r="95" spans="1:22" x14ac:dyDescent="0.3">
      <c r="A95" s="5">
        <f t="shared" si="4"/>
        <v>2019</v>
      </c>
      <c r="B95" s="6" t="str">
        <f t="shared" si="5"/>
        <v>SETEMBRO</v>
      </c>
      <c r="C95" s="13">
        <v>43718</v>
      </c>
      <c r="D95" s="26"/>
      <c r="E95" s="19">
        <v>3</v>
      </c>
      <c r="F95" s="15">
        <v>9</v>
      </c>
      <c r="G95" s="17">
        <v>23</v>
      </c>
      <c r="K95" s="18">
        <f t="shared" si="3"/>
        <v>23</v>
      </c>
      <c r="L95" s="21">
        <f>IF(ISERROR(VLOOKUP($F95,#REF!,6,0)*G95/1000),0,VLOOKUP($F95,#REF!,6,0)*G95/1000)</f>
        <v>0</v>
      </c>
      <c r="M95" s="21">
        <f>IF(ISERROR(VLOOKUP($F95,#REF!,6,0)*H95/1000),0,VLOOKUP($F95,#REF!,6,0)*H95/1000)</f>
        <v>0</v>
      </c>
      <c r="N95" s="21">
        <f>IF(ISERROR(VLOOKUP($F95,#REF!,6,0)*I95/1000),0,VLOOKUP($F95,#REF!,6,0)*I95/1000)</f>
        <v>0</v>
      </c>
      <c r="O95" s="21">
        <f>IF(ISERROR(VLOOKUP($F95,#REF!,6,0)*J95/1000),0,VLOOKUP($F95,#REF!,6,0)*J95/1000)</f>
        <v>0</v>
      </c>
      <c r="P95" s="21">
        <f>IF(ISERROR(VLOOKUP(F95,#REF!,6,0)*K95/1000),0,VLOOKUP(F95,#REF!,6,0)*K95/1000)</f>
        <v>0</v>
      </c>
      <c r="Q95" s="6">
        <f>IF(ISERROR(VLOOKUP(F95,#REF!,3,0)),0,VLOOKUP(F95,#REF!,3,0))</f>
        <v>0</v>
      </c>
      <c r="R95" s="6">
        <f>IF(ISERROR(VLOOKUP(F95,#REF!,4,0)),0,VLOOKUP(F95,#REF!,4,0))</f>
        <v>0</v>
      </c>
      <c r="S95" s="8">
        <f>IF(ISERROR(VLOOKUP(F95,#REF!,4,0)),0,VLOOKUP(F95,#REF!,10,0)/60*K95)</f>
        <v>0</v>
      </c>
      <c r="T95" s="3"/>
      <c r="U95" s="3"/>
      <c r="V95" s="4"/>
    </row>
    <row r="96" spans="1:22" x14ac:dyDescent="0.3">
      <c r="A96" s="5">
        <f t="shared" si="4"/>
        <v>2019</v>
      </c>
      <c r="B96" s="6" t="str">
        <f t="shared" si="5"/>
        <v>SETEMBRO</v>
      </c>
      <c r="C96" s="13">
        <v>43718</v>
      </c>
      <c r="D96" s="26"/>
      <c r="E96" s="19">
        <v>3</v>
      </c>
      <c r="F96" s="15">
        <v>33</v>
      </c>
      <c r="G96" s="17">
        <v>384</v>
      </c>
      <c r="H96" s="17">
        <v>150</v>
      </c>
      <c r="I96" s="17">
        <v>6</v>
      </c>
      <c r="K96" s="18">
        <f t="shared" si="3"/>
        <v>540</v>
      </c>
      <c r="L96" s="21">
        <f>IF(ISERROR(VLOOKUP($F96,#REF!,6,0)*G96/1000),0,VLOOKUP($F96,#REF!,6,0)*G96/1000)</f>
        <v>0</v>
      </c>
      <c r="M96" s="21">
        <f>IF(ISERROR(VLOOKUP($F96,#REF!,6,0)*H96/1000),0,VLOOKUP($F96,#REF!,6,0)*H96/1000)</f>
        <v>0</v>
      </c>
      <c r="N96" s="21">
        <f>IF(ISERROR(VLOOKUP($F96,#REF!,6,0)*I96/1000),0,VLOOKUP($F96,#REF!,6,0)*I96/1000)</f>
        <v>0</v>
      </c>
      <c r="O96" s="21">
        <f>IF(ISERROR(VLOOKUP($F96,#REF!,6,0)*J96/1000),0,VLOOKUP($F96,#REF!,6,0)*J96/1000)</f>
        <v>0</v>
      </c>
      <c r="P96" s="21">
        <f>IF(ISERROR(VLOOKUP(F96,#REF!,6,0)*K96/1000),0,VLOOKUP(F96,#REF!,6,0)*K96/1000)</f>
        <v>0</v>
      </c>
      <c r="Q96" s="6">
        <f>IF(ISERROR(VLOOKUP(F96,#REF!,3,0)),0,VLOOKUP(F96,#REF!,3,0))</f>
        <v>0</v>
      </c>
      <c r="R96" s="6">
        <f>IF(ISERROR(VLOOKUP(F96,#REF!,4,0)),0,VLOOKUP(F96,#REF!,4,0))</f>
        <v>0</v>
      </c>
      <c r="S96" s="8">
        <f>IF(ISERROR(VLOOKUP(F96,#REF!,4,0)),0,VLOOKUP(F96,#REF!,10,0)/60*K96)</f>
        <v>0</v>
      </c>
      <c r="T96" s="3"/>
      <c r="U96" s="3"/>
      <c r="V96" s="4"/>
    </row>
    <row r="97" spans="1:22" x14ac:dyDescent="0.3">
      <c r="A97" s="5">
        <f t="shared" si="4"/>
        <v>2019</v>
      </c>
      <c r="B97" s="6" t="str">
        <f t="shared" si="5"/>
        <v>SETEMBRO</v>
      </c>
      <c r="C97" s="13">
        <v>43719</v>
      </c>
      <c r="D97" s="26"/>
      <c r="E97" s="19">
        <v>1</v>
      </c>
      <c r="F97" s="15">
        <v>3</v>
      </c>
      <c r="G97" s="17">
        <v>1512</v>
      </c>
      <c r="I97" s="17">
        <v>40</v>
      </c>
      <c r="J97" s="17">
        <v>150</v>
      </c>
      <c r="K97" s="18">
        <f t="shared" si="3"/>
        <v>1702</v>
      </c>
      <c r="L97" s="21">
        <f>IF(ISERROR(VLOOKUP($F97,#REF!,6,0)*G97/1000),0,VLOOKUP($F97,#REF!,6,0)*G97/1000)</f>
        <v>0</v>
      </c>
      <c r="M97" s="21">
        <f>IF(ISERROR(VLOOKUP($F97,#REF!,6,0)*H97/1000),0,VLOOKUP($F97,#REF!,6,0)*H97/1000)</f>
        <v>0</v>
      </c>
      <c r="N97" s="21">
        <f>IF(ISERROR(VLOOKUP($F97,#REF!,6,0)*I97/1000),0,VLOOKUP($F97,#REF!,6,0)*I97/1000)</f>
        <v>0</v>
      </c>
      <c r="O97" s="21">
        <f>IF(ISERROR(VLOOKUP($F97,#REF!,6,0)*J97/1000),0,VLOOKUP($F97,#REF!,6,0)*J97/1000)</f>
        <v>0</v>
      </c>
      <c r="P97" s="21">
        <f>IF(ISERROR(VLOOKUP(F97,#REF!,6,0)*K97/1000),0,VLOOKUP(F97,#REF!,6,0)*K97/1000)</f>
        <v>0</v>
      </c>
      <c r="Q97" s="6">
        <f>IF(ISERROR(VLOOKUP(F97,#REF!,3,0)),0,VLOOKUP(F97,#REF!,3,0))</f>
        <v>0</v>
      </c>
      <c r="R97" s="6">
        <f>IF(ISERROR(VLOOKUP(F97,#REF!,4,0)),0,VLOOKUP(F97,#REF!,4,0))</f>
        <v>0</v>
      </c>
      <c r="S97" s="8">
        <f>IF(ISERROR(VLOOKUP(F97,#REF!,4,0)),0,VLOOKUP(F97,#REF!,10,0)/60*K97)</f>
        <v>0</v>
      </c>
      <c r="T97" s="3"/>
      <c r="U97" s="3"/>
      <c r="V97" s="4"/>
    </row>
    <row r="98" spans="1:22" x14ac:dyDescent="0.3">
      <c r="A98" s="5">
        <f t="shared" si="4"/>
        <v>2019</v>
      </c>
      <c r="B98" s="6" t="str">
        <f t="shared" si="5"/>
        <v>SETEMBRO</v>
      </c>
      <c r="C98" s="13">
        <v>43719</v>
      </c>
      <c r="D98" s="26"/>
      <c r="E98" s="19">
        <v>2</v>
      </c>
      <c r="F98" s="15">
        <v>3</v>
      </c>
      <c r="G98" s="17">
        <v>1080</v>
      </c>
      <c r="I98" s="17">
        <v>58</v>
      </c>
      <c r="J98" s="17">
        <v>142</v>
      </c>
      <c r="K98" s="18">
        <f t="shared" si="3"/>
        <v>1280</v>
      </c>
      <c r="L98" s="21">
        <f>IF(ISERROR(VLOOKUP($F98,#REF!,6,0)*G98/1000),0,VLOOKUP($F98,#REF!,6,0)*G98/1000)</f>
        <v>0</v>
      </c>
      <c r="M98" s="21">
        <f>IF(ISERROR(VLOOKUP($F98,#REF!,6,0)*H98/1000),0,VLOOKUP($F98,#REF!,6,0)*H98/1000)</f>
        <v>0</v>
      </c>
      <c r="N98" s="21">
        <f>IF(ISERROR(VLOOKUP($F98,#REF!,6,0)*I98/1000),0,VLOOKUP($F98,#REF!,6,0)*I98/1000)</f>
        <v>0</v>
      </c>
      <c r="O98" s="21">
        <f>IF(ISERROR(VLOOKUP($F98,#REF!,6,0)*J98/1000),0,VLOOKUP($F98,#REF!,6,0)*J98/1000)</f>
        <v>0</v>
      </c>
      <c r="P98" s="21">
        <f>IF(ISERROR(VLOOKUP(F98,#REF!,6,0)*K98/1000),0,VLOOKUP(F98,#REF!,6,0)*K98/1000)</f>
        <v>0</v>
      </c>
      <c r="Q98" s="6">
        <f>IF(ISERROR(VLOOKUP(F98,#REF!,3,0)),0,VLOOKUP(F98,#REF!,3,0))</f>
        <v>0</v>
      </c>
      <c r="R98" s="6">
        <f>IF(ISERROR(VLOOKUP(F98,#REF!,4,0)),0,VLOOKUP(F98,#REF!,4,0))</f>
        <v>0</v>
      </c>
      <c r="S98" s="8">
        <f>IF(ISERROR(VLOOKUP(F98,#REF!,4,0)),0,VLOOKUP(F98,#REF!,10,0)/60*K98)</f>
        <v>0</v>
      </c>
      <c r="T98" s="3"/>
      <c r="U98" s="3"/>
      <c r="V98" s="4"/>
    </row>
    <row r="99" spans="1:22" x14ac:dyDescent="0.3">
      <c r="A99" s="5">
        <f t="shared" si="4"/>
        <v>2019</v>
      </c>
      <c r="B99" s="6" t="str">
        <f t="shared" si="5"/>
        <v>SETEMBRO</v>
      </c>
      <c r="C99" s="13">
        <v>43719</v>
      </c>
      <c r="D99" s="26"/>
      <c r="E99" s="19">
        <v>2</v>
      </c>
      <c r="F99" s="15">
        <v>56</v>
      </c>
      <c r="I99" s="17">
        <v>110</v>
      </c>
      <c r="K99" s="18">
        <f t="shared" si="3"/>
        <v>110</v>
      </c>
      <c r="L99" s="21">
        <f>IF(ISERROR(VLOOKUP($F99,#REF!,6,0)*G99/1000),0,VLOOKUP($F99,#REF!,6,0)*G99/1000)</f>
        <v>0</v>
      </c>
      <c r="M99" s="21">
        <f>IF(ISERROR(VLOOKUP($F99,#REF!,6,0)*H99/1000),0,VLOOKUP($F99,#REF!,6,0)*H99/1000)</f>
        <v>0</v>
      </c>
      <c r="N99" s="21">
        <f>IF(ISERROR(VLOOKUP($F99,#REF!,6,0)*I99/1000),0,VLOOKUP($F99,#REF!,6,0)*I99/1000)</f>
        <v>0</v>
      </c>
      <c r="O99" s="21">
        <f>IF(ISERROR(VLOOKUP($F99,#REF!,6,0)*J99/1000),0,VLOOKUP($F99,#REF!,6,0)*J99/1000)</f>
        <v>0</v>
      </c>
      <c r="P99" s="21">
        <f>IF(ISERROR(VLOOKUP(F99,#REF!,6,0)*K99/1000),0,VLOOKUP(F99,#REF!,6,0)*K99/1000)</f>
        <v>0</v>
      </c>
      <c r="Q99" s="6">
        <f>IF(ISERROR(VLOOKUP(F99,#REF!,3,0)),0,VLOOKUP(F99,#REF!,3,0))</f>
        <v>0</v>
      </c>
      <c r="R99" s="6">
        <f>IF(ISERROR(VLOOKUP(F99,#REF!,4,0)),0,VLOOKUP(F99,#REF!,4,0))</f>
        <v>0</v>
      </c>
      <c r="S99" s="8">
        <f>IF(ISERROR(VLOOKUP(F99,#REF!,4,0)),0,VLOOKUP(F99,#REF!,10,0)/60*K99)</f>
        <v>0</v>
      </c>
      <c r="T99" s="3"/>
      <c r="U99" s="3"/>
      <c r="V99" s="4"/>
    </row>
    <row r="100" spans="1:22" x14ac:dyDescent="0.3">
      <c r="A100" s="5">
        <f t="shared" si="4"/>
        <v>2019</v>
      </c>
      <c r="B100" s="6" t="str">
        <f t="shared" si="5"/>
        <v>SETEMBRO</v>
      </c>
      <c r="C100" s="13">
        <v>43719</v>
      </c>
      <c r="D100" s="26"/>
      <c r="E100" s="19">
        <v>1</v>
      </c>
      <c r="F100" s="15">
        <v>43</v>
      </c>
      <c r="G100" s="17">
        <v>606</v>
      </c>
      <c r="I100" s="17">
        <v>31</v>
      </c>
      <c r="K100" s="18">
        <f t="shared" si="3"/>
        <v>637</v>
      </c>
      <c r="L100" s="21">
        <f>IF(ISERROR(VLOOKUP($F100,#REF!,6,0)*G100/1000),0,VLOOKUP($F100,#REF!,6,0)*G100/1000)</f>
        <v>0</v>
      </c>
      <c r="M100" s="21">
        <f>IF(ISERROR(VLOOKUP($F100,#REF!,6,0)*H100/1000),0,VLOOKUP($F100,#REF!,6,0)*H100/1000)</f>
        <v>0</v>
      </c>
      <c r="N100" s="21">
        <f>IF(ISERROR(VLOOKUP($F100,#REF!,6,0)*I100/1000),0,VLOOKUP($F100,#REF!,6,0)*I100/1000)</f>
        <v>0</v>
      </c>
      <c r="O100" s="21">
        <f>IF(ISERROR(VLOOKUP($F100,#REF!,6,0)*J100/1000),0,VLOOKUP($F100,#REF!,6,0)*J100/1000)</f>
        <v>0</v>
      </c>
      <c r="P100" s="21">
        <f>IF(ISERROR(VLOOKUP(F100,#REF!,6,0)*K100/1000),0,VLOOKUP(F100,#REF!,6,0)*K100/1000)</f>
        <v>0</v>
      </c>
      <c r="Q100" s="6">
        <f>IF(ISERROR(VLOOKUP(F100,#REF!,3,0)),0,VLOOKUP(F100,#REF!,3,0))</f>
        <v>0</v>
      </c>
      <c r="R100" s="6">
        <f>IF(ISERROR(VLOOKUP(F100,#REF!,4,0)),0,VLOOKUP(F100,#REF!,4,0))</f>
        <v>0</v>
      </c>
      <c r="S100" s="8">
        <f>IF(ISERROR(VLOOKUP(F100,#REF!,4,0)),0,VLOOKUP(F100,#REF!,10,0)/60*K100)</f>
        <v>0</v>
      </c>
      <c r="T100" s="3"/>
      <c r="U100" s="3"/>
      <c r="V100" s="4"/>
    </row>
    <row r="101" spans="1:22" x14ac:dyDescent="0.3">
      <c r="A101" s="5">
        <f t="shared" si="4"/>
        <v>2019</v>
      </c>
      <c r="B101" s="6" t="str">
        <f t="shared" si="5"/>
        <v>SETEMBRO</v>
      </c>
      <c r="C101" s="13">
        <v>43719</v>
      </c>
      <c r="D101" s="26"/>
      <c r="E101" s="19">
        <v>1</v>
      </c>
      <c r="F101" s="15">
        <v>24</v>
      </c>
      <c r="G101" s="17">
        <v>920</v>
      </c>
      <c r="K101" s="18">
        <f t="shared" si="3"/>
        <v>920</v>
      </c>
      <c r="L101" s="21">
        <f>IF(ISERROR(VLOOKUP($F101,#REF!,6,0)*G101/1000),0,VLOOKUP($F101,#REF!,6,0)*G101/1000)</f>
        <v>0</v>
      </c>
      <c r="M101" s="21">
        <f>IF(ISERROR(VLOOKUP($F101,#REF!,6,0)*H101/1000),0,VLOOKUP($F101,#REF!,6,0)*H101/1000)</f>
        <v>0</v>
      </c>
      <c r="N101" s="21">
        <f>IF(ISERROR(VLOOKUP($F101,#REF!,6,0)*I101/1000),0,VLOOKUP($F101,#REF!,6,0)*I101/1000)</f>
        <v>0</v>
      </c>
      <c r="O101" s="21">
        <f>IF(ISERROR(VLOOKUP($F101,#REF!,6,0)*J101/1000),0,VLOOKUP($F101,#REF!,6,0)*J101/1000)</f>
        <v>0</v>
      </c>
      <c r="P101" s="21">
        <f>IF(ISERROR(VLOOKUP(F101,#REF!,6,0)*K101/1000),0,VLOOKUP(F101,#REF!,6,0)*K101/1000)</f>
        <v>0</v>
      </c>
      <c r="Q101" s="6">
        <f>IF(ISERROR(VLOOKUP(F101,#REF!,3,0)),0,VLOOKUP(F101,#REF!,3,0))</f>
        <v>0</v>
      </c>
      <c r="R101" s="6">
        <f>IF(ISERROR(VLOOKUP(F101,#REF!,4,0)),0,VLOOKUP(F101,#REF!,4,0))</f>
        <v>0</v>
      </c>
      <c r="S101" s="8">
        <f>IF(ISERROR(VLOOKUP(F101,#REF!,4,0)),0,VLOOKUP(F101,#REF!,10,0)/60*K101)</f>
        <v>0</v>
      </c>
      <c r="T101" s="3"/>
      <c r="U101" s="3"/>
      <c r="V101" s="4"/>
    </row>
    <row r="102" spans="1:22" x14ac:dyDescent="0.3">
      <c r="A102" s="5">
        <f t="shared" si="4"/>
        <v>2019</v>
      </c>
      <c r="B102" s="6" t="str">
        <f t="shared" si="5"/>
        <v>SETEMBRO</v>
      </c>
      <c r="C102" s="13">
        <v>43719</v>
      </c>
      <c r="D102" s="26"/>
      <c r="E102" s="19">
        <v>1</v>
      </c>
      <c r="F102" s="15">
        <v>26</v>
      </c>
      <c r="G102" s="17">
        <v>760</v>
      </c>
      <c r="H102" s="17">
        <v>900</v>
      </c>
      <c r="K102" s="18">
        <f t="shared" si="3"/>
        <v>1660</v>
      </c>
      <c r="L102" s="21">
        <f>IF(ISERROR(VLOOKUP($F102,#REF!,6,0)*G102/1000),0,VLOOKUP($F102,#REF!,6,0)*G102/1000)</f>
        <v>0</v>
      </c>
      <c r="M102" s="21">
        <f>IF(ISERROR(VLOOKUP($F102,#REF!,6,0)*H102/1000),0,VLOOKUP($F102,#REF!,6,0)*H102/1000)</f>
        <v>0</v>
      </c>
      <c r="N102" s="21">
        <f>IF(ISERROR(VLOOKUP($F102,#REF!,6,0)*I102/1000),0,VLOOKUP($F102,#REF!,6,0)*I102/1000)</f>
        <v>0</v>
      </c>
      <c r="O102" s="21">
        <f>IF(ISERROR(VLOOKUP($F102,#REF!,6,0)*J102/1000),0,VLOOKUP($F102,#REF!,6,0)*J102/1000)</f>
        <v>0</v>
      </c>
      <c r="P102" s="21">
        <f>IF(ISERROR(VLOOKUP(F102,#REF!,6,0)*K102/1000),0,VLOOKUP(F102,#REF!,6,0)*K102/1000)</f>
        <v>0</v>
      </c>
      <c r="Q102" s="6">
        <f>IF(ISERROR(VLOOKUP(F102,#REF!,3,0)),0,VLOOKUP(F102,#REF!,3,0))</f>
        <v>0</v>
      </c>
      <c r="R102" s="6">
        <f>IF(ISERROR(VLOOKUP(F102,#REF!,4,0)),0,VLOOKUP(F102,#REF!,4,0))</f>
        <v>0</v>
      </c>
      <c r="S102" s="8">
        <f>IF(ISERROR(VLOOKUP(F102,#REF!,4,0)),0,VLOOKUP(F102,#REF!,10,0)/60*K102)</f>
        <v>0</v>
      </c>
      <c r="T102" s="3"/>
      <c r="U102" s="3"/>
      <c r="V102" s="4"/>
    </row>
    <row r="103" spans="1:22" x14ac:dyDescent="0.3">
      <c r="A103" s="5">
        <f t="shared" si="4"/>
        <v>2019</v>
      </c>
      <c r="B103" s="6" t="str">
        <f t="shared" si="5"/>
        <v>SETEMBRO</v>
      </c>
      <c r="C103" s="13">
        <v>43719</v>
      </c>
      <c r="D103" s="26"/>
      <c r="E103" s="19">
        <v>1</v>
      </c>
      <c r="F103" s="15">
        <v>47</v>
      </c>
      <c r="G103" s="17">
        <v>902</v>
      </c>
      <c r="H103" s="17">
        <v>320</v>
      </c>
      <c r="I103" s="17">
        <v>150</v>
      </c>
      <c r="K103" s="18">
        <f t="shared" si="3"/>
        <v>1372</v>
      </c>
      <c r="L103" s="21">
        <f>IF(ISERROR(VLOOKUP($F103,#REF!,6,0)*G103/1000),0,VLOOKUP($F103,#REF!,6,0)*G103/1000)</f>
        <v>0</v>
      </c>
      <c r="M103" s="21">
        <f>IF(ISERROR(VLOOKUP($F103,#REF!,6,0)*H103/1000),0,VLOOKUP($F103,#REF!,6,0)*H103/1000)</f>
        <v>0</v>
      </c>
      <c r="N103" s="21">
        <f>IF(ISERROR(VLOOKUP($F103,#REF!,6,0)*I103/1000),0,VLOOKUP($F103,#REF!,6,0)*I103/1000)</f>
        <v>0</v>
      </c>
      <c r="O103" s="21">
        <f>IF(ISERROR(VLOOKUP($F103,#REF!,6,0)*J103/1000),0,VLOOKUP($F103,#REF!,6,0)*J103/1000)</f>
        <v>0</v>
      </c>
      <c r="P103" s="21">
        <f>IF(ISERROR(VLOOKUP(F103,#REF!,6,0)*K103/1000),0,VLOOKUP(F103,#REF!,6,0)*K103/1000)</f>
        <v>0</v>
      </c>
      <c r="Q103" s="6">
        <f>IF(ISERROR(VLOOKUP(F103,#REF!,3,0)),0,VLOOKUP(F103,#REF!,3,0))</f>
        <v>0</v>
      </c>
      <c r="R103" s="6">
        <f>IF(ISERROR(VLOOKUP(F103,#REF!,4,0)),0,VLOOKUP(F103,#REF!,4,0))</f>
        <v>0</v>
      </c>
      <c r="S103" s="8">
        <f>IF(ISERROR(VLOOKUP(F103,#REF!,4,0)),0,VLOOKUP(F103,#REF!,10,0)/60*K103)</f>
        <v>0</v>
      </c>
      <c r="T103" s="3"/>
      <c r="U103" s="3"/>
      <c r="V103" s="4"/>
    </row>
    <row r="104" spans="1:22" x14ac:dyDescent="0.3">
      <c r="A104" s="5">
        <f t="shared" si="4"/>
        <v>2019</v>
      </c>
      <c r="B104" s="6" t="str">
        <f t="shared" si="5"/>
        <v>SETEMBRO</v>
      </c>
      <c r="C104" s="13">
        <v>43719</v>
      </c>
      <c r="D104" s="26"/>
      <c r="E104" s="19">
        <v>1</v>
      </c>
      <c r="F104" s="15">
        <v>25</v>
      </c>
      <c r="G104" s="17">
        <v>400</v>
      </c>
      <c r="K104" s="18">
        <f t="shared" si="3"/>
        <v>400</v>
      </c>
      <c r="L104" s="21">
        <f>IF(ISERROR(VLOOKUP($F104,#REF!,6,0)*G104/1000),0,VLOOKUP($F104,#REF!,6,0)*G104/1000)</f>
        <v>0</v>
      </c>
      <c r="M104" s="21">
        <f>IF(ISERROR(VLOOKUP($F104,#REF!,6,0)*H104/1000),0,VLOOKUP($F104,#REF!,6,0)*H104/1000)</f>
        <v>0</v>
      </c>
      <c r="N104" s="21">
        <f>IF(ISERROR(VLOOKUP($F104,#REF!,6,0)*I104/1000),0,VLOOKUP($F104,#REF!,6,0)*I104/1000)</f>
        <v>0</v>
      </c>
      <c r="O104" s="21">
        <f>IF(ISERROR(VLOOKUP($F104,#REF!,6,0)*J104/1000),0,VLOOKUP($F104,#REF!,6,0)*J104/1000)</f>
        <v>0</v>
      </c>
      <c r="P104" s="21">
        <f>IF(ISERROR(VLOOKUP(F104,#REF!,6,0)*K104/1000),0,VLOOKUP(F104,#REF!,6,0)*K104/1000)</f>
        <v>0</v>
      </c>
      <c r="Q104" s="6">
        <f>IF(ISERROR(VLOOKUP(F104,#REF!,3,0)),0,VLOOKUP(F104,#REF!,3,0))</f>
        <v>0</v>
      </c>
      <c r="R104" s="6">
        <f>IF(ISERROR(VLOOKUP(F104,#REF!,4,0)),0,VLOOKUP(F104,#REF!,4,0))</f>
        <v>0</v>
      </c>
      <c r="S104" s="8">
        <f>IF(ISERROR(VLOOKUP(F104,#REF!,4,0)),0,VLOOKUP(F104,#REF!,10,0)/60*K104)</f>
        <v>0</v>
      </c>
      <c r="T104" s="3"/>
      <c r="U104" s="3"/>
      <c r="V104" s="4"/>
    </row>
    <row r="105" spans="1:22" x14ac:dyDescent="0.3">
      <c r="A105" s="5">
        <f t="shared" si="4"/>
        <v>2019</v>
      </c>
      <c r="B105" s="6" t="str">
        <f t="shared" si="5"/>
        <v>SETEMBRO</v>
      </c>
      <c r="C105" s="13">
        <v>43719</v>
      </c>
      <c r="D105" s="26"/>
      <c r="E105" s="19">
        <v>2</v>
      </c>
      <c r="F105" s="15">
        <v>43</v>
      </c>
      <c r="G105" s="17">
        <v>633</v>
      </c>
      <c r="K105" s="18">
        <f t="shared" si="3"/>
        <v>633</v>
      </c>
      <c r="L105" s="21">
        <f>IF(ISERROR(VLOOKUP($F105,#REF!,6,0)*G105/1000),0,VLOOKUP($F105,#REF!,6,0)*G105/1000)</f>
        <v>0</v>
      </c>
      <c r="M105" s="21">
        <f>IF(ISERROR(VLOOKUP($F105,#REF!,6,0)*H105/1000),0,VLOOKUP($F105,#REF!,6,0)*H105/1000)</f>
        <v>0</v>
      </c>
      <c r="N105" s="21">
        <f>IF(ISERROR(VLOOKUP($F105,#REF!,6,0)*I105/1000),0,VLOOKUP($F105,#REF!,6,0)*I105/1000)</f>
        <v>0</v>
      </c>
      <c r="O105" s="21">
        <f>IF(ISERROR(VLOOKUP($F105,#REF!,6,0)*J105/1000),0,VLOOKUP($F105,#REF!,6,0)*J105/1000)</f>
        <v>0</v>
      </c>
      <c r="P105" s="21">
        <f>IF(ISERROR(VLOOKUP(F105,#REF!,6,0)*K105/1000),0,VLOOKUP(F105,#REF!,6,0)*K105/1000)</f>
        <v>0</v>
      </c>
      <c r="Q105" s="6">
        <f>IF(ISERROR(VLOOKUP(F105,#REF!,3,0)),0,VLOOKUP(F105,#REF!,3,0))</f>
        <v>0</v>
      </c>
      <c r="R105" s="6">
        <f>IF(ISERROR(VLOOKUP(F105,#REF!,4,0)),0,VLOOKUP(F105,#REF!,4,0))</f>
        <v>0</v>
      </c>
      <c r="S105" s="8">
        <f>IF(ISERROR(VLOOKUP(F105,#REF!,4,0)),0,VLOOKUP(F105,#REF!,10,0)/60*K105)</f>
        <v>0</v>
      </c>
      <c r="T105" s="3"/>
      <c r="U105" s="3"/>
      <c r="V105" s="4"/>
    </row>
    <row r="106" spans="1:22" x14ac:dyDescent="0.3">
      <c r="A106" s="5">
        <f t="shared" si="4"/>
        <v>2019</v>
      </c>
      <c r="B106" s="6" t="str">
        <f t="shared" si="5"/>
        <v>SETEMBRO</v>
      </c>
      <c r="C106" s="13">
        <v>43719</v>
      </c>
      <c r="D106" s="26"/>
      <c r="E106" s="19">
        <v>2</v>
      </c>
      <c r="F106" s="15">
        <v>24</v>
      </c>
      <c r="G106" s="17">
        <v>819</v>
      </c>
      <c r="H106" s="17">
        <v>560</v>
      </c>
      <c r="K106" s="18">
        <f t="shared" si="3"/>
        <v>1379</v>
      </c>
      <c r="L106" s="21">
        <f>IF(ISERROR(VLOOKUP($F106,#REF!,6,0)*G106/1000),0,VLOOKUP($F106,#REF!,6,0)*G106/1000)</f>
        <v>0</v>
      </c>
      <c r="M106" s="21">
        <f>IF(ISERROR(VLOOKUP($F106,#REF!,6,0)*H106/1000),0,VLOOKUP($F106,#REF!,6,0)*H106/1000)</f>
        <v>0</v>
      </c>
      <c r="N106" s="21">
        <f>IF(ISERROR(VLOOKUP($F106,#REF!,6,0)*I106/1000),0,VLOOKUP($F106,#REF!,6,0)*I106/1000)</f>
        <v>0</v>
      </c>
      <c r="O106" s="21">
        <f>IF(ISERROR(VLOOKUP($F106,#REF!,6,0)*J106/1000),0,VLOOKUP($F106,#REF!,6,0)*J106/1000)</f>
        <v>0</v>
      </c>
      <c r="P106" s="21">
        <f>IF(ISERROR(VLOOKUP(F106,#REF!,6,0)*K106/1000),0,VLOOKUP(F106,#REF!,6,0)*K106/1000)</f>
        <v>0</v>
      </c>
      <c r="Q106" s="6">
        <f>IF(ISERROR(VLOOKUP(F106,#REF!,3,0)),0,VLOOKUP(F106,#REF!,3,0))</f>
        <v>0</v>
      </c>
      <c r="R106" s="6">
        <f>IF(ISERROR(VLOOKUP(F106,#REF!,4,0)),0,VLOOKUP(F106,#REF!,4,0))</f>
        <v>0</v>
      </c>
      <c r="S106" s="8">
        <f>IF(ISERROR(VLOOKUP(F106,#REF!,4,0)),0,VLOOKUP(F106,#REF!,10,0)/60*K106)</f>
        <v>0</v>
      </c>
      <c r="T106" s="3"/>
      <c r="U106" s="3"/>
      <c r="V106" s="4"/>
    </row>
    <row r="107" spans="1:22" x14ac:dyDescent="0.3">
      <c r="A107" s="5">
        <f t="shared" si="4"/>
        <v>2019</v>
      </c>
      <c r="B107" s="6" t="str">
        <f t="shared" si="5"/>
        <v>SETEMBRO</v>
      </c>
      <c r="C107" s="13">
        <v>43719</v>
      </c>
      <c r="D107" s="26"/>
      <c r="E107" s="19">
        <v>2</v>
      </c>
      <c r="F107" s="15">
        <v>26</v>
      </c>
      <c r="G107" s="17">
        <v>880</v>
      </c>
      <c r="H107" s="17">
        <v>854</v>
      </c>
      <c r="K107" s="18">
        <f t="shared" si="3"/>
        <v>1734</v>
      </c>
      <c r="L107" s="21">
        <f>IF(ISERROR(VLOOKUP($F107,#REF!,6,0)*G107/1000),0,VLOOKUP($F107,#REF!,6,0)*G107/1000)</f>
        <v>0</v>
      </c>
      <c r="M107" s="21">
        <f>IF(ISERROR(VLOOKUP($F107,#REF!,6,0)*H107/1000),0,VLOOKUP($F107,#REF!,6,0)*H107/1000)</f>
        <v>0</v>
      </c>
      <c r="N107" s="21">
        <f>IF(ISERROR(VLOOKUP($F107,#REF!,6,0)*I107/1000),0,VLOOKUP($F107,#REF!,6,0)*I107/1000)</f>
        <v>0</v>
      </c>
      <c r="O107" s="21">
        <f>IF(ISERROR(VLOOKUP($F107,#REF!,6,0)*J107/1000),0,VLOOKUP($F107,#REF!,6,0)*J107/1000)</f>
        <v>0</v>
      </c>
      <c r="P107" s="21">
        <f>IF(ISERROR(VLOOKUP(F107,#REF!,6,0)*K107/1000),0,VLOOKUP(F107,#REF!,6,0)*K107/1000)</f>
        <v>0</v>
      </c>
      <c r="Q107" s="6">
        <f>IF(ISERROR(VLOOKUP(F107,#REF!,3,0)),0,VLOOKUP(F107,#REF!,3,0))</f>
        <v>0</v>
      </c>
      <c r="R107" s="6">
        <f>IF(ISERROR(VLOOKUP(F107,#REF!,4,0)),0,VLOOKUP(F107,#REF!,4,0))</f>
        <v>0</v>
      </c>
      <c r="S107" s="8">
        <f>IF(ISERROR(VLOOKUP(F107,#REF!,4,0)),0,VLOOKUP(F107,#REF!,10,0)/60*K107)</f>
        <v>0</v>
      </c>
      <c r="T107" s="3"/>
      <c r="U107" s="3"/>
      <c r="V107" s="4"/>
    </row>
    <row r="108" spans="1:22" x14ac:dyDescent="0.3">
      <c r="A108" s="5">
        <f t="shared" si="4"/>
        <v>2019</v>
      </c>
      <c r="B108" s="6" t="str">
        <f t="shared" si="5"/>
        <v>SETEMBRO</v>
      </c>
      <c r="C108" s="13">
        <v>43719</v>
      </c>
      <c r="D108" s="26"/>
      <c r="E108" s="19">
        <v>2</v>
      </c>
      <c r="F108" s="15">
        <v>47</v>
      </c>
      <c r="G108" s="17">
        <v>609</v>
      </c>
      <c r="H108" s="17">
        <v>305</v>
      </c>
      <c r="K108" s="18">
        <f t="shared" si="3"/>
        <v>914</v>
      </c>
      <c r="L108" s="21">
        <f>IF(ISERROR(VLOOKUP($F108,#REF!,6,0)*G108/1000),0,VLOOKUP($F108,#REF!,6,0)*G108/1000)</f>
        <v>0</v>
      </c>
      <c r="M108" s="21">
        <f>IF(ISERROR(VLOOKUP($F108,#REF!,6,0)*H108/1000),0,VLOOKUP($F108,#REF!,6,0)*H108/1000)</f>
        <v>0</v>
      </c>
      <c r="N108" s="21">
        <f>IF(ISERROR(VLOOKUP($F108,#REF!,6,0)*I108/1000),0,VLOOKUP($F108,#REF!,6,0)*I108/1000)</f>
        <v>0</v>
      </c>
      <c r="O108" s="21">
        <f>IF(ISERROR(VLOOKUP($F108,#REF!,6,0)*J108/1000),0,VLOOKUP($F108,#REF!,6,0)*J108/1000)</f>
        <v>0</v>
      </c>
      <c r="P108" s="21">
        <f>IF(ISERROR(VLOOKUP(F108,#REF!,6,0)*K108/1000),0,VLOOKUP(F108,#REF!,6,0)*K108/1000)</f>
        <v>0</v>
      </c>
      <c r="Q108" s="6">
        <f>IF(ISERROR(VLOOKUP(F108,#REF!,3,0)),0,VLOOKUP(F108,#REF!,3,0))</f>
        <v>0</v>
      </c>
      <c r="R108" s="6">
        <f>IF(ISERROR(VLOOKUP(F108,#REF!,4,0)),0,VLOOKUP(F108,#REF!,4,0))</f>
        <v>0</v>
      </c>
      <c r="S108" s="8">
        <f>IF(ISERROR(VLOOKUP(F108,#REF!,4,0)),0,VLOOKUP(F108,#REF!,10,0)/60*K108)</f>
        <v>0</v>
      </c>
      <c r="T108" s="3"/>
      <c r="U108" s="3"/>
      <c r="V108" s="4"/>
    </row>
    <row r="109" spans="1:22" x14ac:dyDescent="0.3">
      <c r="A109" s="5">
        <f t="shared" si="4"/>
        <v>2019</v>
      </c>
      <c r="B109" s="6" t="str">
        <f t="shared" si="5"/>
        <v>SETEMBRO</v>
      </c>
      <c r="C109" s="13">
        <v>43719</v>
      </c>
      <c r="D109" s="26"/>
      <c r="E109" s="19">
        <v>3</v>
      </c>
      <c r="F109" s="15">
        <v>56</v>
      </c>
      <c r="G109" s="17">
        <v>1024</v>
      </c>
      <c r="H109" s="17">
        <v>600</v>
      </c>
      <c r="I109" s="17">
        <v>40</v>
      </c>
      <c r="J109" s="17">
        <v>600</v>
      </c>
      <c r="K109" s="18">
        <f t="shared" si="3"/>
        <v>2264</v>
      </c>
      <c r="L109" s="21">
        <f>IF(ISERROR(VLOOKUP($F109,#REF!,6,0)*G109/1000),0,VLOOKUP($F109,#REF!,6,0)*G109/1000)</f>
        <v>0</v>
      </c>
      <c r="M109" s="21">
        <f>IF(ISERROR(VLOOKUP($F109,#REF!,6,0)*H109/1000),0,VLOOKUP($F109,#REF!,6,0)*H109/1000)</f>
        <v>0</v>
      </c>
      <c r="N109" s="21">
        <f>IF(ISERROR(VLOOKUP($F109,#REF!,6,0)*I109/1000),0,VLOOKUP($F109,#REF!,6,0)*I109/1000)</f>
        <v>0</v>
      </c>
      <c r="O109" s="21">
        <f>IF(ISERROR(VLOOKUP($F109,#REF!,6,0)*J109/1000),0,VLOOKUP($F109,#REF!,6,0)*J109/1000)</f>
        <v>0</v>
      </c>
      <c r="P109" s="21">
        <f>IF(ISERROR(VLOOKUP(F109,#REF!,6,0)*K109/1000),0,VLOOKUP(F109,#REF!,6,0)*K109/1000)</f>
        <v>0</v>
      </c>
      <c r="Q109" s="6">
        <f>IF(ISERROR(VLOOKUP(F109,#REF!,3,0)),0,VLOOKUP(F109,#REF!,3,0))</f>
        <v>0</v>
      </c>
      <c r="R109" s="6">
        <f>IF(ISERROR(VLOOKUP(F109,#REF!,4,0)),0,VLOOKUP(F109,#REF!,4,0))</f>
        <v>0</v>
      </c>
      <c r="S109" s="8">
        <f>IF(ISERROR(VLOOKUP(F109,#REF!,4,0)),0,VLOOKUP(F109,#REF!,10,0)/60*K109)</f>
        <v>0</v>
      </c>
      <c r="T109" s="3"/>
      <c r="U109" s="3"/>
      <c r="V109" s="4"/>
    </row>
    <row r="110" spans="1:22" x14ac:dyDescent="0.3">
      <c r="A110" s="5">
        <f t="shared" si="4"/>
        <v>2019</v>
      </c>
      <c r="B110" s="6" t="str">
        <f t="shared" si="5"/>
        <v>SETEMBRO</v>
      </c>
      <c r="C110" s="13">
        <v>43720</v>
      </c>
      <c r="D110" s="26"/>
      <c r="E110" s="19">
        <v>3</v>
      </c>
      <c r="F110" s="15">
        <v>13</v>
      </c>
      <c r="G110" s="17">
        <v>2400</v>
      </c>
      <c r="H110" s="17">
        <v>560</v>
      </c>
      <c r="I110" s="17">
        <v>60</v>
      </c>
      <c r="J110" s="17">
        <v>360</v>
      </c>
      <c r="K110" s="18">
        <f t="shared" si="3"/>
        <v>3380</v>
      </c>
      <c r="L110" s="21">
        <f>IF(ISERROR(VLOOKUP($F110,#REF!,6,0)*G110/1000),0,VLOOKUP($F110,#REF!,6,0)*G110/1000)</f>
        <v>0</v>
      </c>
      <c r="M110" s="21">
        <f>IF(ISERROR(VLOOKUP($F110,#REF!,6,0)*H110/1000),0,VLOOKUP($F110,#REF!,6,0)*H110/1000)</f>
        <v>0</v>
      </c>
      <c r="N110" s="21">
        <f>IF(ISERROR(VLOOKUP($F110,#REF!,6,0)*I110/1000),0,VLOOKUP($F110,#REF!,6,0)*I110/1000)</f>
        <v>0</v>
      </c>
      <c r="O110" s="21">
        <f>IF(ISERROR(VLOOKUP($F110,#REF!,6,0)*J110/1000),0,VLOOKUP($F110,#REF!,6,0)*J110/1000)</f>
        <v>0</v>
      </c>
      <c r="P110" s="21">
        <f>IF(ISERROR(VLOOKUP(F110,#REF!,6,0)*K110/1000),0,VLOOKUP(F110,#REF!,6,0)*K110/1000)</f>
        <v>0</v>
      </c>
      <c r="Q110" s="6">
        <f>IF(ISERROR(VLOOKUP(F110,#REF!,3,0)),0,VLOOKUP(F110,#REF!,3,0))</f>
        <v>0</v>
      </c>
      <c r="R110" s="6">
        <f>IF(ISERROR(VLOOKUP(F110,#REF!,4,0)),0,VLOOKUP(F110,#REF!,4,0))</f>
        <v>0</v>
      </c>
      <c r="S110" s="8">
        <f>IF(ISERROR(VLOOKUP(F110,#REF!,4,0)),0,VLOOKUP(F110,#REF!,10,0)/60*K110)</f>
        <v>0</v>
      </c>
      <c r="T110" s="3"/>
      <c r="U110" s="3"/>
      <c r="V110" s="4"/>
    </row>
    <row r="111" spans="1:22" x14ac:dyDescent="0.3">
      <c r="A111" s="5">
        <f t="shared" si="4"/>
        <v>2019</v>
      </c>
      <c r="B111" s="6" t="str">
        <f t="shared" si="5"/>
        <v>SETEMBRO</v>
      </c>
      <c r="C111" s="13">
        <v>43720</v>
      </c>
      <c r="D111" s="26"/>
      <c r="E111" s="19">
        <v>3</v>
      </c>
      <c r="F111" s="15">
        <v>56</v>
      </c>
      <c r="G111" s="17">
        <v>1536</v>
      </c>
      <c r="H111" s="17">
        <v>800</v>
      </c>
      <c r="I111" s="17">
        <v>0</v>
      </c>
      <c r="J111" s="17">
        <v>800</v>
      </c>
      <c r="K111" s="18">
        <f t="shared" si="3"/>
        <v>3136</v>
      </c>
      <c r="L111" s="21">
        <f>IF(ISERROR(VLOOKUP($F111,#REF!,6,0)*G111/1000),0,VLOOKUP($F111,#REF!,6,0)*G111/1000)</f>
        <v>0</v>
      </c>
      <c r="M111" s="21">
        <f>IF(ISERROR(VLOOKUP($F111,#REF!,6,0)*H111/1000),0,VLOOKUP($F111,#REF!,6,0)*H111/1000)</f>
        <v>0</v>
      </c>
      <c r="N111" s="21">
        <f>IF(ISERROR(VLOOKUP($F111,#REF!,6,0)*I111/1000),0,VLOOKUP($F111,#REF!,6,0)*I111/1000)</f>
        <v>0</v>
      </c>
      <c r="O111" s="21">
        <f>IF(ISERROR(VLOOKUP($F111,#REF!,6,0)*J111/1000),0,VLOOKUP($F111,#REF!,6,0)*J111/1000)</f>
        <v>0</v>
      </c>
      <c r="P111" s="21">
        <f>IF(ISERROR(VLOOKUP(F111,#REF!,6,0)*K111/1000),0,VLOOKUP(F111,#REF!,6,0)*K111/1000)</f>
        <v>0</v>
      </c>
      <c r="Q111" s="6">
        <f>IF(ISERROR(VLOOKUP(F111,#REF!,3,0)),0,VLOOKUP(F111,#REF!,3,0))</f>
        <v>0</v>
      </c>
      <c r="R111" s="6">
        <f>IF(ISERROR(VLOOKUP(F111,#REF!,4,0)),0,VLOOKUP(F111,#REF!,4,0))</f>
        <v>0</v>
      </c>
      <c r="S111" s="8">
        <f>IF(ISERROR(VLOOKUP(F111,#REF!,4,0)),0,VLOOKUP(F111,#REF!,10,0)/60*K111)</f>
        <v>0</v>
      </c>
      <c r="T111" s="3"/>
      <c r="U111" s="3"/>
      <c r="V111" s="4"/>
    </row>
    <row r="112" spans="1:22" x14ac:dyDescent="0.3">
      <c r="A112" s="5">
        <f t="shared" si="4"/>
        <v>2019</v>
      </c>
      <c r="B112" s="6" t="str">
        <f t="shared" si="5"/>
        <v>SETEMBRO</v>
      </c>
      <c r="C112" s="13">
        <v>43720</v>
      </c>
      <c r="D112" s="26"/>
      <c r="E112" s="19">
        <v>1</v>
      </c>
      <c r="F112" s="15">
        <v>3</v>
      </c>
      <c r="G112" s="17">
        <v>648</v>
      </c>
      <c r="H112" s="17">
        <v>0</v>
      </c>
      <c r="I112" s="17">
        <v>10</v>
      </c>
      <c r="J112" s="17">
        <v>30</v>
      </c>
      <c r="K112" s="18">
        <f t="shared" si="3"/>
        <v>688</v>
      </c>
      <c r="L112" s="21">
        <f>IF(ISERROR(VLOOKUP($F112,#REF!,6,0)*G112/1000),0,VLOOKUP($F112,#REF!,6,0)*G112/1000)</f>
        <v>0</v>
      </c>
      <c r="M112" s="21">
        <f>IF(ISERROR(VLOOKUP($F112,#REF!,6,0)*H112/1000),0,VLOOKUP($F112,#REF!,6,0)*H112/1000)</f>
        <v>0</v>
      </c>
      <c r="N112" s="21">
        <f>IF(ISERROR(VLOOKUP($F112,#REF!,6,0)*I112/1000),0,VLOOKUP($F112,#REF!,6,0)*I112/1000)</f>
        <v>0</v>
      </c>
      <c r="O112" s="21">
        <f>IF(ISERROR(VLOOKUP($F112,#REF!,6,0)*J112/1000),0,VLOOKUP($F112,#REF!,6,0)*J112/1000)</f>
        <v>0</v>
      </c>
      <c r="P112" s="21">
        <f>IF(ISERROR(VLOOKUP(F112,#REF!,6,0)*K112/1000),0,VLOOKUP(F112,#REF!,6,0)*K112/1000)</f>
        <v>0</v>
      </c>
      <c r="Q112" s="6">
        <f>IF(ISERROR(VLOOKUP(F112,#REF!,3,0)),0,VLOOKUP(F112,#REF!,3,0))</f>
        <v>0</v>
      </c>
      <c r="R112" s="6">
        <f>IF(ISERROR(VLOOKUP(F112,#REF!,4,0)),0,VLOOKUP(F112,#REF!,4,0))</f>
        <v>0</v>
      </c>
      <c r="S112" s="8">
        <f>IF(ISERROR(VLOOKUP(F112,#REF!,4,0)),0,VLOOKUP(F112,#REF!,10,0)/60*K112)</f>
        <v>0</v>
      </c>
      <c r="T112" s="3"/>
      <c r="U112" s="3"/>
      <c r="V112" s="4"/>
    </row>
    <row r="113" spans="1:22" x14ac:dyDescent="0.3">
      <c r="A113" s="5">
        <f t="shared" si="4"/>
        <v>2019</v>
      </c>
      <c r="B113" s="6" t="str">
        <f t="shared" si="5"/>
        <v>SETEMBRO</v>
      </c>
      <c r="C113" s="13">
        <v>43720</v>
      </c>
      <c r="D113" s="26"/>
      <c r="E113" s="19">
        <v>1</v>
      </c>
      <c r="F113" s="15">
        <v>56</v>
      </c>
      <c r="G113" s="17">
        <v>832</v>
      </c>
      <c r="H113" s="17">
        <v>1920</v>
      </c>
      <c r="I113" s="17">
        <v>160</v>
      </c>
      <c r="J113" s="17">
        <v>640</v>
      </c>
      <c r="K113" s="18">
        <f t="shared" si="3"/>
        <v>3552</v>
      </c>
      <c r="L113" s="21">
        <f>IF(ISERROR(VLOOKUP($F113,#REF!,6,0)*G113/1000),0,VLOOKUP($F113,#REF!,6,0)*G113/1000)</f>
        <v>0</v>
      </c>
      <c r="M113" s="21">
        <f>IF(ISERROR(VLOOKUP($F113,#REF!,6,0)*H113/1000),0,VLOOKUP($F113,#REF!,6,0)*H113/1000)</f>
        <v>0</v>
      </c>
      <c r="N113" s="21">
        <f>IF(ISERROR(VLOOKUP($F113,#REF!,6,0)*I113/1000),0,VLOOKUP($F113,#REF!,6,0)*I113/1000)</f>
        <v>0</v>
      </c>
      <c r="O113" s="21">
        <f>IF(ISERROR(VLOOKUP($F113,#REF!,6,0)*J113/1000),0,VLOOKUP($F113,#REF!,6,0)*J113/1000)</f>
        <v>0</v>
      </c>
      <c r="P113" s="21">
        <f>IF(ISERROR(VLOOKUP(F113,#REF!,6,0)*K113/1000),0,VLOOKUP(F113,#REF!,6,0)*K113/1000)</f>
        <v>0</v>
      </c>
      <c r="Q113" s="6">
        <f>IF(ISERROR(VLOOKUP(F113,#REF!,3,0)),0,VLOOKUP(F113,#REF!,3,0))</f>
        <v>0</v>
      </c>
      <c r="R113" s="6">
        <f>IF(ISERROR(VLOOKUP(F113,#REF!,4,0)),0,VLOOKUP(F113,#REF!,4,0))</f>
        <v>0</v>
      </c>
      <c r="S113" s="8">
        <f>IF(ISERROR(VLOOKUP(F113,#REF!,4,0)),0,VLOOKUP(F113,#REF!,10,0)/60*K113)</f>
        <v>0</v>
      </c>
      <c r="T113" s="3"/>
      <c r="U113" s="3"/>
      <c r="V113" s="4"/>
    </row>
    <row r="114" spans="1:22" x14ac:dyDescent="0.3">
      <c r="A114" s="5">
        <f t="shared" si="4"/>
        <v>2019</v>
      </c>
      <c r="B114" s="6" t="str">
        <f t="shared" si="5"/>
        <v>SETEMBRO</v>
      </c>
      <c r="C114" s="13">
        <v>43720</v>
      </c>
      <c r="D114" s="26"/>
      <c r="E114" s="19">
        <v>2</v>
      </c>
      <c r="F114" s="15">
        <v>56</v>
      </c>
      <c r="G114" s="17">
        <v>256</v>
      </c>
      <c r="H114" s="17">
        <v>1420</v>
      </c>
      <c r="I114" s="17">
        <v>153</v>
      </c>
      <c r="J114" s="17">
        <v>375</v>
      </c>
      <c r="K114" s="18">
        <f t="shared" si="3"/>
        <v>2204</v>
      </c>
      <c r="L114" s="21">
        <f>IF(ISERROR(VLOOKUP($F114,#REF!,6,0)*G114/1000),0,VLOOKUP($F114,#REF!,6,0)*G114/1000)</f>
        <v>0</v>
      </c>
      <c r="M114" s="21">
        <f>IF(ISERROR(VLOOKUP($F114,#REF!,6,0)*H114/1000),0,VLOOKUP($F114,#REF!,6,0)*H114/1000)</f>
        <v>0</v>
      </c>
      <c r="N114" s="21">
        <f>IF(ISERROR(VLOOKUP($F114,#REF!,6,0)*I114/1000),0,VLOOKUP($F114,#REF!,6,0)*I114/1000)</f>
        <v>0</v>
      </c>
      <c r="O114" s="21">
        <f>IF(ISERROR(VLOOKUP($F114,#REF!,6,0)*J114/1000),0,VLOOKUP($F114,#REF!,6,0)*J114/1000)</f>
        <v>0</v>
      </c>
      <c r="P114" s="21">
        <f>IF(ISERROR(VLOOKUP(F114,#REF!,6,0)*K114/1000),0,VLOOKUP(F114,#REF!,6,0)*K114/1000)</f>
        <v>0</v>
      </c>
      <c r="Q114" s="6">
        <f>IF(ISERROR(VLOOKUP(F114,#REF!,3,0)),0,VLOOKUP(F114,#REF!,3,0))</f>
        <v>0</v>
      </c>
      <c r="R114" s="6">
        <f>IF(ISERROR(VLOOKUP(F114,#REF!,4,0)),0,VLOOKUP(F114,#REF!,4,0))</f>
        <v>0</v>
      </c>
      <c r="S114" s="8">
        <f>IF(ISERROR(VLOOKUP(F114,#REF!,4,0)),0,VLOOKUP(F114,#REF!,10,0)/60*K114)</f>
        <v>0</v>
      </c>
      <c r="T114" s="3"/>
      <c r="U114" s="3"/>
      <c r="V114" s="4"/>
    </row>
    <row r="115" spans="1:22" x14ac:dyDescent="0.3">
      <c r="A115" s="5">
        <f t="shared" si="4"/>
        <v>2019</v>
      </c>
      <c r="B115" s="6" t="str">
        <f t="shared" si="5"/>
        <v>SETEMBRO</v>
      </c>
      <c r="C115" s="13">
        <v>43720</v>
      </c>
      <c r="D115" s="26"/>
      <c r="E115" s="19">
        <v>2</v>
      </c>
      <c r="F115" s="15">
        <v>13</v>
      </c>
      <c r="G115" s="17">
        <v>2720</v>
      </c>
      <c r="H115" s="17">
        <v>1600</v>
      </c>
      <c r="I115" s="17">
        <v>305</v>
      </c>
      <c r="J115" s="17">
        <v>960</v>
      </c>
      <c r="K115" s="18">
        <f t="shared" si="3"/>
        <v>5585</v>
      </c>
      <c r="L115" s="21">
        <f>IF(ISERROR(VLOOKUP($F115,#REF!,6,0)*G115/1000),0,VLOOKUP($F115,#REF!,6,0)*G115/1000)</f>
        <v>0</v>
      </c>
      <c r="M115" s="21">
        <f>IF(ISERROR(VLOOKUP($F115,#REF!,6,0)*H115/1000),0,VLOOKUP($F115,#REF!,6,0)*H115/1000)</f>
        <v>0</v>
      </c>
      <c r="N115" s="21">
        <f>IF(ISERROR(VLOOKUP($F115,#REF!,6,0)*I115/1000),0,VLOOKUP($F115,#REF!,6,0)*I115/1000)</f>
        <v>0</v>
      </c>
      <c r="O115" s="21">
        <f>IF(ISERROR(VLOOKUP($F115,#REF!,6,0)*J115/1000),0,VLOOKUP($F115,#REF!,6,0)*J115/1000)</f>
        <v>0</v>
      </c>
      <c r="P115" s="21">
        <f>IF(ISERROR(VLOOKUP(F115,#REF!,6,0)*K115/1000),0,VLOOKUP(F115,#REF!,6,0)*K115/1000)</f>
        <v>0</v>
      </c>
      <c r="Q115" s="6">
        <f>IF(ISERROR(VLOOKUP(F115,#REF!,3,0)),0,VLOOKUP(F115,#REF!,3,0))</f>
        <v>0</v>
      </c>
      <c r="R115" s="6">
        <f>IF(ISERROR(VLOOKUP(F115,#REF!,4,0)),0,VLOOKUP(F115,#REF!,4,0))</f>
        <v>0</v>
      </c>
      <c r="S115" s="8">
        <f>IF(ISERROR(VLOOKUP(F115,#REF!,4,0)),0,VLOOKUP(F115,#REF!,10,0)/60*K115)</f>
        <v>0</v>
      </c>
      <c r="T115" s="3"/>
      <c r="U115" s="3"/>
      <c r="V115" s="4"/>
    </row>
    <row r="116" spans="1:22" x14ac:dyDescent="0.3">
      <c r="A116" s="5">
        <f t="shared" si="4"/>
        <v>2019</v>
      </c>
      <c r="B116" s="6" t="str">
        <f t="shared" si="5"/>
        <v>SETEMBRO</v>
      </c>
      <c r="C116" s="13">
        <v>43720</v>
      </c>
      <c r="D116" s="26"/>
      <c r="E116" s="19">
        <v>1</v>
      </c>
      <c r="F116" s="15">
        <v>43</v>
      </c>
      <c r="G116" s="17">
        <v>693</v>
      </c>
      <c r="H116" s="17">
        <v>220</v>
      </c>
      <c r="I116" s="17">
        <v>85</v>
      </c>
      <c r="K116" s="18">
        <f t="shared" si="3"/>
        <v>998</v>
      </c>
      <c r="L116" s="21">
        <f>IF(ISERROR(VLOOKUP($F116,#REF!,6,0)*G116/1000),0,VLOOKUP($F116,#REF!,6,0)*G116/1000)</f>
        <v>0</v>
      </c>
      <c r="M116" s="21">
        <f>IF(ISERROR(VLOOKUP($F116,#REF!,6,0)*H116/1000),0,VLOOKUP($F116,#REF!,6,0)*H116/1000)</f>
        <v>0</v>
      </c>
      <c r="N116" s="21">
        <f>IF(ISERROR(VLOOKUP($F116,#REF!,6,0)*I116/1000),0,VLOOKUP($F116,#REF!,6,0)*I116/1000)</f>
        <v>0</v>
      </c>
      <c r="O116" s="21">
        <f>IF(ISERROR(VLOOKUP($F116,#REF!,6,0)*J116/1000),0,VLOOKUP($F116,#REF!,6,0)*J116/1000)</f>
        <v>0</v>
      </c>
      <c r="P116" s="21">
        <f>IF(ISERROR(VLOOKUP(F116,#REF!,6,0)*K116/1000),0,VLOOKUP(F116,#REF!,6,0)*K116/1000)</f>
        <v>0</v>
      </c>
      <c r="Q116" s="6">
        <f>IF(ISERROR(VLOOKUP(F116,#REF!,3,0)),0,VLOOKUP(F116,#REF!,3,0))</f>
        <v>0</v>
      </c>
      <c r="R116" s="6">
        <f>IF(ISERROR(VLOOKUP(F116,#REF!,4,0)),0,VLOOKUP(F116,#REF!,4,0))</f>
        <v>0</v>
      </c>
      <c r="S116" s="8">
        <f>IF(ISERROR(VLOOKUP(F116,#REF!,4,0)),0,VLOOKUP(F116,#REF!,10,0)/60*K116)</f>
        <v>0</v>
      </c>
      <c r="T116" s="3"/>
      <c r="U116" s="3"/>
      <c r="V116" s="4"/>
    </row>
    <row r="117" spans="1:22" x14ac:dyDescent="0.3">
      <c r="A117" s="5">
        <f t="shared" si="4"/>
        <v>2019</v>
      </c>
      <c r="B117" s="6" t="str">
        <f t="shared" si="5"/>
        <v>SETEMBRO</v>
      </c>
      <c r="C117" s="13">
        <v>43720</v>
      </c>
      <c r="D117" s="26"/>
      <c r="E117" s="19">
        <v>1</v>
      </c>
      <c r="F117" s="15">
        <v>24</v>
      </c>
      <c r="G117" s="17">
        <v>965</v>
      </c>
      <c r="K117" s="18">
        <f t="shared" si="3"/>
        <v>965</v>
      </c>
      <c r="L117" s="21">
        <f>IF(ISERROR(VLOOKUP($F117,#REF!,6,0)*G117/1000),0,VLOOKUP($F117,#REF!,6,0)*G117/1000)</f>
        <v>0</v>
      </c>
      <c r="M117" s="21">
        <f>IF(ISERROR(VLOOKUP($F117,#REF!,6,0)*H117/1000),0,VLOOKUP($F117,#REF!,6,0)*H117/1000)</f>
        <v>0</v>
      </c>
      <c r="N117" s="21">
        <f>IF(ISERROR(VLOOKUP($F117,#REF!,6,0)*I117/1000),0,VLOOKUP($F117,#REF!,6,0)*I117/1000)</f>
        <v>0</v>
      </c>
      <c r="O117" s="21">
        <f>IF(ISERROR(VLOOKUP($F117,#REF!,6,0)*J117/1000),0,VLOOKUP($F117,#REF!,6,0)*J117/1000)</f>
        <v>0</v>
      </c>
      <c r="P117" s="21">
        <f>IF(ISERROR(VLOOKUP(F117,#REF!,6,0)*K117/1000),0,VLOOKUP(F117,#REF!,6,0)*K117/1000)</f>
        <v>0</v>
      </c>
      <c r="Q117" s="6">
        <f>IF(ISERROR(VLOOKUP(F117,#REF!,3,0)),0,VLOOKUP(F117,#REF!,3,0))</f>
        <v>0</v>
      </c>
      <c r="R117" s="6">
        <f>IF(ISERROR(VLOOKUP(F117,#REF!,4,0)),0,VLOOKUP(F117,#REF!,4,0))</f>
        <v>0</v>
      </c>
      <c r="S117" s="8">
        <f>IF(ISERROR(VLOOKUP(F117,#REF!,4,0)),0,VLOOKUP(F117,#REF!,10,0)/60*K117)</f>
        <v>0</v>
      </c>
      <c r="T117" s="3"/>
      <c r="U117" s="3"/>
      <c r="V117" s="4"/>
    </row>
    <row r="118" spans="1:22" x14ac:dyDescent="0.3">
      <c r="A118" s="5">
        <f t="shared" si="4"/>
        <v>2019</v>
      </c>
      <c r="B118" s="6" t="str">
        <f t="shared" si="5"/>
        <v>SETEMBRO</v>
      </c>
      <c r="C118" s="13">
        <v>43720</v>
      </c>
      <c r="D118" s="26"/>
      <c r="E118" s="19">
        <v>1</v>
      </c>
      <c r="F118" s="15">
        <v>26</v>
      </c>
      <c r="G118" s="17">
        <v>821</v>
      </c>
      <c r="K118" s="18">
        <f t="shared" si="3"/>
        <v>821</v>
      </c>
      <c r="L118" s="21">
        <f>IF(ISERROR(VLOOKUP($F118,#REF!,6,0)*G118/1000),0,VLOOKUP($F118,#REF!,6,0)*G118/1000)</f>
        <v>0</v>
      </c>
      <c r="M118" s="21">
        <f>IF(ISERROR(VLOOKUP($F118,#REF!,6,0)*H118/1000),0,VLOOKUP($F118,#REF!,6,0)*H118/1000)</f>
        <v>0</v>
      </c>
      <c r="N118" s="21">
        <f>IF(ISERROR(VLOOKUP($F118,#REF!,6,0)*I118/1000),0,VLOOKUP($F118,#REF!,6,0)*I118/1000)</f>
        <v>0</v>
      </c>
      <c r="O118" s="21">
        <f>IF(ISERROR(VLOOKUP($F118,#REF!,6,0)*J118/1000),0,VLOOKUP($F118,#REF!,6,0)*J118/1000)</f>
        <v>0</v>
      </c>
      <c r="P118" s="21">
        <f>IF(ISERROR(VLOOKUP(F118,#REF!,6,0)*K118/1000),0,VLOOKUP(F118,#REF!,6,0)*K118/1000)</f>
        <v>0</v>
      </c>
      <c r="Q118" s="6">
        <f>IF(ISERROR(VLOOKUP(F118,#REF!,3,0)),0,VLOOKUP(F118,#REF!,3,0))</f>
        <v>0</v>
      </c>
      <c r="R118" s="6">
        <f>IF(ISERROR(VLOOKUP(F118,#REF!,4,0)),0,VLOOKUP(F118,#REF!,4,0))</f>
        <v>0</v>
      </c>
      <c r="S118" s="8">
        <f>IF(ISERROR(VLOOKUP(F118,#REF!,4,0)),0,VLOOKUP(F118,#REF!,10,0)/60*K118)</f>
        <v>0</v>
      </c>
      <c r="T118" s="3"/>
      <c r="U118" s="3"/>
      <c r="V118" s="4"/>
    </row>
    <row r="119" spans="1:22" x14ac:dyDescent="0.3">
      <c r="A119" s="5">
        <f t="shared" si="4"/>
        <v>2019</v>
      </c>
      <c r="B119" s="6" t="str">
        <f t="shared" si="5"/>
        <v>SETEMBRO</v>
      </c>
      <c r="C119" s="13">
        <v>43720</v>
      </c>
      <c r="D119" s="26"/>
      <c r="E119" s="19">
        <v>1</v>
      </c>
      <c r="F119" s="15">
        <v>47</v>
      </c>
      <c r="G119" s="17">
        <v>882</v>
      </c>
      <c r="H119" s="17">
        <v>290</v>
      </c>
      <c r="I119" s="17">
        <v>120</v>
      </c>
      <c r="K119" s="18">
        <f t="shared" si="3"/>
        <v>1292</v>
      </c>
      <c r="L119" s="21">
        <f>IF(ISERROR(VLOOKUP($F119,#REF!,6,0)*G119/1000),0,VLOOKUP($F119,#REF!,6,0)*G119/1000)</f>
        <v>0</v>
      </c>
      <c r="M119" s="21">
        <f>IF(ISERROR(VLOOKUP($F119,#REF!,6,0)*H119/1000),0,VLOOKUP($F119,#REF!,6,0)*H119/1000)</f>
        <v>0</v>
      </c>
      <c r="N119" s="21">
        <f>IF(ISERROR(VLOOKUP($F119,#REF!,6,0)*I119/1000),0,VLOOKUP($F119,#REF!,6,0)*I119/1000)</f>
        <v>0</v>
      </c>
      <c r="O119" s="21">
        <f>IF(ISERROR(VLOOKUP($F119,#REF!,6,0)*J119/1000),0,VLOOKUP($F119,#REF!,6,0)*J119/1000)</f>
        <v>0</v>
      </c>
      <c r="P119" s="21">
        <f>IF(ISERROR(VLOOKUP(F119,#REF!,6,0)*K119/1000),0,VLOOKUP(F119,#REF!,6,0)*K119/1000)</f>
        <v>0</v>
      </c>
      <c r="Q119" s="6">
        <f>IF(ISERROR(VLOOKUP(F119,#REF!,3,0)),0,VLOOKUP(F119,#REF!,3,0))</f>
        <v>0</v>
      </c>
      <c r="R119" s="6">
        <f>IF(ISERROR(VLOOKUP(F119,#REF!,4,0)),0,VLOOKUP(F119,#REF!,4,0))</f>
        <v>0</v>
      </c>
      <c r="S119" s="8">
        <f>IF(ISERROR(VLOOKUP(F119,#REF!,4,0)),0,VLOOKUP(F119,#REF!,10,0)/60*K119)</f>
        <v>0</v>
      </c>
      <c r="T119" s="3"/>
      <c r="U119" s="3"/>
      <c r="V119" s="4"/>
    </row>
    <row r="120" spans="1:22" x14ac:dyDescent="0.3">
      <c r="A120" s="5">
        <f t="shared" si="4"/>
        <v>2019</v>
      </c>
      <c r="B120" s="6" t="str">
        <f t="shared" si="5"/>
        <v>SETEMBRO</v>
      </c>
      <c r="C120" s="13">
        <v>43720</v>
      </c>
      <c r="D120" s="26"/>
      <c r="E120" s="19">
        <v>2</v>
      </c>
      <c r="F120" s="15">
        <v>25</v>
      </c>
      <c r="H120" s="17">
        <v>512</v>
      </c>
      <c r="K120" s="18">
        <f t="shared" si="3"/>
        <v>512</v>
      </c>
      <c r="L120" s="21">
        <f>IF(ISERROR(VLOOKUP($F120,#REF!,6,0)*G120/1000),0,VLOOKUP($F120,#REF!,6,0)*G120/1000)</f>
        <v>0</v>
      </c>
      <c r="M120" s="21">
        <f>IF(ISERROR(VLOOKUP($F120,#REF!,6,0)*H120/1000),0,VLOOKUP($F120,#REF!,6,0)*H120/1000)</f>
        <v>0</v>
      </c>
      <c r="N120" s="21">
        <f>IF(ISERROR(VLOOKUP($F120,#REF!,6,0)*I120/1000),0,VLOOKUP($F120,#REF!,6,0)*I120/1000)</f>
        <v>0</v>
      </c>
      <c r="O120" s="21">
        <f>IF(ISERROR(VLOOKUP($F120,#REF!,6,0)*J120/1000),0,VLOOKUP($F120,#REF!,6,0)*J120/1000)</f>
        <v>0</v>
      </c>
      <c r="P120" s="21">
        <f>IF(ISERROR(VLOOKUP(F120,#REF!,6,0)*K120/1000),0,VLOOKUP(F120,#REF!,6,0)*K120/1000)</f>
        <v>0</v>
      </c>
      <c r="Q120" s="6">
        <f>IF(ISERROR(VLOOKUP(F120,#REF!,3,0)),0,VLOOKUP(F120,#REF!,3,0))</f>
        <v>0</v>
      </c>
      <c r="R120" s="6">
        <f>IF(ISERROR(VLOOKUP(F120,#REF!,4,0)),0,VLOOKUP(F120,#REF!,4,0))</f>
        <v>0</v>
      </c>
      <c r="S120" s="8">
        <f>IF(ISERROR(VLOOKUP(F120,#REF!,4,0)),0,VLOOKUP(F120,#REF!,10,0)/60*K120)</f>
        <v>0</v>
      </c>
      <c r="T120" s="3"/>
      <c r="U120" s="3"/>
      <c r="V120" s="4"/>
    </row>
    <row r="121" spans="1:22" x14ac:dyDescent="0.3">
      <c r="A121" s="5">
        <f t="shared" si="4"/>
        <v>2019</v>
      </c>
      <c r="B121" s="6" t="str">
        <f t="shared" si="5"/>
        <v>SETEMBRO</v>
      </c>
      <c r="C121" s="13">
        <v>43720</v>
      </c>
      <c r="D121" s="26"/>
      <c r="E121" s="19">
        <v>2</v>
      </c>
      <c r="F121" s="15">
        <v>48</v>
      </c>
      <c r="G121" s="17">
        <v>679</v>
      </c>
      <c r="K121" s="18">
        <f t="shared" si="3"/>
        <v>679</v>
      </c>
      <c r="L121" s="21">
        <f>IF(ISERROR(VLOOKUP($F121,#REF!,6,0)*G121/1000),0,VLOOKUP($F121,#REF!,6,0)*G121/1000)</f>
        <v>0</v>
      </c>
      <c r="M121" s="21">
        <f>IF(ISERROR(VLOOKUP($F121,#REF!,6,0)*H121/1000),0,VLOOKUP($F121,#REF!,6,0)*H121/1000)</f>
        <v>0</v>
      </c>
      <c r="N121" s="21">
        <f>IF(ISERROR(VLOOKUP($F121,#REF!,6,0)*I121/1000),0,VLOOKUP($F121,#REF!,6,0)*I121/1000)</f>
        <v>0</v>
      </c>
      <c r="O121" s="21">
        <f>IF(ISERROR(VLOOKUP($F121,#REF!,6,0)*J121/1000),0,VLOOKUP($F121,#REF!,6,0)*J121/1000)</f>
        <v>0</v>
      </c>
      <c r="P121" s="21">
        <f>IF(ISERROR(VLOOKUP(F121,#REF!,6,0)*K121/1000),0,VLOOKUP(F121,#REF!,6,0)*K121/1000)</f>
        <v>0</v>
      </c>
      <c r="Q121" s="6">
        <f>IF(ISERROR(VLOOKUP(F121,#REF!,3,0)),0,VLOOKUP(F121,#REF!,3,0))</f>
        <v>0</v>
      </c>
      <c r="R121" s="6">
        <f>IF(ISERROR(VLOOKUP(F121,#REF!,4,0)),0,VLOOKUP(F121,#REF!,4,0))</f>
        <v>0</v>
      </c>
      <c r="S121" s="8">
        <f>IF(ISERROR(VLOOKUP(F121,#REF!,4,0)),0,VLOOKUP(F121,#REF!,10,0)/60*K121)</f>
        <v>0</v>
      </c>
      <c r="T121" s="3"/>
      <c r="U121" s="3"/>
      <c r="V121" s="4"/>
    </row>
    <row r="122" spans="1:22" x14ac:dyDescent="0.3">
      <c r="A122" s="5">
        <f t="shared" si="4"/>
        <v>2019</v>
      </c>
      <c r="B122" s="6" t="str">
        <f t="shared" si="5"/>
        <v>SETEMBRO</v>
      </c>
      <c r="C122" s="13">
        <v>43720</v>
      </c>
      <c r="D122" s="26"/>
      <c r="E122" s="19">
        <v>2</v>
      </c>
      <c r="F122" s="15">
        <v>24</v>
      </c>
      <c r="G122" s="17">
        <v>489</v>
      </c>
      <c r="H122" s="17">
        <v>358</v>
      </c>
      <c r="I122" s="17">
        <v>471</v>
      </c>
      <c r="K122" s="18">
        <f t="shared" si="3"/>
        <v>1318</v>
      </c>
      <c r="L122" s="21">
        <f>IF(ISERROR(VLOOKUP($F122,#REF!,6,0)*G122/1000),0,VLOOKUP($F122,#REF!,6,0)*G122/1000)</f>
        <v>0</v>
      </c>
      <c r="M122" s="21">
        <f>IF(ISERROR(VLOOKUP($F122,#REF!,6,0)*H122/1000),0,VLOOKUP($F122,#REF!,6,0)*H122/1000)</f>
        <v>0</v>
      </c>
      <c r="N122" s="21">
        <f>IF(ISERROR(VLOOKUP($F122,#REF!,6,0)*I122/1000),0,VLOOKUP($F122,#REF!,6,0)*I122/1000)</f>
        <v>0</v>
      </c>
      <c r="O122" s="21">
        <f>IF(ISERROR(VLOOKUP($F122,#REF!,6,0)*J122/1000),0,VLOOKUP($F122,#REF!,6,0)*J122/1000)</f>
        <v>0</v>
      </c>
      <c r="P122" s="21">
        <f>IF(ISERROR(VLOOKUP(F122,#REF!,6,0)*K122/1000),0,VLOOKUP(F122,#REF!,6,0)*K122/1000)</f>
        <v>0</v>
      </c>
      <c r="Q122" s="6">
        <f>IF(ISERROR(VLOOKUP(F122,#REF!,3,0)),0,VLOOKUP(F122,#REF!,3,0))</f>
        <v>0</v>
      </c>
      <c r="R122" s="6">
        <f>IF(ISERROR(VLOOKUP(F122,#REF!,4,0)),0,VLOOKUP(F122,#REF!,4,0))</f>
        <v>0</v>
      </c>
      <c r="S122" s="8">
        <f>IF(ISERROR(VLOOKUP(F122,#REF!,4,0)),0,VLOOKUP(F122,#REF!,10,0)/60*K122)</f>
        <v>0</v>
      </c>
      <c r="T122" s="3"/>
      <c r="U122" s="3"/>
      <c r="V122" s="4"/>
    </row>
    <row r="123" spans="1:22" x14ac:dyDescent="0.3">
      <c r="A123" s="5">
        <f t="shared" si="4"/>
        <v>2019</v>
      </c>
      <c r="B123" s="6" t="str">
        <f t="shared" si="5"/>
        <v>SETEMBRO</v>
      </c>
      <c r="C123" s="13">
        <v>43720</v>
      </c>
      <c r="D123" s="26"/>
      <c r="E123" s="19">
        <v>2</v>
      </c>
      <c r="F123" s="15">
        <v>26</v>
      </c>
      <c r="G123" s="17">
        <v>694</v>
      </c>
      <c r="K123" s="18">
        <f t="shared" si="3"/>
        <v>694</v>
      </c>
      <c r="L123" s="21">
        <f>IF(ISERROR(VLOOKUP($F123,#REF!,6,0)*G123/1000),0,VLOOKUP($F123,#REF!,6,0)*G123/1000)</f>
        <v>0</v>
      </c>
      <c r="M123" s="21">
        <f>IF(ISERROR(VLOOKUP($F123,#REF!,6,0)*H123/1000),0,VLOOKUP($F123,#REF!,6,0)*H123/1000)</f>
        <v>0</v>
      </c>
      <c r="N123" s="21">
        <f>IF(ISERROR(VLOOKUP($F123,#REF!,6,0)*I123/1000),0,VLOOKUP($F123,#REF!,6,0)*I123/1000)</f>
        <v>0</v>
      </c>
      <c r="O123" s="21">
        <f>IF(ISERROR(VLOOKUP($F123,#REF!,6,0)*J123/1000),0,VLOOKUP($F123,#REF!,6,0)*J123/1000)</f>
        <v>0</v>
      </c>
      <c r="P123" s="21">
        <f>IF(ISERROR(VLOOKUP(F123,#REF!,6,0)*K123/1000),0,VLOOKUP(F123,#REF!,6,0)*K123/1000)</f>
        <v>0</v>
      </c>
      <c r="Q123" s="6">
        <f>IF(ISERROR(VLOOKUP(F123,#REF!,3,0)),0,VLOOKUP(F123,#REF!,3,0))</f>
        <v>0</v>
      </c>
      <c r="R123" s="6">
        <f>IF(ISERROR(VLOOKUP(F123,#REF!,4,0)),0,VLOOKUP(F123,#REF!,4,0))</f>
        <v>0</v>
      </c>
      <c r="S123" s="8">
        <f>IF(ISERROR(VLOOKUP(F123,#REF!,4,0)),0,VLOOKUP(F123,#REF!,10,0)/60*K123)</f>
        <v>0</v>
      </c>
      <c r="T123" s="3"/>
      <c r="U123" s="3"/>
      <c r="V123" s="4"/>
    </row>
    <row r="124" spans="1:22" x14ac:dyDescent="0.3">
      <c r="A124" s="5">
        <f t="shared" si="4"/>
        <v>2019</v>
      </c>
      <c r="B124" s="6" t="str">
        <f t="shared" si="5"/>
        <v>SETEMBRO</v>
      </c>
      <c r="C124" s="13">
        <v>43720</v>
      </c>
      <c r="D124" s="26"/>
      <c r="E124" s="19">
        <v>2</v>
      </c>
      <c r="F124" s="15">
        <v>47</v>
      </c>
      <c r="G124" s="17">
        <v>416</v>
      </c>
      <c r="H124" s="17">
        <v>341</v>
      </c>
      <c r="I124" s="17">
        <v>58</v>
      </c>
      <c r="K124" s="18">
        <f t="shared" si="3"/>
        <v>815</v>
      </c>
      <c r="L124" s="21">
        <f>IF(ISERROR(VLOOKUP($F124,#REF!,6,0)*G124/1000),0,VLOOKUP($F124,#REF!,6,0)*G124/1000)</f>
        <v>0</v>
      </c>
      <c r="M124" s="21">
        <f>IF(ISERROR(VLOOKUP($F124,#REF!,6,0)*H124/1000),0,VLOOKUP($F124,#REF!,6,0)*H124/1000)</f>
        <v>0</v>
      </c>
      <c r="N124" s="21">
        <f>IF(ISERROR(VLOOKUP($F124,#REF!,6,0)*I124/1000),0,VLOOKUP($F124,#REF!,6,0)*I124/1000)</f>
        <v>0</v>
      </c>
      <c r="O124" s="21">
        <f>IF(ISERROR(VLOOKUP($F124,#REF!,6,0)*J124/1000),0,VLOOKUP($F124,#REF!,6,0)*J124/1000)</f>
        <v>0</v>
      </c>
      <c r="P124" s="21">
        <f>IF(ISERROR(VLOOKUP(F124,#REF!,6,0)*K124/1000),0,VLOOKUP(F124,#REF!,6,0)*K124/1000)</f>
        <v>0</v>
      </c>
      <c r="Q124" s="6">
        <f>IF(ISERROR(VLOOKUP(F124,#REF!,3,0)),0,VLOOKUP(F124,#REF!,3,0))</f>
        <v>0</v>
      </c>
      <c r="R124" s="6">
        <f>IF(ISERROR(VLOOKUP(F124,#REF!,4,0)),0,VLOOKUP(F124,#REF!,4,0))</f>
        <v>0</v>
      </c>
      <c r="S124" s="8">
        <f>IF(ISERROR(VLOOKUP(F124,#REF!,4,0)),0,VLOOKUP(F124,#REF!,10,0)/60*K124)</f>
        <v>0</v>
      </c>
      <c r="T124" s="3"/>
      <c r="U124" s="3"/>
      <c r="V124" s="4"/>
    </row>
    <row r="125" spans="1:22" x14ac:dyDescent="0.3">
      <c r="A125" s="5">
        <f t="shared" si="4"/>
        <v>2019</v>
      </c>
      <c r="B125" s="6" t="str">
        <f t="shared" si="5"/>
        <v>SETEMBRO</v>
      </c>
      <c r="C125" s="13">
        <v>43721</v>
      </c>
      <c r="D125" s="26"/>
      <c r="E125" s="19">
        <v>1</v>
      </c>
      <c r="F125" s="15">
        <v>3</v>
      </c>
      <c r="G125" s="17">
        <v>648</v>
      </c>
      <c r="I125" s="17">
        <v>10</v>
      </c>
      <c r="J125" s="17">
        <v>30</v>
      </c>
      <c r="K125" s="18">
        <f t="shared" si="3"/>
        <v>688</v>
      </c>
      <c r="L125" s="21">
        <f>IF(ISERROR(VLOOKUP($F125,#REF!,6,0)*G125/1000),0,VLOOKUP($F125,#REF!,6,0)*G125/1000)</f>
        <v>0</v>
      </c>
      <c r="M125" s="21">
        <f>IF(ISERROR(VLOOKUP($F125,#REF!,6,0)*H125/1000),0,VLOOKUP($F125,#REF!,6,0)*H125/1000)</f>
        <v>0</v>
      </c>
      <c r="N125" s="21">
        <f>IF(ISERROR(VLOOKUP($F125,#REF!,6,0)*I125/1000),0,VLOOKUP($F125,#REF!,6,0)*I125/1000)</f>
        <v>0</v>
      </c>
      <c r="O125" s="21">
        <f>IF(ISERROR(VLOOKUP($F125,#REF!,6,0)*J125/1000),0,VLOOKUP($F125,#REF!,6,0)*J125/1000)</f>
        <v>0</v>
      </c>
      <c r="P125" s="21">
        <f>IF(ISERROR(VLOOKUP(F125,#REF!,6,0)*K125/1000),0,VLOOKUP(F125,#REF!,6,0)*K125/1000)</f>
        <v>0</v>
      </c>
      <c r="Q125" s="6">
        <f>IF(ISERROR(VLOOKUP(F125,#REF!,3,0)),0,VLOOKUP(F125,#REF!,3,0))</f>
        <v>0</v>
      </c>
      <c r="R125" s="6">
        <f>IF(ISERROR(VLOOKUP(F125,#REF!,4,0)),0,VLOOKUP(F125,#REF!,4,0))</f>
        <v>0</v>
      </c>
      <c r="S125" s="8">
        <f>IF(ISERROR(VLOOKUP(F125,#REF!,4,0)),0,VLOOKUP(F125,#REF!,10,0)/60*K125)</f>
        <v>0</v>
      </c>
      <c r="T125" s="3"/>
      <c r="U125" s="3"/>
      <c r="V125" s="4"/>
    </row>
    <row r="126" spans="1:22" x14ac:dyDescent="0.3">
      <c r="A126" s="5">
        <f t="shared" si="4"/>
        <v>2019</v>
      </c>
      <c r="B126" s="6" t="str">
        <f t="shared" si="5"/>
        <v>SETEMBRO</v>
      </c>
      <c r="C126" s="13">
        <v>43721</v>
      </c>
      <c r="D126" s="26"/>
      <c r="E126" s="19">
        <v>1</v>
      </c>
      <c r="F126" s="15">
        <v>13</v>
      </c>
      <c r="G126" s="17">
        <v>960</v>
      </c>
      <c r="H126" s="17">
        <v>160</v>
      </c>
      <c r="I126" s="17">
        <v>100</v>
      </c>
      <c r="J126" s="17">
        <v>160</v>
      </c>
      <c r="K126" s="18">
        <f t="shared" si="3"/>
        <v>1380</v>
      </c>
      <c r="L126" s="21">
        <f>IF(ISERROR(VLOOKUP($F126,#REF!,6,0)*G126/1000),0,VLOOKUP($F126,#REF!,6,0)*G126/1000)</f>
        <v>0</v>
      </c>
      <c r="M126" s="21">
        <f>IF(ISERROR(VLOOKUP($F126,#REF!,6,0)*H126/1000),0,VLOOKUP($F126,#REF!,6,0)*H126/1000)</f>
        <v>0</v>
      </c>
      <c r="N126" s="21">
        <f>IF(ISERROR(VLOOKUP($F126,#REF!,6,0)*I126/1000),0,VLOOKUP($F126,#REF!,6,0)*I126/1000)</f>
        <v>0</v>
      </c>
      <c r="O126" s="21">
        <f>IF(ISERROR(VLOOKUP($F126,#REF!,6,0)*J126/1000),0,VLOOKUP($F126,#REF!,6,0)*J126/1000)</f>
        <v>0</v>
      </c>
      <c r="P126" s="21">
        <f>IF(ISERROR(VLOOKUP(F126,#REF!,6,0)*K126/1000),0,VLOOKUP(F126,#REF!,6,0)*K126/1000)</f>
        <v>0</v>
      </c>
      <c r="Q126" s="6">
        <f>IF(ISERROR(VLOOKUP(F126,#REF!,3,0)),0,VLOOKUP(F126,#REF!,3,0))</f>
        <v>0</v>
      </c>
      <c r="R126" s="6">
        <f>IF(ISERROR(VLOOKUP(F126,#REF!,4,0)),0,VLOOKUP(F126,#REF!,4,0))</f>
        <v>0</v>
      </c>
      <c r="S126" s="8">
        <f>IF(ISERROR(VLOOKUP(F126,#REF!,4,0)),0,VLOOKUP(F126,#REF!,10,0)/60*K126)</f>
        <v>0</v>
      </c>
      <c r="T126" s="3"/>
      <c r="U126" s="3"/>
      <c r="V126" s="4"/>
    </row>
    <row r="127" spans="1:22" x14ac:dyDescent="0.3">
      <c r="A127" s="5">
        <f t="shared" si="4"/>
        <v>2019</v>
      </c>
      <c r="B127" s="6" t="str">
        <f t="shared" si="5"/>
        <v>SETEMBRO</v>
      </c>
      <c r="C127" s="13">
        <v>43721</v>
      </c>
      <c r="D127" s="26"/>
      <c r="E127" s="19">
        <v>1</v>
      </c>
      <c r="F127" s="15">
        <v>56</v>
      </c>
      <c r="G127" s="17">
        <v>512</v>
      </c>
      <c r="H127" s="17">
        <v>360</v>
      </c>
      <c r="I127" s="17">
        <v>90</v>
      </c>
      <c r="J127" s="17">
        <v>100</v>
      </c>
      <c r="K127" s="18">
        <f t="shared" si="3"/>
        <v>1062</v>
      </c>
      <c r="L127" s="21">
        <f>IF(ISERROR(VLOOKUP($F127,#REF!,6,0)*G127/1000),0,VLOOKUP($F127,#REF!,6,0)*G127/1000)</f>
        <v>0</v>
      </c>
      <c r="M127" s="21">
        <f>IF(ISERROR(VLOOKUP($F127,#REF!,6,0)*H127/1000),0,VLOOKUP($F127,#REF!,6,0)*H127/1000)</f>
        <v>0</v>
      </c>
      <c r="N127" s="21">
        <f>IF(ISERROR(VLOOKUP($F127,#REF!,6,0)*I127/1000),0,VLOOKUP($F127,#REF!,6,0)*I127/1000)</f>
        <v>0</v>
      </c>
      <c r="O127" s="21">
        <f>IF(ISERROR(VLOOKUP($F127,#REF!,6,0)*J127/1000),0,VLOOKUP($F127,#REF!,6,0)*J127/1000)</f>
        <v>0</v>
      </c>
      <c r="P127" s="21">
        <f>IF(ISERROR(VLOOKUP(F127,#REF!,6,0)*K127/1000),0,VLOOKUP(F127,#REF!,6,0)*K127/1000)</f>
        <v>0</v>
      </c>
      <c r="Q127" s="6">
        <f>IF(ISERROR(VLOOKUP(F127,#REF!,3,0)),0,VLOOKUP(F127,#REF!,3,0))</f>
        <v>0</v>
      </c>
      <c r="R127" s="6">
        <f>IF(ISERROR(VLOOKUP(F127,#REF!,4,0)),0,VLOOKUP(F127,#REF!,4,0))</f>
        <v>0</v>
      </c>
      <c r="S127" s="8">
        <f>IF(ISERROR(VLOOKUP(F127,#REF!,4,0)),0,VLOOKUP(F127,#REF!,10,0)/60*K127)</f>
        <v>0</v>
      </c>
      <c r="T127" s="3"/>
      <c r="U127" s="3"/>
      <c r="V127" s="4"/>
    </row>
    <row r="128" spans="1:22" x14ac:dyDescent="0.3">
      <c r="A128" s="5">
        <f t="shared" si="4"/>
        <v>2019</v>
      </c>
      <c r="B128" s="6" t="str">
        <f t="shared" si="5"/>
        <v>SETEMBRO</v>
      </c>
      <c r="C128" s="13">
        <v>43721</v>
      </c>
      <c r="D128" s="26"/>
      <c r="E128" s="19">
        <v>1</v>
      </c>
      <c r="F128" s="15">
        <v>9</v>
      </c>
      <c r="G128" s="17">
        <v>84</v>
      </c>
      <c r="H128" s="17">
        <v>30</v>
      </c>
      <c r="I128" s="17">
        <v>8</v>
      </c>
      <c r="J128" s="17">
        <v>10</v>
      </c>
      <c r="K128" s="18">
        <f t="shared" si="3"/>
        <v>132</v>
      </c>
      <c r="L128" s="21">
        <f>IF(ISERROR(VLOOKUP($F128,#REF!,6,0)*G128/1000),0,VLOOKUP($F128,#REF!,6,0)*G128/1000)</f>
        <v>0</v>
      </c>
      <c r="M128" s="21">
        <f>IF(ISERROR(VLOOKUP($F128,#REF!,6,0)*H128/1000),0,VLOOKUP($F128,#REF!,6,0)*H128/1000)</f>
        <v>0</v>
      </c>
      <c r="N128" s="21">
        <f>IF(ISERROR(VLOOKUP($F128,#REF!,6,0)*I128/1000),0,VLOOKUP($F128,#REF!,6,0)*I128/1000)</f>
        <v>0</v>
      </c>
      <c r="O128" s="21">
        <f>IF(ISERROR(VLOOKUP($F128,#REF!,6,0)*J128/1000),0,VLOOKUP($F128,#REF!,6,0)*J128/1000)</f>
        <v>0</v>
      </c>
      <c r="P128" s="21">
        <f>IF(ISERROR(VLOOKUP(F128,#REF!,6,0)*K128/1000),0,VLOOKUP(F128,#REF!,6,0)*K128/1000)</f>
        <v>0</v>
      </c>
      <c r="Q128" s="6">
        <f>IF(ISERROR(VLOOKUP(F128,#REF!,3,0)),0,VLOOKUP(F128,#REF!,3,0))</f>
        <v>0</v>
      </c>
      <c r="R128" s="6">
        <f>IF(ISERROR(VLOOKUP(F128,#REF!,4,0)),0,VLOOKUP(F128,#REF!,4,0))</f>
        <v>0</v>
      </c>
      <c r="S128" s="8">
        <f>IF(ISERROR(VLOOKUP(F128,#REF!,4,0)),0,VLOOKUP(F128,#REF!,10,0)/60*K128)</f>
        <v>0</v>
      </c>
      <c r="T128" s="3"/>
      <c r="U128" s="3"/>
      <c r="V128" s="4"/>
    </row>
    <row r="129" spans="1:22" x14ac:dyDescent="0.3">
      <c r="A129" s="5">
        <f t="shared" si="4"/>
        <v>2019</v>
      </c>
      <c r="B129" s="6" t="str">
        <f t="shared" si="5"/>
        <v>SETEMBRO</v>
      </c>
      <c r="C129" s="13">
        <v>43721</v>
      </c>
      <c r="D129" s="26"/>
      <c r="E129" s="19">
        <v>2</v>
      </c>
      <c r="F129" s="15">
        <v>9</v>
      </c>
      <c r="G129" s="17">
        <v>192</v>
      </c>
      <c r="H129" s="17">
        <v>48</v>
      </c>
      <c r="I129" s="17">
        <v>28</v>
      </c>
      <c r="J129" s="17">
        <v>3</v>
      </c>
      <c r="K129" s="18">
        <f t="shared" si="3"/>
        <v>271</v>
      </c>
      <c r="L129" s="21">
        <f>IF(ISERROR(VLOOKUP($F129,#REF!,6,0)*G129/1000),0,VLOOKUP($F129,#REF!,6,0)*G129/1000)</f>
        <v>0</v>
      </c>
      <c r="M129" s="21">
        <f>IF(ISERROR(VLOOKUP($F129,#REF!,6,0)*H129/1000),0,VLOOKUP($F129,#REF!,6,0)*H129/1000)</f>
        <v>0</v>
      </c>
      <c r="N129" s="21">
        <f>IF(ISERROR(VLOOKUP($F129,#REF!,6,0)*I129/1000),0,VLOOKUP($F129,#REF!,6,0)*I129/1000)</f>
        <v>0</v>
      </c>
      <c r="O129" s="21">
        <f>IF(ISERROR(VLOOKUP($F129,#REF!,6,0)*J129/1000),0,VLOOKUP($F129,#REF!,6,0)*J129/1000)</f>
        <v>0</v>
      </c>
      <c r="P129" s="21">
        <f>IF(ISERROR(VLOOKUP(F129,#REF!,6,0)*K129/1000),0,VLOOKUP(F129,#REF!,6,0)*K129/1000)</f>
        <v>0</v>
      </c>
      <c r="Q129" s="6">
        <f>IF(ISERROR(VLOOKUP(F129,#REF!,3,0)),0,VLOOKUP(F129,#REF!,3,0))</f>
        <v>0</v>
      </c>
      <c r="R129" s="6">
        <f>IF(ISERROR(VLOOKUP(F129,#REF!,4,0)),0,VLOOKUP(F129,#REF!,4,0))</f>
        <v>0</v>
      </c>
      <c r="S129" s="8">
        <f>IF(ISERROR(VLOOKUP(F129,#REF!,4,0)),0,VLOOKUP(F129,#REF!,10,0)/60*K129)</f>
        <v>0</v>
      </c>
      <c r="T129" s="3"/>
      <c r="U129" s="3"/>
      <c r="V129" s="4"/>
    </row>
    <row r="130" spans="1:22" x14ac:dyDescent="0.3">
      <c r="A130" s="5">
        <f t="shared" si="4"/>
        <v>2019</v>
      </c>
      <c r="B130" s="6" t="str">
        <f t="shared" si="5"/>
        <v>SETEMBRO</v>
      </c>
      <c r="C130" s="13">
        <v>43721</v>
      </c>
      <c r="D130" s="26"/>
      <c r="E130" s="19">
        <v>2</v>
      </c>
      <c r="F130" s="15">
        <v>3</v>
      </c>
      <c r="G130" s="17">
        <v>216</v>
      </c>
      <c r="I130" s="17">
        <v>11</v>
      </c>
      <c r="J130" s="17">
        <v>8</v>
      </c>
      <c r="K130" s="18">
        <f t="shared" si="3"/>
        <v>235</v>
      </c>
      <c r="L130" s="21">
        <f>IF(ISERROR(VLOOKUP($F130,#REF!,6,0)*G130/1000),0,VLOOKUP($F130,#REF!,6,0)*G130/1000)</f>
        <v>0</v>
      </c>
      <c r="M130" s="21">
        <f>IF(ISERROR(VLOOKUP($F130,#REF!,6,0)*H130/1000),0,VLOOKUP($F130,#REF!,6,0)*H130/1000)</f>
        <v>0</v>
      </c>
      <c r="N130" s="21">
        <f>IF(ISERROR(VLOOKUP($F130,#REF!,6,0)*I130/1000),0,VLOOKUP($F130,#REF!,6,0)*I130/1000)</f>
        <v>0</v>
      </c>
      <c r="O130" s="21">
        <f>IF(ISERROR(VLOOKUP($F130,#REF!,6,0)*J130/1000),0,VLOOKUP($F130,#REF!,6,0)*J130/1000)</f>
        <v>0</v>
      </c>
      <c r="P130" s="21">
        <f>IF(ISERROR(VLOOKUP(F130,#REF!,6,0)*K130/1000),0,VLOOKUP(F130,#REF!,6,0)*K130/1000)</f>
        <v>0</v>
      </c>
      <c r="Q130" s="6">
        <f>IF(ISERROR(VLOOKUP(F130,#REF!,3,0)),0,VLOOKUP(F130,#REF!,3,0))</f>
        <v>0</v>
      </c>
      <c r="R130" s="6">
        <f>IF(ISERROR(VLOOKUP(F130,#REF!,4,0)),0,VLOOKUP(F130,#REF!,4,0))</f>
        <v>0</v>
      </c>
      <c r="S130" s="8">
        <f>IF(ISERROR(VLOOKUP(F130,#REF!,4,0)),0,VLOOKUP(F130,#REF!,10,0)/60*K130)</f>
        <v>0</v>
      </c>
      <c r="T130" s="3"/>
      <c r="U130" s="3"/>
      <c r="V130" s="4"/>
    </row>
    <row r="131" spans="1:22" x14ac:dyDescent="0.3">
      <c r="A131" s="5">
        <f t="shared" si="4"/>
        <v>2019</v>
      </c>
      <c r="B131" s="6" t="str">
        <f t="shared" si="5"/>
        <v>SETEMBRO</v>
      </c>
      <c r="C131" s="13">
        <v>43721</v>
      </c>
      <c r="D131" s="26"/>
      <c r="E131" s="19">
        <v>1</v>
      </c>
      <c r="F131" s="15">
        <v>48</v>
      </c>
      <c r="G131" s="17">
        <v>364</v>
      </c>
      <c r="H131" s="17">
        <v>600</v>
      </c>
      <c r="I131" s="17">
        <v>200</v>
      </c>
      <c r="K131" s="18">
        <f t="shared" si="3"/>
        <v>1164</v>
      </c>
      <c r="L131" s="21">
        <f>IF(ISERROR(VLOOKUP($F131,#REF!,6,0)*G131/1000),0,VLOOKUP($F131,#REF!,6,0)*G131/1000)</f>
        <v>0</v>
      </c>
      <c r="M131" s="21">
        <f>IF(ISERROR(VLOOKUP($F131,#REF!,6,0)*H131/1000),0,VLOOKUP($F131,#REF!,6,0)*H131/1000)</f>
        <v>0</v>
      </c>
      <c r="N131" s="21">
        <f>IF(ISERROR(VLOOKUP($F131,#REF!,6,0)*I131/1000),0,VLOOKUP($F131,#REF!,6,0)*I131/1000)</f>
        <v>0</v>
      </c>
      <c r="O131" s="21">
        <f>IF(ISERROR(VLOOKUP($F131,#REF!,6,0)*J131/1000),0,VLOOKUP($F131,#REF!,6,0)*J131/1000)</f>
        <v>0</v>
      </c>
      <c r="P131" s="21">
        <f>IF(ISERROR(VLOOKUP(F131,#REF!,6,0)*K131/1000),0,VLOOKUP(F131,#REF!,6,0)*K131/1000)</f>
        <v>0</v>
      </c>
      <c r="Q131" s="6">
        <f>IF(ISERROR(VLOOKUP(F131,#REF!,3,0)),0,VLOOKUP(F131,#REF!,3,0))</f>
        <v>0</v>
      </c>
      <c r="R131" s="6">
        <f>IF(ISERROR(VLOOKUP(F131,#REF!,4,0)),0,VLOOKUP(F131,#REF!,4,0))</f>
        <v>0</v>
      </c>
      <c r="S131" s="8">
        <f>IF(ISERROR(VLOOKUP(F131,#REF!,4,0)),0,VLOOKUP(F131,#REF!,10,0)/60*K131)</f>
        <v>0</v>
      </c>
      <c r="T131" s="3"/>
      <c r="U131" s="3"/>
      <c r="V131" s="4"/>
    </row>
    <row r="132" spans="1:22" x14ac:dyDescent="0.3">
      <c r="A132" s="5">
        <f t="shared" si="4"/>
        <v>2019</v>
      </c>
      <c r="B132" s="6" t="str">
        <f t="shared" si="5"/>
        <v>SETEMBRO</v>
      </c>
      <c r="C132" s="13">
        <v>43721</v>
      </c>
      <c r="D132" s="26"/>
      <c r="E132" s="19">
        <v>1</v>
      </c>
      <c r="F132" s="15">
        <v>25</v>
      </c>
      <c r="G132" s="17">
        <v>389</v>
      </c>
      <c r="K132" s="18">
        <f t="shared" ref="K132:K195" si="6">SUM(G132:J132)</f>
        <v>389</v>
      </c>
      <c r="L132" s="21">
        <f>IF(ISERROR(VLOOKUP($F132,#REF!,6,0)*G132/1000),0,VLOOKUP($F132,#REF!,6,0)*G132/1000)</f>
        <v>0</v>
      </c>
      <c r="M132" s="21">
        <f>IF(ISERROR(VLOOKUP($F132,#REF!,6,0)*H132/1000),0,VLOOKUP($F132,#REF!,6,0)*H132/1000)</f>
        <v>0</v>
      </c>
      <c r="N132" s="21">
        <f>IF(ISERROR(VLOOKUP($F132,#REF!,6,0)*I132/1000),0,VLOOKUP($F132,#REF!,6,0)*I132/1000)</f>
        <v>0</v>
      </c>
      <c r="O132" s="21">
        <f>IF(ISERROR(VLOOKUP($F132,#REF!,6,0)*J132/1000),0,VLOOKUP($F132,#REF!,6,0)*J132/1000)</f>
        <v>0</v>
      </c>
      <c r="P132" s="21">
        <f>IF(ISERROR(VLOOKUP(F132,#REF!,6,0)*K132/1000),0,VLOOKUP(F132,#REF!,6,0)*K132/1000)</f>
        <v>0</v>
      </c>
      <c r="Q132" s="6">
        <f>IF(ISERROR(VLOOKUP(F132,#REF!,3,0)),0,VLOOKUP(F132,#REF!,3,0))</f>
        <v>0</v>
      </c>
      <c r="R132" s="6">
        <f>IF(ISERROR(VLOOKUP(F132,#REF!,4,0)),0,VLOOKUP(F132,#REF!,4,0))</f>
        <v>0</v>
      </c>
      <c r="S132" s="8">
        <f>IF(ISERROR(VLOOKUP(F132,#REF!,4,0)),0,VLOOKUP(F132,#REF!,10,0)/60*K132)</f>
        <v>0</v>
      </c>
      <c r="T132" s="3"/>
      <c r="U132" s="3"/>
      <c r="V132" s="4"/>
    </row>
    <row r="133" spans="1:22" x14ac:dyDescent="0.3">
      <c r="A133" s="5">
        <f t="shared" ref="A133:A196" si="7">IF(C133=0,0,YEAR(C133))</f>
        <v>2019</v>
      </c>
      <c r="B133" s="6" t="str">
        <f t="shared" ref="B133:B196" si="8">IF(C133&gt;0,VLOOKUP(MONTH($C133),$AJ$3:$AK$14,2,0),0)</f>
        <v>SETEMBRO</v>
      </c>
      <c r="C133" s="13">
        <v>43721</v>
      </c>
      <c r="D133" s="26"/>
      <c r="E133" s="19">
        <v>1</v>
      </c>
      <c r="F133" s="15">
        <v>49</v>
      </c>
      <c r="G133" s="17">
        <v>480</v>
      </c>
      <c r="K133" s="18">
        <f t="shared" si="6"/>
        <v>480</v>
      </c>
      <c r="L133" s="21">
        <f>IF(ISERROR(VLOOKUP($F133,#REF!,6,0)*G133/1000),0,VLOOKUP($F133,#REF!,6,0)*G133/1000)</f>
        <v>0</v>
      </c>
      <c r="M133" s="21">
        <f>IF(ISERROR(VLOOKUP($F133,#REF!,6,0)*H133/1000),0,VLOOKUP($F133,#REF!,6,0)*H133/1000)</f>
        <v>0</v>
      </c>
      <c r="N133" s="21">
        <f>IF(ISERROR(VLOOKUP($F133,#REF!,6,0)*I133/1000),0,VLOOKUP($F133,#REF!,6,0)*I133/1000)</f>
        <v>0</v>
      </c>
      <c r="O133" s="21">
        <f>IF(ISERROR(VLOOKUP($F133,#REF!,6,0)*J133/1000),0,VLOOKUP($F133,#REF!,6,0)*J133/1000)</f>
        <v>0</v>
      </c>
      <c r="P133" s="21">
        <f>IF(ISERROR(VLOOKUP(F133,#REF!,6,0)*K133/1000),0,VLOOKUP(F133,#REF!,6,0)*K133/1000)</f>
        <v>0</v>
      </c>
      <c r="Q133" s="6">
        <f>IF(ISERROR(VLOOKUP(F133,#REF!,3,0)),0,VLOOKUP(F133,#REF!,3,0))</f>
        <v>0</v>
      </c>
      <c r="R133" s="6">
        <f>IF(ISERROR(VLOOKUP(F133,#REF!,4,0)),0,VLOOKUP(F133,#REF!,4,0))</f>
        <v>0</v>
      </c>
      <c r="S133" s="8">
        <f>IF(ISERROR(VLOOKUP(F133,#REF!,4,0)),0,VLOOKUP(F133,#REF!,10,0)/60*K133)</f>
        <v>0</v>
      </c>
      <c r="T133" s="3"/>
      <c r="U133" s="3"/>
      <c r="V133" s="4"/>
    </row>
    <row r="134" spans="1:22" x14ac:dyDescent="0.3">
      <c r="A134" s="5">
        <f t="shared" si="7"/>
        <v>2019</v>
      </c>
      <c r="B134" s="6" t="str">
        <f t="shared" si="8"/>
        <v>SETEMBRO</v>
      </c>
      <c r="C134" s="13">
        <v>43721</v>
      </c>
      <c r="D134" s="26"/>
      <c r="E134" s="19">
        <v>1</v>
      </c>
      <c r="F134" s="15">
        <v>50</v>
      </c>
      <c r="G134" s="17">
        <v>886</v>
      </c>
      <c r="I134" s="17">
        <v>250</v>
      </c>
      <c r="K134" s="18">
        <f t="shared" si="6"/>
        <v>1136</v>
      </c>
      <c r="L134" s="21">
        <f>IF(ISERROR(VLOOKUP($F134,#REF!,6,0)*G134/1000),0,VLOOKUP($F134,#REF!,6,0)*G134/1000)</f>
        <v>0</v>
      </c>
      <c r="M134" s="21">
        <f>IF(ISERROR(VLOOKUP($F134,#REF!,6,0)*H134/1000),0,VLOOKUP($F134,#REF!,6,0)*H134/1000)</f>
        <v>0</v>
      </c>
      <c r="N134" s="21">
        <f>IF(ISERROR(VLOOKUP($F134,#REF!,6,0)*I134/1000),0,VLOOKUP($F134,#REF!,6,0)*I134/1000)</f>
        <v>0</v>
      </c>
      <c r="O134" s="21">
        <f>IF(ISERROR(VLOOKUP($F134,#REF!,6,0)*J134/1000),0,VLOOKUP($F134,#REF!,6,0)*J134/1000)</f>
        <v>0</v>
      </c>
      <c r="P134" s="21">
        <f>IF(ISERROR(VLOOKUP(F134,#REF!,6,0)*K134/1000),0,VLOOKUP(F134,#REF!,6,0)*K134/1000)</f>
        <v>0</v>
      </c>
      <c r="Q134" s="6">
        <f>IF(ISERROR(VLOOKUP(F134,#REF!,3,0)),0,VLOOKUP(F134,#REF!,3,0))</f>
        <v>0</v>
      </c>
      <c r="R134" s="6">
        <f>IF(ISERROR(VLOOKUP(F134,#REF!,4,0)),0,VLOOKUP(F134,#REF!,4,0))</f>
        <v>0</v>
      </c>
      <c r="S134" s="8">
        <f>IF(ISERROR(VLOOKUP(F134,#REF!,4,0)),0,VLOOKUP(F134,#REF!,10,0)/60*K134)</f>
        <v>0</v>
      </c>
      <c r="T134" s="3"/>
      <c r="U134" s="3"/>
      <c r="V134" s="4"/>
    </row>
    <row r="135" spans="1:22" x14ac:dyDescent="0.3">
      <c r="A135" s="5">
        <f t="shared" si="7"/>
        <v>2019</v>
      </c>
      <c r="B135" s="6" t="str">
        <f t="shared" si="8"/>
        <v>SETEMBRO</v>
      </c>
      <c r="C135" s="13">
        <v>43721</v>
      </c>
      <c r="D135" s="26"/>
      <c r="E135" s="19">
        <v>2</v>
      </c>
      <c r="F135" s="15">
        <v>49</v>
      </c>
      <c r="G135" s="17">
        <v>314</v>
      </c>
      <c r="K135" s="18">
        <f t="shared" si="6"/>
        <v>314</v>
      </c>
      <c r="L135" s="21">
        <f>IF(ISERROR(VLOOKUP($F135,#REF!,6,0)*G135/1000),0,VLOOKUP($F135,#REF!,6,0)*G135/1000)</f>
        <v>0</v>
      </c>
      <c r="M135" s="21">
        <f>IF(ISERROR(VLOOKUP($F135,#REF!,6,0)*H135/1000),0,VLOOKUP($F135,#REF!,6,0)*H135/1000)</f>
        <v>0</v>
      </c>
      <c r="N135" s="21">
        <f>IF(ISERROR(VLOOKUP($F135,#REF!,6,0)*I135/1000),0,VLOOKUP($F135,#REF!,6,0)*I135/1000)</f>
        <v>0</v>
      </c>
      <c r="O135" s="21">
        <f>IF(ISERROR(VLOOKUP($F135,#REF!,6,0)*J135/1000),0,VLOOKUP($F135,#REF!,6,0)*J135/1000)</f>
        <v>0</v>
      </c>
      <c r="P135" s="21">
        <f>IF(ISERROR(VLOOKUP(F135,#REF!,6,0)*K135/1000),0,VLOOKUP(F135,#REF!,6,0)*K135/1000)</f>
        <v>0</v>
      </c>
      <c r="Q135" s="6">
        <f>IF(ISERROR(VLOOKUP(F135,#REF!,3,0)),0,VLOOKUP(F135,#REF!,3,0))</f>
        <v>0</v>
      </c>
      <c r="R135" s="6">
        <f>IF(ISERROR(VLOOKUP(F135,#REF!,4,0)),0,VLOOKUP(F135,#REF!,4,0))</f>
        <v>0</v>
      </c>
      <c r="S135" s="8">
        <f>IF(ISERROR(VLOOKUP(F135,#REF!,4,0)),0,VLOOKUP(F135,#REF!,10,0)/60*K135)</f>
        <v>0</v>
      </c>
      <c r="T135" s="3"/>
      <c r="U135" s="3"/>
      <c r="V135" s="4"/>
    </row>
    <row r="136" spans="1:22" x14ac:dyDescent="0.3">
      <c r="A136" s="5">
        <f t="shared" si="7"/>
        <v>2019</v>
      </c>
      <c r="B136" s="6" t="str">
        <f t="shared" si="8"/>
        <v>SETEMBRO</v>
      </c>
      <c r="C136" s="13">
        <v>43721</v>
      </c>
      <c r="D136" s="26"/>
      <c r="E136" s="19">
        <v>2</v>
      </c>
      <c r="F136" s="15">
        <v>52</v>
      </c>
      <c r="G136" s="17">
        <v>1642</v>
      </c>
      <c r="I136" s="17">
        <v>446</v>
      </c>
      <c r="K136" s="18">
        <f t="shared" si="6"/>
        <v>2088</v>
      </c>
      <c r="L136" s="21">
        <f>IF(ISERROR(VLOOKUP($F136,#REF!,6,0)*G136/1000),0,VLOOKUP($F136,#REF!,6,0)*G136/1000)</f>
        <v>0</v>
      </c>
      <c r="M136" s="21">
        <f>IF(ISERROR(VLOOKUP($F136,#REF!,6,0)*H136/1000),0,VLOOKUP($F136,#REF!,6,0)*H136/1000)</f>
        <v>0</v>
      </c>
      <c r="N136" s="21">
        <f>IF(ISERROR(VLOOKUP($F136,#REF!,6,0)*I136/1000),0,VLOOKUP($F136,#REF!,6,0)*I136/1000)</f>
        <v>0</v>
      </c>
      <c r="O136" s="21">
        <f>IF(ISERROR(VLOOKUP($F136,#REF!,6,0)*J136/1000),0,VLOOKUP($F136,#REF!,6,0)*J136/1000)</f>
        <v>0</v>
      </c>
      <c r="P136" s="21">
        <f>IF(ISERROR(VLOOKUP(F136,#REF!,6,0)*K136/1000),0,VLOOKUP(F136,#REF!,6,0)*K136/1000)</f>
        <v>0</v>
      </c>
      <c r="Q136" s="6">
        <f>IF(ISERROR(VLOOKUP(F136,#REF!,3,0)),0,VLOOKUP(F136,#REF!,3,0))</f>
        <v>0</v>
      </c>
      <c r="R136" s="6">
        <f>IF(ISERROR(VLOOKUP(F136,#REF!,4,0)),0,VLOOKUP(F136,#REF!,4,0))</f>
        <v>0</v>
      </c>
      <c r="S136" s="8">
        <f>IF(ISERROR(VLOOKUP(F136,#REF!,4,0)),0,VLOOKUP(F136,#REF!,10,0)/60*K136)</f>
        <v>0</v>
      </c>
      <c r="T136" s="3"/>
      <c r="U136" s="3"/>
      <c r="V136" s="4"/>
    </row>
    <row r="137" spans="1:22" x14ac:dyDescent="0.3">
      <c r="A137" s="5">
        <f t="shared" si="7"/>
        <v>2019</v>
      </c>
      <c r="B137" s="6" t="str">
        <f t="shared" si="8"/>
        <v>SETEMBRO</v>
      </c>
      <c r="C137" s="13">
        <v>43721</v>
      </c>
      <c r="D137" s="26"/>
      <c r="E137" s="19">
        <v>2</v>
      </c>
      <c r="F137" s="15">
        <v>50</v>
      </c>
      <c r="G137" s="17">
        <v>337</v>
      </c>
      <c r="I137" s="17">
        <v>240</v>
      </c>
      <c r="K137" s="18">
        <f t="shared" si="6"/>
        <v>577</v>
      </c>
      <c r="L137" s="21">
        <f>IF(ISERROR(VLOOKUP($F137,#REF!,6,0)*G137/1000),0,VLOOKUP($F137,#REF!,6,0)*G137/1000)</f>
        <v>0</v>
      </c>
      <c r="M137" s="21">
        <f>IF(ISERROR(VLOOKUP($F137,#REF!,6,0)*H137/1000),0,VLOOKUP($F137,#REF!,6,0)*H137/1000)</f>
        <v>0</v>
      </c>
      <c r="N137" s="21">
        <f>IF(ISERROR(VLOOKUP($F137,#REF!,6,0)*I137/1000),0,VLOOKUP($F137,#REF!,6,0)*I137/1000)</f>
        <v>0</v>
      </c>
      <c r="O137" s="21">
        <f>IF(ISERROR(VLOOKUP($F137,#REF!,6,0)*J137/1000),0,VLOOKUP($F137,#REF!,6,0)*J137/1000)</f>
        <v>0</v>
      </c>
      <c r="P137" s="21">
        <f>IF(ISERROR(VLOOKUP(F137,#REF!,6,0)*K137/1000),0,VLOOKUP(F137,#REF!,6,0)*K137/1000)</f>
        <v>0</v>
      </c>
      <c r="Q137" s="6">
        <f>IF(ISERROR(VLOOKUP(F137,#REF!,3,0)),0,VLOOKUP(F137,#REF!,3,0))</f>
        <v>0</v>
      </c>
      <c r="R137" s="6">
        <f>IF(ISERROR(VLOOKUP(F137,#REF!,4,0)),0,VLOOKUP(F137,#REF!,4,0))</f>
        <v>0</v>
      </c>
      <c r="S137" s="8">
        <f>IF(ISERROR(VLOOKUP(F137,#REF!,4,0)),0,VLOOKUP(F137,#REF!,10,0)/60*K137)</f>
        <v>0</v>
      </c>
      <c r="T137" s="3"/>
      <c r="U137" s="3"/>
      <c r="V137" s="4"/>
    </row>
    <row r="138" spans="1:22" x14ac:dyDescent="0.3">
      <c r="A138" s="5">
        <f t="shared" si="7"/>
        <v>2019</v>
      </c>
      <c r="B138" s="6" t="str">
        <f t="shared" si="8"/>
        <v>SETEMBRO</v>
      </c>
      <c r="C138" s="13">
        <v>43721</v>
      </c>
      <c r="D138" s="26"/>
      <c r="E138" s="19">
        <v>3</v>
      </c>
      <c r="F138" s="15">
        <v>31</v>
      </c>
      <c r="G138" s="17">
        <v>700</v>
      </c>
      <c r="I138" s="17">
        <v>8</v>
      </c>
      <c r="K138" s="18">
        <f t="shared" si="6"/>
        <v>708</v>
      </c>
      <c r="L138" s="21">
        <f>IF(ISERROR(VLOOKUP($F138,#REF!,6,0)*G138/1000),0,VLOOKUP($F138,#REF!,6,0)*G138/1000)</f>
        <v>0</v>
      </c>
      <c r="M138" s="21">
        <f>IF(ISERROR(VLOOKUP($F138,#REF!,6,0)*H138/1000),0,VLOOKUP($F138,#REF!,6,0)*H138/1000)</f>
        <v>0</v>
      </c>
      <c r="N138" s="21">
        <f>IF(ISERROR(VLOOKUP($F138,#REF!,6,0)*I138/1000),0,VLOOKUP($F138,#REF!,6,0)*I138/1000)</f>
        <v>0</v>
      </c>
      <c r="O138" s="21">
        <f>IF(ISERROR(VLOOKUP($F138,#REF!,6,0)*J138/1000),0,VLOOKUP($F138,#REF!,6,0)*J138/1000)</f>
        <v>0</v>
      </c>
      <c r="P138" s="21">
        <f>IF(ISERROR(VLOOKUP(F138,#REF!,6,0)*K138/1000),0,VLOOKUP(F138,#REF!,6,0)*K138/1000)</f>
        <v>0</v>
      </c>
      <c r="Q138" s="6">
        <f>IF(ISERROR(VLOOKUP(F138,#REF!,3,0)),0,VLOOKUP(F138,#REF!,3,0))</f>
        <v>0</v>
      </c>
      <c r="R138" s="6">
        <f>IF(ISERROR(VLOOKUP(F138,#REF!,4,0)),0,VLOOKUP(F138,#REF!,4,0))</f>
        <v>0</v>
      </c>
      <c r="S138" s="8">
        <f>IF(ISERROR(VLOOKUP(F138,#REF!,4,0)),0,VLOOKUP(F138,#REF!,10,0)/60*K138)</f>
        <v>0</v>
      </c>
      <c r="T138" s="3"/>
      <c r="U138" s="3"/>
      <c r="V138" s="4"/>
    </row>
    <row r="139" spans="1:22" x14ac:dyDescent="0.3">
      <c r="A139" s="5">
        <f t="shared" si="7"/>
        <v>2019</v>
      </c>
      <c r="B139" s="6" t="str">
        <f t="shared" si="8"/>
        <v>SETEMBRO</v>
      </c>
      <c r="C139" s="13">
        <v>43721</v>
      </c>
      <c r="D139" s="26"/>
      <c r="E139" s="19">
        <v>3</v>
      </c>
      <c r="F139" s="15">
        <v>32</v>
      </c>
      <c r="G139" s="17">
        <v>390</v>
      </c>
      <c r="I139" s="17">
        <v>3</v>
      </c>
      <c r="K139" s="18">
        <f t="shared" si="6"/>
        <v>393</v>
      </c>
      <c r="L139" s="21">
        <f>IF(ISERROR(VLOOKUP($F139,#REF!,6,0)*G139/1000),0,VLOOKUP($F139,#REF!,6,0)*G139/1000)</f>
        <v>0</v>
      </c>
      <c r="M139" s="21">
        <f>IF(ISERROR(VLOOKUP($F139,#REF!,6,0)*H139/1000),0,VLOOKUP($F139,#REF!,6,0)*H139/1000)</f>
        <v>0</v>
      </c>
      <c r="N139" s="21">
        <f>IF(ISERROR(VLOOKUP($F139,#REF!,6,0)*I139/1000),0,VLOOKUP($F139,#REF!,6,0)*I139/1000)</f>
        <v>0</v>
      </c>
      <c r="O139" s="21">
        <f>IF(ISERROR(VLOOKUP($F139,#REF!,6,0)*J139/1000),0,VLOOKUP($F139,#REF!,6,0)*J139/1000)</f>
        <v>0</v>
      </c>
      <c r="P139" s="21">
        <f>IF(ISERROR(VLOOKUP(F139,#REF!,6,0)*K139/1000),0,VLOOKUP(F139,#REF!,6,0)*K139/1000)</f>
        <v>0</v>
      </c>
      <c r="Q139" s="6">
        <f>IF(ISERROR(VLOOKUP(F139,#REF!,3,0)),0,VLOOKUP(F139,#REF!,3,0))</f>
        <v>0</v>
      </c>
      <c r="R139" s="6">
        <f>IF(ISERROR(VLOOKUP(F139,#REF!,4,0)),0,VLOOKUP(F139,#REF!,4,0))</f>
        <v>0</v>
      </c>
      <c r="S139" s="8">
        <f>IF(ISERROR(VLOOKUP(F139,#REF!,4,0)),0,VLOOKUP(F139,#REF!,10,0)/60*K139)</f>
        <v>0</v>
      </c>
      <c r="T139" s="3"/>
      <c r="U139" s="3"/>
      <c r="V139" s="4"/>
    </row>
    <row r="140" spans="1:22" x14ac:dyDescent="0.3">
      <c r="A140" s="5">
        <f t="shared" si="7"/>
        <v>2019</v>
      </c>
      <c r="B140" s="6" t="str">
        <f t="shared" si="8"/>
        <v>SETEMBRO</v>
      </c>
      <c r="C140" s="13">
        <v>43721</v>
      </c>
      <c r="D140" s="26"/>
      <c r="E140" s="19">
        <v>3</v>
      </c>
      <c r="F140" s="15">
        <v>23</v>
      </c>
      <c r="G140" s="17">
        <v>77</v>
      </c>
      <c r="I140" s="17">
        <v>4</v>
      </c>
      <c r="K140" s="18">
        <f t="shared" si="6"/>
        <v>81</v>
      </c>
      <c r="L140" s="21">
        <f>IF(ISERROR(VLOOKUP($F140,#REF!,6,0)*G140/1000),0,VLOOKUP($F140,#REF!,6,0)*G140/1000)</f>
        <v>0</v>
      </c>
      <c r="M140" s="21">
        <f>IF(ISERROR(VLOOKUP($F140,#REF!,6,0)*H140/1000),0,VLOOKUP($F140,#REF!,6,0)*H140/1000)</f>
        <v>0</v>
      </c>
      <c r="N140" s="21">
        <f>IF(ISERROR(VLOOKUP($F140,#REF!,6,0)*I140/1000),0,VLOOKUP($F140,#REF!,6,0)*I140/1000)</f>
        <v>0</v>
      </c>
      <c r="O140" s="21">
        <f>IF(ISERROR(VLOOKUP($F140,#REF!,6,0)*J140/1000),0,VLOOKUP($F140,#REF!,6,0)*J140/1000)</f>
        <v>0</v>
      </c>
      <c r="P140" s="21">
        <f>IF(ISERROR(VLOOKUP(F140,#REF!,6,0)*K140/1000),0,VLOOKUP(F140,#REF!,6,0)*K140/1000)</f>
        <v>0</v>
      </c>
      <c r="Q140" s="6">
        <f>IF(ISERROR(VLOOKUP(F140,#REF!,3,0)),0,VLOOKUP(F140,#REF!,3,0))</f>
        <v>0</v>
      </c>
      <c r="R140" s="6">
        <f>IF(ISERROR(VLOOKUP(F140,#REF!,4,0)),0,VLOOKUP(F140,#REF!,4,0))</f>
        <v>0</v>
      </c>
      <c r="S140" s="8">
        <f>IF(ISERROR(VLOOKUP(F140,#REF!,4,0)),0,VLOOKUP(F140,#REF!,10,0)/60*K140)</f>
        <v>0</v>
      </c>
      <c r="T140" s="3"/>
      <c r="U140" s="3"/>
      <c r="V140" s="4"/>
    </row>
    <row r="141" spans="1:22" x14ac:dyDescent="0.3">
      <c r="A141" s="5">
        <f t="shared" si="7"/>
        <v>2019</v>
      </c>
      <c r="B141" s="6" t="str">
        <f t="shared" si="8"/>
        <v>SETEMBRO</v>
      </c>
      <c r="C141" s="13">
        <v>43721</v>
      </c>
      <c r="D141" s="26"/>
      <c r="E141" s="19">
        <v>3</v>
      </c>
      <c r="F141" s="15">
        <v>22</v>
      </c>
      <c r="G141" s="17">
        <v>77</v>
      </c>
      <c r="K141" s="18">
        <f t="shared" si="6"/>
        <v>77</v>
      </c>
      <c r="L141" s="21">
        <f>IF(ISERROR(VLOOKUP($F141,#REF!,6,0)*G141/1000),0,VLOOKUP($F141,#REF!,6,0)*G141/1000)</f>
        <v>0</v>
      </c>
      <c r="M141" s="21">
        <f>IF(ISERROR(VLOOKUP($F141,#REF!,6,0)*H141/1000),0,VLOOKUP($F141,#REF!,6,0)*H141/1000)</f>
        <v>0</v>
      </c>
      <c r="N141" s="21">
        <f>IF(ISERROR(VLOOKUP($F141,#REF!,6,0)*I141/1000),0,VLOOKUP($F141,#REF!,6,0)*I141/1000)</f>
        <v>0</v>
      </c>
      <c r="O141" s="21">
        <f>IF(ISERROR(VLOOKUP($F141,#REF!,6,0)*J141/1000),0,VLOOKUP($F141,#REF!,6,0)*J141/1000)</f>
        <v>0</v>
      </c>
      <c r="P141" s="21">
        <f>IF(ISERROR(VLOOKUP(F141,#REF!,6,0)*K141/1000),0,VLOOKUP(F141,#REF!,6,0)*K141/1000)</f>
        <v>0</v>
      </c>
      <c r="Q141" s="6">
        <f>IF(ISERROR(VLOOKUP(F141,#REF!,3,0)),0,VLOOKUP(F141,#REF!,3,0))</f>
        <v>0</v>
      </c>
      <c r="R141" s="6">
        <f>IF(ISERROR(VLOOKUP(F141,#REF!,4,0)),0,VLOOKUP(F141,#REF!,4,0))</f>
        <v>0</v>
      </c>
      <c r="S141" s="8">
        <f>IF(ISERROR(VLOOKUP(F141,#REF!,4,0)),0,VLOOKUP(F141,#REF!,10,0)/60*K141)</f>
        <v>0</v>
      </c>
      <c r="T141" s="3"/>
      <c r="U141" s="3"/>
      <c r="V141" s="4"/>
    </row>
    <row r="142" spans="1:22" x14ac:dyDescent="0.3">
      <c r="A142" s="5">
        <f t="shared" si="7"/>
        <v>2019</v>
      </c>
      <c r="B142" s="6" t="str">
        <f t="shared" si="8"/>
        <v>SETEMBRO</v>
      </c>
      <c r="C142" s="13">
        <v>43721</v>
      </c>
      <c r="D142" s="26"/>
      <c r="E142" s="19">
        <v>3</v>
      </c>
      <c r="F142" s="15">
        <v>56</v>
      </c>
      <c r="G142" s="17">
        <v>640</v>
      </c>
      <c r="H142" s="17">
        <v>400</v>
      </c>
      <c r="I142" s="17">
        <v>45</v>
      </c>
      <c r="J142" s="17">
        <v>400</v>
      </c>
      <c r="K142" s="18">
        <f t="shared" si="6"/>
        <v>1485</v>
      </c>
      <c r="L142" s="21">
        <f>IF(ISERROR(VLOOKUP($F142,#REF!,6,0)*G142/1000),0,VLOOKUP($F142,#REF!,6,0)*G142/1000)</f>
        <v>0</v>
      </c>
      <c r="M142" s="21">
        <f>IF(ISERROR(VLOOKUP($F142,#REF!,6,0)*H142/1000),0,VLOOKUP($F142,#REF!,6,0)*H142/1000)</f>
        <v>0</v>
      </c>
      <c r="N142" s="21">
        <f>IF(ISERROR(VLOOKUP($F142,#REF!,6,0)*I142/1000),0,VLOOKUP($F142,#REF!,6,0)*I142/1000)</f>
        <v>0</v>
      </c>
      <c r="O142" s="21">
        <f>IF(ISERROR(VLOOKUP($F142,#REF!,6,0)*J142/1000),0,VLOOKUP($F142,#REF!,6,0)*J142/1000)</f>
        <v>0</v>
      </c>
      <c r="P142" s="21">
        <f>IF(ISERROR(VLOOKUP(F142,#REF!,6,0)*K142/1000),0,VLOOKUP(F142,#REF!,6,0)*K142/1000)</f>
        <v>0</v>
      </c>
      <c r="Q142" s="6">
        <f>IF(ISERROR(VLOOKUP(F142,#REF!,3,0)),0,VLOOKUP(F142,#REF!,3,0))</f>
        <v>0</v>
      </c>
      <c r="R142" s="6">
        <f>IF(ISERROR(VLOOKUP(F142,#REF!,4,0)),0,VLOOKUP(F142,#REF!,4,0))</f>
        <v>0</v>
      </c>
      <c r="S142" s="8">
        <f>IF(ISERROR(VLOOKUP(F142,#REF!,4,0)),0,VLOOKUP(F142,#REF!,10,0)/60*K142)</f>
        <v>0</v>
      </c>
      <c r="T142" s="3"/>
      <c r="U142" s="3"/>
      <c r="V142" s="4"/>
    </row>
    <row r="143" spans="1:22" x14ac:dyDescent="0.3">
      <c r="A143" s="5">
        <f t="shared" si="7"/>
        <v>2019</v>
      </c>
      <c r="B143" s="6" t="str">
        <f t="shared" si="8"/>
        <v>SETEMBRO</v>
      </c>
      <c r="C143" s="13">
        <v>43721</v>
      </c>
      <c r="D143" s="26"/>
      <c r="E143" s="19">
        <v>3</v>
      </c>
      <c r="F143" s="15">
        <v>3</v>
      </c>
      <c r="G143" s="17">
        <v>432</v>
      </c>
      <c r="K143" s="18">
        <f t="shared" si="6"/>
        <v>432</v>
      </c>
      <c r="L143" s="21">
        <f>IF(ISERROR(VLOOKUP($F143,#REF!,6,0)*G143/1000),0,VLOOKUP($F143,#REF!,6,0)*G143/1000)</f>
        <v>0</v>
      </c>
      <c r="M143" s="21">
        <f>IF(ISERROR(VLOOKUP($F143,#REF!,6,0)*H143/1000),0,VLOOKUP($F143,#REF!,6,0)*H143/1000)</f>
        <v>0</v>
      </c>
      <c r="N143" s="21">
        <f>IF(ISERROR(VLOOKUP($F143,#REF!,6,0)*I143/1000),0,VLOOKUP($F143,#REF!,6,0)*I143/1000)</f>
        <v>0</v>
      </c>
      <c r="O143" s="21">
        <f>IF(ISERROR(VLOOKUP($F143,#REF!,6,0)*J143/1000),0,VLOOKUP($F143,#REF!,6,0)*J143/1000)</f>
        <v>0</v>
      </c>
      <c r="P143" s="21">
        <f>IF(ISERROR(VLOOKUP(F143,#REF!,6,0)*K143/1000),0,VLOOKUP(F143,#REF!,6,0)*K143/1000)</f>
        <v>0</v>
      </c>
      <c r="Q143" s="6">
        <f>IF(ISERROR(VLOOKUP(F143,#REF!,3,0)),0,VLOOKUP(F143,#REF!,3,0))</f>
        <v>0</v>
      </c>
      <c r="R143" s="6">
        <f>IF(ISERROR(VLOOKUP(F143,#REF!,4,0)),0,VLOOKUP(F143,#REF!,4,0))</f>
        <v>0</v>
      </c>
      <c r="S143" s="8">
        <f>IF(ISERROR(VLOOKUP(F143,#REF!,4,0)),0,VLOOKUP(F143,#REF!,10,0)/60*K143)</f>
        <v>0</v>
      </c>
      <c r="T143" s="3"/>
      <c r="U143" s="3"/>
      <c r="V143" s="4"/>
    </row>
    <row r="144" spans="1:22" x14ac:dyDescent="0.3">
      <c r="A144" s="5">
        <f t="shared" si="7"/>
        <v>2019</v>
      </c>
      <c r="B144" s="6" t="str">
        <f t="shared" si="8"/>
        <v>SETEMBRO</v>
      </c>
      <c r="C144" s="13">
        <v>43722</v>
      </c>
      <c r="D144" s="26"/>
      <c r="E144" s="19">
        <v>2</v>
      </c>
      <c r="F144" s="15">
        <v>3</v>
      </c>
      <c r="G144" s="17">
        <v>432</v>
      </c>
      <c r="I144" s="17">
        <v>8</v>
      </c>
      <c r="J144" s="17">
        <v>65</v>
      </c>
      <c r="K144" s="18">
        <f t="shared" si="6"/>
        <v>505</v>
      </c>
      <c r="L144" s="21">
        <f>IF(ISERROR(VLOOKUP($F144,#REF!,6,0)*G144/1000),0,VLOOKUP($F144,#REF!,6,0)*G144/1000)</f>
        <v>0</v>
      </c>
      <c r="M144" s="21">
        <f>IF(ISERROR(VLOOKUP($F144,#REF!,6,0)*H144/1000),0,VLOOKUP($F144,#REF!,6,0)*H144/1000)</f>
        <v>0</v>
      </c>
      <c r="N144" s="21">
        <f>IF(ISERROR(VLOOKUP($F144,#REF!,6,0)*I144/1000),0,VLOOKUP($F144,#REF!,6,0)*I144/1000)</f>
        <v>0</v>
      </c>
      <c r="O144" s="21">
        <f>IF(ISERROR(VLOOKUP($F144,#REF!,6,0)*J144/1000),0,VLOOKUP($F144,#REF!,6,0)*J144/1000)</f>
        <v>0</v>
      </c>
      <c r="P144" s="21">
        <f>IF(ISERROR(VLOOKUP(F144,#REF!,6,0)*K144/1000),0,VLOOKUP(F144,#REF!,6,0)*K144/1000)</f>
        <v>0</v>
      </c>
      <c r="Q144" s="6">
        <f>IF(ISERROR(VLOOKUP(F144,#REF!,3,0)),0,VLOOKUP(F144,#REF!,3,0))</f>
        <v>0</v>
      </c>
      <c r="R144" s="6">
        <f>IF(ISERROR(VLOOKUP(F144,#REF!,4,0)),0,VLOOKUP(F144,#REF!,4,0))</f>
        <v>0</v>
      </c>
      <c r="S144" s="8">
        <f>IF(ISERROR(VLOOKUP(F144,#REF!,4,0)),0,VLOOKUP(F144,#REF!,10,0)/60*K144)</f>
        <v>0</v>
      </c>
      <c r="T144" s="3"/>
      <c r="U144" s="3"/>
      <c r="V144" s="4"/>
    </row>
    <row r="145" spans="1:22" x14ac:dyDescent="0.3">
      <c r="A145" s="5">
        <f t="shared" si="7"/>
        <v>2019</v>
      </c>
      <c r="B145" s="6" t="str">
        <f t="shared" si="8"/>
        <v>SETEMBRO</v>
      </c>
      <c r="C145" s="13">
        <v>43722</v>
      </c>
      <c r="D145" s="26"/>
      <c r="E145" s="19">
        <v>2</v>
      </c>
      <c r="F145" s="15">
        <v>56</v>
      </c>
      <c r="G145" s="17">
        <v>128</v>
      </c>
      <c r="I145" s="17">
        <v>10</v>
      </c>
      <c r="J145" s="17">
        <v>70</v>
      </c>
      <c r="K145" s="18">
        <f t="shared" si="6"/>
        <v>208</v>
      </c>
      <c r="L145" s="21">
        <f>IF(ISERROR(VLOOKUP($F145,#REF!,6,0)*G145/1000),0,VLOOKUP($F145,#REF!,6,0)*G145/1000)</f>
        <v>0</v>
      </c>
      <c r="M145" s="21">
        <f>IF(ISERROR(VLOOKUP($F145,#REF!,6,0)*H145/1000),0,VLOOKUP($F145,#REF!,6,0)*H145/1000)</f>
        <v>0</v>
      </c>
      <c r="N145" s="21">
        <f>IF(ISERROR(VLOOKUP($F145,#REF!,6,0)*I145/1000),0,VLOOKUP($F145,#REF!,6,0)*I145/1000)</f>
        <v>0</v>
      </c>
      <c r="O145" s="21">
        <f>IF(ISERROR(VLOOKUP($F145,#REF!,6,0)*J145/1000),0,VLOOKUP($F145,#REF!,6,0)*J145/1000)</f>
        <v>0</v>
      </c>
      <c r="P145" s="21">
        <f>IF(ISERROR(VLOOKUP(F145,#REF!,6,0)*K145/1000),0,VLOOKUP(F145,#REF!,6,0)*K145/1000)</f>
        <v>0</v>
      </c>
      <c r="Q145" s="6">
        <f>IF(ISERROR(VLOOKUP(F145,#REF!,3,0)),0,VLOOKUP(F145,#REF!,3,0))</f>
        <v>0</v>
      </c>
      <c r="R145" s="6">
        <f>IF(ISERROR(VLOOKUP(F145,#REF!,4,0)),0,VLOOKUP(F145,#REF!,4,0))</f>
        <v>0</v>
      </c>
      <c r="S145" s="8">
        <f>IF(ISERROR(VLOOKUP(F145,#REF!,4,0)),0,VLOOKUP(F145,#REF!,10,0)/60*K145)</f>
        <v>0</v>
      </c>
      <c r="T145" s="3"/>
      <c r="U145" s="3"/>
      <c r="V145" s="4"/>
    </row>
    <row r="146" spans="1:22" x14ac:dyDescent="0.3">
      <c r="A146" s="5">
        <f t="shared" si="7"/>
        <v>2019</v>
      </c>
      <c r="B146" s="6" t="str">
        <f t="shared" si="8"/>
        <v>SETEMBRO</v>
      </c>
      <c r="C146" s="13">
        <v>43722</v>
      </c>
      <c r="D146" s="26"/>
      <c r="E146" s="19">
        <v>2</v>
      </c>
      <c r="F146" s="15">
        <v>13</v>
      </c>
      <c r="G146" s="17">
        <v>1920</v>
      </c>
      <c r="H146" s="17">
        <v>160</v>
      </c>
      <c r="I146" s="17">
        <v>320</v>
      </c>
      <c r="J146" s="17">
        <v>120</v>
      </c>
      <c r="K146" s="18">
        <f t="shared" si="6"/>
        <v>2520</v>
      </c>
      <c r="L146" s="21">
        <f>IF(ISERROR(VLOOKUP($F146,#REF!,6,0)*G146/1000),0,VLOOKUP($F146,#REF!,6,0)*G146/1000)</f>
        <v>0</v>
      </c>
      <c r="M146" s="21">
        <f>IF(ISERROR(VLOOKUP($F146,#REF!,6,0)*H146/1000),0,VLOOKUP($F146,#REF!,6,0)*H146/1000)</f>
        <v>0</v>
      </c>
      <c r="N146" s="21">
        <f>IF(ISERROR(VLOOKUP($F146,#REF!,6,0)*I146/1000),0,VLOOKUP($F146,#REF!,6,0)*I146/1000)</f>
        <v>0</v>
      </c>
      <c r="O146" s="21">
        <f>IF(ISERROR(VLOOKUP($F146,#REF!,6,0)*J146/1000),0,VLOOKUP($F146,#REF!,6,0)*J146/1000)</f>
        <v>0</v>
      </c>
      <c r="P146" s="21">
        <f>IF(ISERROR(VLOOKUP(F146,#REF!,6,0)*K146/1000),0,VLOOKUP(F146,#REF!,6,0)*K146/1000)</f>
        <v>0</v>
      </c>
      <c r="Q146" s="6">
        <f>IF(ISERROR(VLOOKUP(F146,#REF!,3,0)),0,VLOOKUP(F146,#REF!,3,0))</f>
        <v>0</v>
      </c>
      <c r="R146" s="6">
        <f>IF(ISERROR(VLOOKUP(F146,#REF!,4,0)),0,VLOOKUP(F146,#REF!,4,0))</f>
        <v>0</v>
      </c>
      <c r="S146" s="8">
        <f>IF(ISERROR(VLOOKUP(F146,#REF!,4,0)),0,VLOOKUP(F146,#REF!,10,0)/60*K146)</f>
        <v>0</v>
      </c>
      <c r="T146" s="3"/>
      <c r="U146" s="3"/>
      <c r="V146" s="4"/>
    </row>
    <row r="147" spans="1:22" x14ac:dyDescent="0.3">
      <c r="A147" s="5">
        <f t="shared" si="7"/>
        <v>2019</v>
      </c>
      <c r="B147" s="6" t="str">
        <f t="shared" si="8"/>
        <v>SETEMBRO</v>
      </c>
      <c r="C147" s="13">
        <v>43722</v>
      </c>
      <c r="D147" s="26"/>
      <c r="E147" s="19">
        <v>2</v>
      </c>
      <c r="F147" s="15">
        <v>52</v>
      </c>
      <c r="G147" s="17">
        <v>2364</v>
      </c>
      <c r="H147" s="17">
        <v>620</v>
      </c>
      <c r="I147" s="17">
        <v>952</v>
      </c>
      <c r="K147" s="18">
        <f t="shared" si="6"/>
        <v>3936</v>
      </c>
      <c r="L147" s="21">
        <f>IF(ISERROR(VLOOKUP($F147,#REF!,6,0)*G147/1000),0,VLOOKUP($F147,#REF!,6,0)*G147/1000)</f>
        <v>0</v>
      </c>
      <c r="M147" s="21">
        <f>IF(ISERROR(VLOOKUP($F147,#REF!,6,0)*H147/1000),0,VLOOKUP($F147,#REF!,6,0)*H147/1000)</f>
        <v>0</v>
      </c>
      <c r="N147" s="21">
        <f>IF(ISERROR(VLOOKUP($F147,#REF!,6,0)*I147/1000),0,VLOOKUP($F147,#REF!,6,0)*I147/1000)</f>
        <v>0</v>
      </c>
      <c r="O147" s="21">
        <f>IF(ISERROR(VLOOKUP($F147,#REF!,6,0)*J147/1000),0,VLOOKUP($F147,#REF!,6,0)*J147/1000)</f>
        <v>0</v>
      </c>
      <c r="P147" s="21">
        <f>IF(ISERROR(VLOOKUP(F147,#REF!,6,0)*K147/1000),0,VLOOKUP(F147,#REF!,6,0)*K147/1000)</f>
        <v>0</v>
      </c>
      <c r="Q147" s="6">
        <f>IF(ISERROR(VLOOKUP(F147,#REF!,3,0)),0,VLOOKUP(F147,#REF!,3,0))</f>
        <v>0</v>
      </c>
      <c r="R147" s="6">
        <f>IF(ISERROR(VLOOKUP(F147,#REF!,4,0)),0,VLOOKUP(F147,#REF!,4,0))</f>
        <v>0</v>
      </c>
      <c r="S147" s="8">
        <f>IF(ISERROR(VLOOKUP(F147,#REF!,4,0)),0,VLOOKUP(F147,#REF!,10,0)/60*K147)</f>
        <v>0</v>
      </c>
      <c r="T147" s="3"/>
      <c r="U147" s="3"/>
      <c r="V147" s="4"/>
    </row>
    <row r="148" spans="1:22" x14ac:dyDescent="0.3">
      <c r="A148" s="5">
        <f t="shared" si="7"/>
        <v>2019</v>
      </c>
      <c r="B148" s="6" t="str">
        <f t="shared" si="8"/>
        <v>SETEMBRO</v>
      </c>
      <c r="C148" s="13">
        <v>43724</v>
      </c>
      <c r="D148" s="26"/>
      <c r="E148" s="19">
        <v>1</v>
      </c>
      <c r="F148" s="15">
        <v>13</v>
      </c>
      <c r="G148" s="17">
        <v>1600</v>
      </c>
      <c r="H148" s="17">
        <v>480</v>
      </c>
      <c r="I148" s="17">
        <v>40</v>
      </c>
      <c r="J148" s="17">
        <v>180</v>
      </c>
      <c r="K148" s="18">
        <f t="shared" si="6"/>
        <v>2300</v>
      </c>
      <c r="L148" s="21">
        <f>IF(ISERROR(VLOOKUP($F148,#REF!,6,0)*G148/1000),0,VLOOKUP($F148,#REF!,6,0)*G148/1000)</f>
        <v>0</v>
      </c>
      <c r="M148" s="21">
        <f>IF(ISERROR(VLOOKUP($F148,#REF!,6,0)*H148/1000),0,VLOOKUP($F148,#REF!,6,0)*H148/1000)</f>
        <v>0</v>
      </c>
      <c r="N148" s="21">
        <f>IF(ISERROR(VLOOKUP($F148,#REF!,6,0)*I148/1000),0,VLOOKUP($F148,#REF!,6,0)*I148/1000)</f>
        <v>0</v>
      </c>
      <c r="O148" s="21">
        <f>IF(ISERROR(VLOOKUP($F148,#REF!,6,0)*J148/1000),0,VLOOKUP($F148,#REF!,6,0)*J148/1000)</f>
        <v>0</v>
      </c>
      <c r="P148" s="21">
        <f>IF(ISERROR(VLOOKUP(F148,#REF!,6,0)*K148/1000),0,VLOOKUP(F148,#REF!,6,0)*K148/1000)</f>
        <v>0</v>
      </c>
      <c r="Q148" s="6">
        <f>IF(ISERROR(VLOOKUP(F148,#REF!,3,0)),0,VLOOKUP(F148,#REF!,3,0))</f>
        <v>0</v>
      </c>
      <c r="R148" s="6">
        <f>IF(ISERROR(VLOOKUP(F148,#REF!,4,0)),0,VLOOKUP(F148,#REF!,4,0))</f>
        <v>0</v>
      </c>
      <c r="S148" s="8">
        <f>IF(ISERROR(VLOOKUP(F148,#REF!,4,0)),0,VLOOKUP(F148,#REF!,10,0)/60*K148)</f>
        <v>0</v>
      </c>
      <c r="T148" s="3"/>
      <c r="U148" s="3"/>
      <c r="V148" s="4"/>
    </row>
    <row r="149" spans="1:22" x14ac:dyDescent="0.3">
      <c r="A149" s="5">
        <f t="shared" si="7"/>
        <v>2019</v>
      </c>
      <c r="B149" s="6" t="str">
        <f t="shared" si="8"/>
        <v>SETEMBRO</v>
      </c>
      <c r="C149" s="13">
        <v>43724</v>
      </c>
      <c r="D149" s="26"/>
      <c r="E149" s="19">
        <v>1</v>
      </c>
      <c r="F149" s="15">
        <v>3</v>
      </c>
      <c r="G149" s="17">
        <v>432</v>
      </c>
      <c r="I149" s="17">
        <v>2</v>
      </c>
      <c r="J149" s="17">
        <v>25</v>
      </c>
      <c r="K149" s="18">
        <f t="shared" si="6"/>
        <v>459</v>
      </c>
      <c r="L149" s="21">
        <f>IF(ISERROR(VLOOKUP($F149,#REF!,6,0)*G149/1000),0,VLOOKUP($F149,#REF!,6,0)*G149/1000)</f>
        <v>0</v>
      </c>
      <c r="M149" s="21">
        <f>IF(ISERROR(VLOOKUP($F149,#REF!,6,0)*H149/1000),0,VLOOKUP($F149,#REF!,6,0)*H149/1000)</f>
        <v>0</v>
      </c>
      <c r="N149" s="21">
        <f>IF(ISERROR(VLOOKUP($F149,#REF!,6,0)*I149/1000),0,VLOOKUP($F149,#REF!,6,0)*I149/1000)</f>
        <v>0</v>
      </c>
      <c r="O149" s="21">
        <f>IF(ISERROR(VLOOKUP($F149,#REF!,6,0)*J149/1000),0,VLOOKUP($F149,#REF!,6,0)*J149/1000)</f>
        <v>0</v>
      </c>
      <c r="P149" s="21">
        <f>IF(ISERROR(VLOOKUP(F149,#REF!,6,0)*K149/1000),0,VLOOKUP(F149,#REF!,6,0)*K149/1000)</f>
        <v>0</v>
      </c>
      <c r="Q149" s="6">
        <f>IF(ISERROR(VLOOKUP(F149,#REF!,3,0)),0,VLOOKUP(F149,#REF!,3,0))</f>
        <v>0</v>
      </c>
      <c r="R149" s="6">
        <f>IF(ISERROR(VLOOKUP(F149,#REF!,4,0)),0,VLOOKUP(F149,#REF!,4,0))</f>
        <v>0</v>
      </c>
      <c r="S149" s="8">
        <f>IF(ISERROR(VLOOKUP(F149,#REF!,4,0)),0,VLOOKUP(F149,#REF!,10,0)/60*K149)</f>
        <v>0</v>
      </c>
      <c r="T149" s="3"/>
      <c r="U149" s="3"/>
      <c r="V149" s="4"/>
    </row>
    <row r="150" spans="1:22" x14ac:dyDescent="0.3">
      <c r="A150" s="5">
        <f t="shared" si="7"/>
        <v>2019</v>
      </c>
      <c r="B150" s="6" t="str">
        <f t="shared" si="8"/>
        <v>SETEMBRO</v>
      </c>
      <c r="C150" s="13">
        <v>43724</v>
      </c>
      <c r="D150" s="26"/>
      <c r="E150" s="19">
        <v>1</v>
      </c>
      <c r="F150" s="15">
        <v>32</v>
      </c>
      <c r="G150" s="17">
        <v>2925</v>
      </c>
      <c r="H150" s="17">
        <v>2000</v>
      </c>
      <c r="I150" s="17">
        <v>60</v>
      </c>
      <c r="J150" s="17">
        <v>875</v>
      </c>
      <c r="K150" s="18">
        <f t="shared" si="6"/>
        <v>5860</v>
      </c>
      <c r="L150" s="21">
        <f>IF(ISERROR(VLOOKUP($F150,#REF!,6,0)*G150/1000),0,VLOOKUP($F150,#REF!,6,0)*G150/1000)</f>
        <v>0</v>
      </c>
      <c r="M150" s="21">
        <f>IF(ISERROR(VLOOKUP($F150,#REF!,6,0)*H150/1000),0,VLOOKUP($F150,#REF!,6,0)*H150/1000)</f>
        <v>0</v>
      </c>
      <c r="N150" s="21">
        <f>IF(ISERROR(VLOOKUP($F150,#REF!,6,0)*I150/1000),0,VLOOKUP($F150,#REF!,6,0)*I150/1000)</f>
        <v>0</v>
      </c>
      <c r="O150" s="21">
        <f>IF(ISERROR(VLOOKUP($F150,#REF!,6,0)*J150/1000),0,VLOOKUP($F150,#REF!,6,0)*J150/1000)</f>
        <v>0</v>
      </c>
      <c r="P150" s="21">
        <f>IF(ISERROR(VLOOKUP(F150,#REF!,6,0)*K150/1000),0,VLOOKUP(F150,#REF!,6,0)*K150/1000)</f>
        <v>0</v>
      </c>
      <c r="Q150" s="6">
        <f>IF(ISERROR(VLOOKUP(F150,#REF!,3,0)),0,VLOOKUP(F150,#REF!,3,0))</f>
        <v>0</v>
      </c>
      <c r="R150" s="6">
        <f>IF(ISERROR(VLOOKUP(F150,#REF!,4,0)),0,VLOOKUP(F150,#REF!,4,0))</f>
        <v>0</v>
      </c>
      <c r="S150" s="8">
        <f>IF(ISERROR(VLOOKUP(F150,#REF!,4,0)),0,VLOOKUP(F150,#REF!,10,0)/60*K150)</f>
        <v>0</v>
      </c>
      <c r="T150" s="3"/>
      <c r="U150" s="3"/>
      <c r="V150" s="4"/>
    </row>
    <row r="151" spans="1:22" x14ac:dyDescent="0.3">
      <c r="A151" s="5">
        <f t="shared" si="7"/>
        <v>2019</v>
      </c>
      <c r="B151" s="6" t="str">
        <f t="shared" si="8"/>
        <v>SETEMBRO</v>
      </c>
      <c r="C151" s="13">
        <v>43724</v>
      </c>
      <c r="D151" s="26"/>
      <c r="E151" s="19">
        <v>2</v>
      </c>
      <c r="F151" s="15">
        <v>3</v>
      </c>
      <c r="G151" s="17">
        <v>216</v>
      </c>
      <c r="I151" s="17">
        <v>3</v>
      </c>
      <c r="J151" s="17">
        <v>101</v>
      </c>
      <c r="K151" s="18">
        <f t="shared" si="6"/>
        <v>320</v>
      </c>
      <c r="L151" s="21">
        <f>IF(ISERROR(VLOOKUP($F151,#REF!,6,0)*G151/1000),0,VLOOKUP($F151,#REF!,6,0)*G151/1000)</f>
        <v>0</v>
      </c>
      <c r="M151" s="21">
        <f>IF(ISERROR(VLOOKUP($F151,#REF!,6,0)*H151/1000),0,VLOOKUP($F151,#REF!,6,0)*H151/1000)</f>
        <v>0</v>
      </c>
      <c r="N151" s="21">
        <f>IF(ISERROR(VLOOKUP($F151,#REF!,6,0)*I151/1000),0,VLOOKUP($F151,#REF!,6,0)*I151/1000)</f>
        <v>0</v>
      </c>
      <c r="O151" s="21">
        <f>IF(ISERROR(VLOOKUP($F151,#REF!,6,0)*J151/1000),0,VLOOKUP($F151,#REF!,6,0)*J151/1000)</f>
        <v>0</v>
      </c>
      <c r="P151" s="21">
        <f>IF(ISERROR(VLOOKUP(F151,#REF!,6,0)*K151/1000),0,VLOOKUP(F151,#REF!,6,0)*K151/1000)</f>
        <v>0</v>
      </c>
      <c r="Q151" s="6">
        <f>IF(ISERROR(VLOOKUP(F151,#REF!,3,0)),0,VLOOKUP(F151,#REF!,3,0))</f>
        <v>0</v>
      </c>
      <c r="R151" s="6">
        <f>IF(ISERROR(VLOOKUP(F151,#REF!,4,0)),0,VLOOKUP(F151,#REF!,4,0))</f>
        <v>0</v>
      </c>
      <c r="S151" s="8">
        <f>IF(ISERROR(VLOOKUP(F151,#REF!,4,0)),0,VLOOKUP(F151,#REF!,10,0)/60*K151)</f>
        <v>0</v>
      </c>
      <c r="T151" s="3"/>
      <c r="U151" s="3"/>
      <c r="V151" s="4"/>
    </row>
    <row r="152" spans="1:22" x14ac:dyDescent="0.3">
      <c r="A152" s="5">
        <f t="shared" si="7"/>
        <v>2019</v>
      </c>
      <c r="B152" s="6" t="str">
        <f t="shared" si="8"/>
        <v>SETEMBRO</v>
      </c>
      <c r="C152" s="13">
        <v>43724</v>
      </c>
      <c r="D152" s="26"/>
      <c r="E152" s="19">
        <v>2</v>
      </c>
      <c r="F152" s="15">
        <v>32</v>
      </c>
      <c r="G152" s="17">
        <v>2730</v>
      </c>
      <c r="H152" s="17">
        <v>2625</v>
      </c>
      <c r="I152" s="17">
        <v>152</v>
      </c>
      <c r="J152" s="17">
        <v>1000</v>
      </c>
      <c r="K152" s="18">
        <f t="shared" si="6"/>
        <v>6507</v>
      </c>
      <c r="L152" s="21">
        <f>IF(ISERROR(VLOOKUP($F152,#REF!,6,0)*G152/1000),0,VLOOKUP($F152,#REF!,6,0)*G152/1000)</f>
        <v>0</v>
      </c>
      <c r="M152" s="21">
        <f>IF(ISERROR(VLOOKUP($F152,#REF!,6,0)*H152/1000),0,VLOOKUP($F152,#REF!,6,0)*H152/1000)</f>
        <v>0</v>
      </c>
      <c r="N152" s="21">
        <f>IF(ISERROR(VLOOKUP($F152,#REF!,6,0)*I152/1000),0,VLOOKUP($F152,#REF!,6,0)*I152/1000)</f>
        <v>0</v>
      </c>
      <c r="O152" s="21">
        <f>IF(ISERROR(VLOOKUP($F152,#REF!,6,0)*J152/1000),0,VLOOKUP($F152,#REF!,6,0)*J152/1000)</f>
        <v>0</v>
      </c>
      <c r="P152" s="21">
        <f>IF(ISERROR(VLOOKUP(F152,#REF!,6,0)*K152/1000),0,VLOOKUP(F152,#REF!,6,0)*K152/1000)</f>
        <v>0</v>
      </c>
      <c r="Q152" s="6">
        <f>IF(ISERROR(VLOOKUP(F152,#REF!,3,0)),0,VLOOKUP(F152,#REF!,3,0))</f>
        <v>0</v>
      </c>
      <c r="R152" s="6">
        <f>IF(ISERROR(VLOOKUP(F152,#REF!,4,0)),0,VLOOKUP(F152,#REF!,4,0))</f>
        <v>0</v>
      </c>
      <c r="S152" s="8">
        <f>IF(ISERROR(VLOOKUP(F152,#REF!,4,0)),0,VLOOKUP(F152,#REF!,10,0)/60*K152)</f>
        <v>0</v>
      </c>
      <c r="T152" s="3"/>
      <c r="U152" s="3"/>
      <c r="V152" s="4"/>
    </row>
    <row r="153" spans="1:22" x14ac:dyDescent="0.3">
      <c r="A153" s="5">
        <f t="shared" si="7"/>
        <v>2019</v>
      </c>
      <c r="B153" s="6" t="str">
        <f t="shared" si="8"/>
        <v>SETEMBRO</v>
      </c>
      <c r="C153" s="13">
        <v>43724</v>
      </c>
      <c r="D153" s="26"/>
      <c r="E153" s="19">
        <v>1</v>
      </c>
      <c r="F153" s="15">
        <v>51</v>
      </c>
      <c r="G153" s="17">
        <v>704</v>
      </c>
      <c r="K153" s="18">
        <f t="shared" si="6"/>
        <v>704</v>
      </c>
      <c r="L153" s="21">
        <f>IF(ISERROR(VLOOKUP($F153,#REF!,6,0)*G153/1000),0,VLOOKUP($F153,#REF!,6,0)*G153/1000)</f>
        <v>0</v>
      </c>
      <c r="M153" s="21">
        <f>IF(ISERROR(VLOOKUP($F153,#REF!,6,0)*H153/1000),0,VLOOKUP($F153,#REF!,6,0)*H153/1000)</f>
        <v>0</v>
      </c>
      <c r="N153" s="21">
        <f>IF(ISERROR(VLOOKUP($F153,#REF!,6,0)*I153/1000),0,VLOOKUP($F153,#REF!,6,0)*I153/1000)</f>
        <v>0</v>
      </c>
      <c r="O153" s="21">
        <f>IF(ISERROR(VLOOKUP($F153,#REF!,6,0)*J153/1000),0,VLOOKUP($F153,#REF!,6,0)*J153/1000)</f>
        <v>0</v>
      </c>
      <c r="P153" s="21">
        <f>IF(ISERROR(VLOOKUP(F153,#REF!,6,0)*K153/1000),0,VLOOKUP(F153,#REF!,6,0)*K153/1000)</f>
        <v>0</v>
      </c>
      <c r="Q153" s="6">
        <f>IF(ISERROR(VLOOKUP(F153,#REF!,3,0)),0,VLOOKUP(F153,#REF!,3,0))</f>
        <v>0</v>
      </c>
      <c r="R153" s="6">
        <f>IF(ISERROR(VLOOKUP(F153,#REF!,4,0)),0,VLOOKUP(F153,#REF!,4,0))</f>
        <v>0</v>
      </c>
      <c r="S153" s="8">
        <f>IF(ISERROR(VLOOKUP(F153,#REF!,4,0)),0,VLOOKUP(F153,#REF!,10,0)/60*K153)</f>
        <v>0</v>
      </c>
      <c r="T153" s="3"/>
      <c r="U153" s="3"/>
      <c r="V153" s="4"/>
    </row>
    <row r="154" spans="1:22" x14ac:dyDescent="0.3">
      <c r="A154" s="5">
        <f t="shared" si="7"/>
        <v>2019</v>
      </c>
      <c r="B154" s="6" t="str">
        <f t="shared" si="8"/>
        <v>SETEMBRO</v>
      </c>
      <c r="C154" s="13">
        <v>43724</v>
      </c>
      <c r="D154" s="26"/>
      <c r="E154" s="19">
        <v>1</v>
      </c>
      <c r="F154" s="15">
        <v>52</v>
      </c>
      <c r="G154" s="17">
        <v>903</v>
      </c>
      <c r="H154" s="17">
        <v>550</v>
      </c>
      <c r="K154" s="18">
        <f t="shared" si="6"/>
        <v>1453</v>
      </c>
      <c r="L154" s="21">
        <f>IF(ISERROR(VLOOKUP($F154,#REF!,6,0)*G154/1000),0,VLOOKUP($F154,#REF!,6,0)*G154/1000)</f>
        <v>0</v>
      </c>
      <c r="M154" s="21">
        <f>IF(ISERROR(VLOOKUP($F154,#REF!,6,0)*H154/1000),0,VLOOKUP($F154,#REF!,6,0)*H154/1000)</f>
        <v>0</v>
      </c>
      <c r="N154" s="21">
        <f>IF(ISERROR(VLOOKUP($F154,#REF!,6,0)*I154/1000),0,VLOOKUP($F154,#REF!,6,0)*I154/1000)</f>
        <v>0</v>
      </c>
      <c r="O154" s="21">
        <f>IF(ISERROR(VLOOKUP($F154,#REF!,6,0)*J154/1000),0,VLOOKUP($F154,#REF!,6,0)*J154/1000)</f>
        <v>0</v>
      </c>
      <c r="P154" s="21">
        <f>IF(ISERROR(VLOOKUP(F154,#REF!,6,0)*K154/1000),0,VLOOKUP(F154,#REF!,6,0)*K154/1000)</f>
        <v>0</v>
      </c>
      <c r="Q154" s="6">
        <f>IF(ISERROR(VLOOKUP(F154,#REF!,3,0)),0,VLOOKUP(F154,#REF!,3,0))</f>
        <v>0</v>
      </c>
      <c r="R154" s="6">
        <f>IF(ISERROR(VLOOKUP(F154,#REF!,4,0)),0,VLOOKUP(F154,#REF!,4,0))</f>
        <v>0</v>
      </c>
      <c r="S154" s="8">
        <f>IF(ISERROR(VLOOKUP(F154,#REF!,4,0)),0,VLOOKUP(F154,#REF!,10,0)/60*K154)</f>
        <v>0</v>
      </c>
      <c r="T154" s="3"/>
      <c r="U154" s="3"/>
      <c r="V154" s="4"/>
    </row>
    <row r="155" spans="1:22" x14ac:dyDescent="0.3">
      <c r="A155" s="5">
        <f t="shared" si="7"/>
        <v>2019</v>
      </c>
      <c r="B155" s="6" t="str">
        <f t="shared" si="8"/>
        <v>SETEMBRO</v>
      </c>
      <c r="C155" s="13">
        <v>43724</v>
      </c>
      <c r="D155" s="26"/>
      <c r="E155" s="19">
        <v>2</v>
      </c>
      <c r="F155" s="15">
        <v>52</v>
      </c>
      <c r="G155" s="17">
        <v>674</v>
      </c>
      <c r="H155" s="17">
        <v>162</v>
      </c>
      <c r="I155" s="17">
        <v>1225</v>
      </c>
      <c r="K155" s="18">
        <f t="shared" si="6"/>
        <v>2061</v>
      </c>
      <c r="L155" s="21">
        <f>IF(ISERROR(VLOOKUP($F155,#REF!,6,0)*G155/1000),0,VLOOKUP($F155,#REF!,6,0)*G155/1000)</f>
        <v>0</v>
      </c>
      <c r="M155" s="21">
        <f>IF(ISERROR(VLOOKUP($F155,#REF!,6,0)*H155/1000),0,VLOOKUP($F155,#REF!,6,0)*H155/1000)</f>
        <v>0</v>
      </c>
      <c r="N155" s="21">
        <f>IF(ISERROR(VLOOKUP($F155,#REF!,6,0)*I155/1000),0,VLOOKUP($F155,#REF!,6,0)*I155/1000)</f>
        <v>0</v>
      </c>
      <c r="O155" s="21">
        <f>IF(ISERROR(VLOOKUP($F155,#REF!,6,0)*J155/1000),0,VLOOKUP($F155,#REF!,6,0)*J155/1000)</f>
        <v>0</v>
      </c>
      <c r="P155" s="21">
        <f>IF(ISERROR(VLOOKUP(F155,#REF!,6,0)*K155/1000),0,VLOOKUP(F155,#REF!,6,0)*K155/1000)</f>
        <v>0</v>
      </c>
      <c r="Q155" s="6">
        <f>IF(ISERROR(VLOOKUP(F155,#REF!,3,0)),0,VLOOKUP(F155,#REF!,3,0))</f>
        <v>0</v>
      </c>
      <c r="R155" s="6">
        <f>IF(ISERROR(VLOOKUP(F155,#REF!,4,0)),0,VLOOKUP(F155,#REF!,4,0))</f>
        <v>0</v>
      </c>
      <c r="S155" s="8">
        <f>IF(ISERROR(VLOOKUP(F155,#REF!,4,0)),0,VLOOKUP(F155,#REF!,10,0)/60*K155)</f>
        <v>0</v>
      </c>
      <c r="T155" s="3"/>
      <c r="U155" s="3"/>
      <c r="V155" s="4"/>
    </row>
    <row r="156" spans="1:22" x14ac:dyDescent="0.3">
      <c r="A156" s="5">
        <f t="shared" si="7"/>
        <v>2019</v>
      </c>
      <c r="B156" s="6" t="str">
        <f t="shared" si="8"/>
        <v>SETEMBRO</v>
      </c>
      <c r="C156" s="13">
        <v>43724</v>
      </c>
      <c r="D156" s="26"/>
      <c r="E156" s="19">
        <v>2</v>
      </c>
      <c r="F156" s="15">
        <v>51</v>
      </c>
      <c r="G156" s="17">
        <v>696</v>
      </c>
      <c r="K156" s="18">
        <f t="shared" si="6"/>
        <v>696</v>
      </c>
      <c r="L156" s="21">
        <f>IF(ISERROR(VLOOKUP($F156,#REF!,6,0)*G156/1000),0,VLOOKUP($F156,#REF!,6,0)*G156/1000)</f>
        <v>0</v>
      </c>
      <c r="M156" s="21">
        <f>IF(ISERROR(VLOOKUP($F156,#REF!,6,0)*H156/1000),0,VLOOKUP($F156,#REF!,6,0)*H156/1000)</f>
        <v>0</v>
      </c>
      <c r="N156" s="21">
        <f>IF(ISERROR(VLOOKUP($F156,#REF!,6,0)*I156/1000),0,VLOOKUP($F156,#REF!,6,0)*I156/1000)</f>
        <v>0</v>
      </c>
      <c r="O156" s="21">
        <f>IF(ISERROR(VLOOKUP($F156,#REF!,6,0)*J156/1000),0,VLOOKUP($F156,#REF!,6,0)*J156/1000)</f>
        <v>0</v>
      </c>
      <c r="P156" s="21">
        <f>IF(ISERROR(VLOOKUP(F156,#REF!,6,0)*K156/1000),0,VLOOKUP(F156,#REF!,6,0)*K156/1000)</f>
        <v>0</v>
      </c>
      <c r="Q156" s="6">
        <f>IF(ISERROR(VLOOKUP(F156,#REF!,3,0)),0,VLOOKUP(F156,#REF!,3,0))</f>
        <v>0</v>
      </c>
      <c r="R156" s="6">
        <f>IF(ISERROR(VLOOKUP(F156,#REF!,4,0)),0,VLOOKUP(F156,#REF!,4,0))</f>
        <v>0</v>
      </c>
      <c r="S156" s="8">
        <f>IF(ISERROR(VLOOKUP(F156,#REF!,4,0)),0,VLOOKUP(F156,#REF!,10,0)/60*K156)</f>
        <v>0</v>
      </c>
      <c r="T156" s="3"/>
      <c r="U156" s="3"/>
      <c r="V156" s="4"/>
    </row>
    <row r="157" spans="1:22" x14ac:dyDescent="0.3">
      <c r="A157" s="5">
        <f t="shared" si="7"/>
        <v>2019</v>
      </c>
      <c r="B157" s="6" t="str">
        <f t="shared" si="8"/>
        <v>SETEMBRO</v>
      </c>
      <c r="C157" s="13">
        <v>43724</v>
      </c>
      <c r="D157" s="26"/>
      <c r="E157" s="19">
        <v>2</v>
      </c>
      <c r="F157" s="15">
        <v>51</v>
      </c>
      <c r="G157" s="17">
        <v>534</v>
      </c>
      <c r="K157" s="18">
        <f t="shared" si="6"/>
        <v>534</v>
      </c>
      <c r="L157" s="21">
        <f>IF(ISERROR(VLOOKUP($F157,#REF!,6,0)*G157/1000),0,VLOOKUP($F157,#REF!,6,0)*G157/1000)</f>
        <v>0</v>
      </c>
      <c r="M157" s="21">
        <f>IF(ISERROR(VLOOKUP($F157,#REF!,6,0)*H157/1000),0,VLOOKUP($F157,#REF!,6,0)*H157/1000)</f>
        <v>0</v>
      </c>
      <c r="N157" s="21">
        <f>IF(ISERROR(VLOOKUP($F157,#REF!,6,0)*I157/1000),0,VLOOKUP($F157,#REF!,6,0)*I157/1000)</f>
        <v>0</v>
      </c>
      <c r="O157" s="21">
        <f>IF(ISERROR(VLOOKUP($F157,#REF!,6,0)*J157/1000),0,VLOOKUP($F157,#REF!,6,0)*J157/1000)</f>
        <v>0</v>
      </c>
      <c r="P157" s="21">
        <f>IF(ISERROR(VLOOKUP(F157,#REF!,6,0)*K157/1000),0,VLOOKUP(F157,#REF!,6,0)*K157/1000)</f>
        <v>0</v>
      </c>
      <c r="Q157" s="6">
        <f>IF(ISERROR(VLOOKUP(F157,#REF!,3,0)),0,VLOOKUP(F157,#REF!,3,0))</f>
        <v>0</v>
      </c>
      <c r="R157" s="6">
        <f>IF(ISERROR(VLOOKUP(F157,#REF!,4,0)),0,VLOOKUP(F157,#REF!,4,0))</f>
        <v>0</v>
      </c>
      <c r="S157" s="8">
        <f>IF(ISERROR(VLOOKUP(F157,#REF!,4,0)),0,VLOOKUP(F157,#REF!,10,0)/60*K157)</f>
        <v>0</v>
      </c>
      <c r="T157" s="3"/>
      <c r="U157" s="3"/>
      <c r="V157" s="4"/>
    </row>
    <row r="158" spans="1:22" x14ac:dyDescent="0.3">
      <c r="A158" s="5">
        <f t="shared" si="7"/>
        <v>2019</v>
      </c>
      <c r="B158" s="6" t="str">
        <f t="shared" si="8"/>
        <v>SETEMBRO</v>
      </c>
      <c r="C158" s="13">
        <v>43724</v>
      </c>
      <c r="D158" s="26"/>
      <c r="E158" s="19">
        <v>3</v>
      </c>
      <c r="F158" s="15">
        <v>32</v>
      </c>
      <c r="G158" s="17">
        <v>4680</v>
      </c>
      <c r="H158" s="17">
        <v>1000</v>
      </c>
      <c r="I158" s="17">
        <v>245</v>
      </c>
      <c r="J158" s="17">
        <v>1000</v>
      </c>
      <c r="K158" s="18">
        <f t="shared" si="6"/>
        <v>6925</v>
      </c>
      <c r="L158" s="21">
        <f>IF(ISERROR(VLOOKUP($F158,#REF!,6,0)*G158/1000),0,VLOOKUP($F158,#REF!,6,0)*G158/1000)</f>
        <v>0</v>
      </c>
      <c r="M158" s="21">
        <f>IF(ISERROR(VLOOKUP($F158,#REF!,6,0)*H158/1000),0,VLOOKUP($F158,#REF!,6,0)*H158/1000)</f>
        <v>0</v>
      </c>
      <c r="N158" s="21">
        <f>IF(ISERROR(VLOOKUP($F158,#REF!,6,0)*I158/1000),0,VLOOKUP($F158,#REF!,6,0)*I158/1000)</f>
        <v>0</v>
      </c>
      <c r="O158" s="21">
        <f>IF(ISERROR(VLOOKUP($F158,#REF!,6,0)*J158/1000),0,VLOOKUP($F158,#REF!,6,0)*J158/1000)</f>
        <v>0</v>
      </c>
      <c r="P158" s="21">
        <f>IF(ISERROR(VLOOKUP(F158,#REF!,6,0)*K158/1000),0,VLOOKUP(F158,#REF!,6,0)*K158/1000)</f>
        <v>0</v>
      </c>
      <c r="Q158" s="6">
        <f>IF(ISERROR(VLOOKUP(F158,#REF!,3,0)),0,VLOOKUP(F158,#REF!,3,0))</f>
        <v>0</v>
      </c>
      <c r="R158" s="6">
        <f>IF(ISERROR(VLOOKUP(F158,#REF!,4,0)),0,VLOOKUP(F158,#REF!,4,0))</f>
        <v>0</v>
      </c>
      <c r="S158" s="8">
        <f>IF(ISERROR(VLOOKUP(F158,#REF!,4,0)),0,VLOOKUP(F158,#REF!,10,0)/60*K158)</f>
        <v>0</v>
      </c>
      <c r="T158" s="3"/>
      <c r="U158" s="3"/>
      <c r="V158" s="4"/>
    </row>
    <row r="159" spans="1:22" x14ac:dyDescent="0.3">
      <c r="A159" s="5">
        <f t="shared" si="7"/>
        <v>2019</v>
      </c>
      <c r="B159" s="6" t="str">
        <f t="shared" si="8"/>
        <v>SETEMBRO</v>
      </c>
      <c r="C159" s="13">
        <v>43725</v>
      </c>
      <c r="D159" s="26"/>
      <c r="E159" s="19">
        <v>1</v>
      </c>
      <c r="F159" s="15">
        <v>32</v>
      </c>
      <c r="G159" s="17">
        <v>780</v>
      </c>
      <c r="H159" s="17">
        <v>250</v>
      </c>
      <c r="I159" s="17">
        <v>40</v>
      </c>
      <c r="J159" s="17">
        <v>235</v>
      </c>
      <c r="K159" s="18">
        <f t="shared" si="6"/>
        <v>1305</v>
      </c>
      <c r="L159" s="21">
        <f>IF(ISERROR(VLOOKUP($F159,#REF!,6,0)*G159/1000),0,VLOOKUP($F159,#REF!,6,0)*G159/1000)</f>
        <v>0</v>
      </c>
      <c r="M159" s="21">
        <f>IF(ISERROR(VLOOKUP($F159,#REF!,6,0)*H159/1000),0,VLOOKUP($F159,#REF!,6,0)*H159/1000)</f>
        <v>0</v>
      </c>
      <c r="N159" s="21">
        <f>IF(ISERROR(VLOOKUP($F159,#REF!,6,0)*I159/1000),0,VLOOKUP($F159,#REF!,6,0)*I159/1000)</f>
        <v>0</v>
      </c>
      <c r="O159" s="21">
        <f>IF(ISERROR(VLOOKUP($F159,#REF!,6,0)*J159/1000),0,VLOOKUP($F159,#REF!,6,0)*J159/1000)</f>
        <v>0</v>
      </c>
      <c r="P159" s="21">
        <f>IF(ISERROR(VLOOKUP(F159,#REF!,6,0)*K159/1000),0,VLOOKUP(F159,#REF!,6,0)*K159/1000)</f>
        <v>0</v>
      </c>
      <c r="Q159" s="6">
        <f>IF(ISERROR(VLOOKUP(F159,#REF!,3,0)),0,VLOOKUP(F159,#REF!,3,0))</f>
        <v>0</v>
      </c>
      <c r="R159" s="6">
        <f>IF(ISERROR(VLOOKUP(F159,#REF!,4,0)),0,VLOOKUP(F159,#REF!,4,0))</f>
        <v>0</v>
      </c>
      <c r="S159" s="8">
        <f>IF(ISERROR(VLOOKUP(F159,#REF!,4,0)),0,VLOOKUP(F159,#REF!,10,0)/60*K159)</f>
        <v>0</v>
      </c>
      <c r="T159" s="3"/>
      <c r="U159" s="3"/>
      <c r="V159" s="4"/>
    </row>
    <row r="160" spans="1:22" x14ac:dyDescent="0.3">
      <c r="A160" s="5">
        <f t="shared" si="7"/>
        <v>2019</v>
      </c>
      <c r="B160" s="6" t="str">
        <f t="shared" si="8"/>
        <v>SETEMBRO</v>
      </c>
      <c r="C160" s="13">
        <v>43725</v>
      </c>
      <c r="D160" s="26"/>
      <c r="E160" s="19">
        <v>1</v>
      </c>
      <c r="F160" s="15">
        <v>29</v>
      </c>
      <c r="G160" s="17">
        <v>1872</v>
      </c>
      <c r="H160" s="17">
        <v>3200</v>
      </c>
      <c r="I160" s="17">
        <v>200</v>
      </c>
      <c r="J160" s="17">
        <v>1280</v>
      </c>
      <c r="K160" s="18">
        <f t="shared" si="6"/>
        <v>6552</v>
      </c>
      <c r="L160" s="21">
        <f>IF(ISERROR(VLOOKUP($F160,#REF!,6,0)*G160/1000),0,VLOOKUP($F160,#REF!,6,0)*G160/1000)</f>
        <v>0</v>
      </c>
      <c r="M160" s="21">
        <f>IF(ISERROR(VLOOKUP($F160,#REF!,6,0)*H160/1000),0,VLOOKUP($F160,#REF!,6,0)*H160/1000)</f>
        <v>0</v>
      </c>
      <c r="N160" s="21">
        <f>IF(ISERROR(VLOOKUP($F160,#REF!,6,0)*I160/1000),0,VLOOKUP($F160,#REF!,6,0)*I160/1000)</f>
        <v>0</v>
      </c>
      <c r="O160" s="21">
        <f>IF(ISERROR(VLOOKUP($F160,#REF!,6,0)*J160/1000),0,VLOOKUP($F160,#REF!,6,0)*J160/1000)</f>
        <v>0</v>
      </c>
      <c r="P160" s="21">
        <f>IF(ISERROR(VLOOKUP(F160,#REF!,6,0)*K160/1000),0,VLOOKUP(F160,#REF!,6,0)*K160/1000)</f>
        <v>0</v>
      </c>
      <c r="Q160" s="6">
        <f>IF(ISERROR(VLOOKUP(F160,#REF!,3,0)),0,VLOOKUP(F160,#REF!,3,0))</f>
        <v>0</v>
      </c>
      <c r="R160" s="6">
        <f>IF(ISERROR(VLOOKUP(F160,#REF!,4,0)),0,VLOOKUP(F160,#REF!,4,0))</f>
        <v>0</v>
      </c>
      <c r="S160" s="8">
        <f>IF(ISERROR(VLOOKUP(F160,#REF!,4,0)),0,VLOOKUP(F160,#REF!,10,0)/60*K160)</f>
        <v>0</v>
      </c>
      <c r="T160" s="3"/>
      <c r="U160" s="3"/>
      <c r="V160" s="4"/>
    </row>
    <row r="161" spans="1:22" x14ac:dyDescent="0.3">
      <c r="A161" s="5">
        <f t="shared" si="7"/>
        <v>2019</v>
      </c>
      <c r="B161" s="6" t="str">
        <f t="shared" si="8"/>
        <v>SETEMBRO</v>
      </c>
      <c r="C161" s="13">
        <v>43725</v>
      </c>
      <c r="D161" s="26"/>
      <c r="E161" s="19">
        <v>2</v>
      </c>
      <c r="F161" s="15">
        <v>29</v>
      </c>
      <c r="G161" s="17">
        <v>836</v>
      </c>
      <c r="H161" s="17">
        <v>600</v>
      </c>
      <c r="I161" s="17">
        <v>38</v>
      </c>
      <c r="J161" s="17">
        <v>120</v>
      </c>
      <c r="K161" s="18">
        <f t="shared" si="6"/>
        <v>1594</v>
      </c>
      <c r="L161" s="21">
        <f>IF(ISERROR(VLOOKUP($F161,#REF!,6,0)*G161/1000),0,VLOOKUP($F161,#REF!,6,0)*G161/1000)</f>
        <v>0</v>
      </c>
      <c r="M161" s="21">
        <f>IF(ISERROR(VLOOKUP($F161,#REF!,6,0)*H161/1000),0,VLOOKUP($F161,#REF!,6,0)*H161/1000)</f>
        <v>0</v>
      </c>
      <c r="N161" s="21">
        <f>IF(ISERROR(VLOOKUP($F161,#REF!,6,0)*I161/1000),0,VLOOKUP($F161,#REF!,6,0)*I161/1000)</f>
        <v>0</v>
      </c>
      <c r="O161" s="21">
        <f>IF(ISERROR(VLOOKUP($F161,#REF!,6,0)*J161/1000),0,VLOOKUP($F161,#REF!,6,0)*J161/1000)</f>
        <v>0</v>
      </c>
      <c r="P161" s="21">
        <f>IF(ISERROR(VLOOKUP(F161,#REF!,6,0)*K161/1000),0,VLOOKUP(F161,#REF!,6,0)*K161/1000)</f>
        <v>0</v>
      </c>
      <c r="Q161" s="6">
        <f>IF(ISERROR(VLOOKUP(F161,#REF!,3,0)),0,VLOOKUP(F161,#REF!,3,0))</f>
        <v>0</v>
      </c>
      <c r="R161" s="6">
        <f>IF(ISERROR(VLOOKUP(F161,#REF!,4,0)),0,VLOOKUP(F161,#REF!,4,0))</f>
        <v>0</v>
      </c>
      <c r="S161" s="8">
        <f>IF(ISERROR(VLOOKUP(F161,#REF!,4,0)),0,VLOOKUP(F161,#REF!,10,0)/60*K161)</f>
        <v>0</v>
      </c>
      <c r="T161" s="3"/>
      <c r="U161" s="3"/>
      <c r="V161" s="4"/>
    </row>
    <row r="162" spans="1:22" x14ac:dyDescent="0.3">
      <c r="A162" s="5">
        <f t="shared" si="7"/>
        <v>2019</v>
      </c>
      <c r="B162" s="6" t="str">
        <f t="shared" si="8"/>
        <v>SETEMBRO</v>
      </c>
      <c r="C162" s="13">
        <v>43725</v>
      </c>
      <c r="D162" s="26"/>
      <c r="E162" s="19">
        <v>2</v>
      </c>
      <c r="F162" s="15">
        <v>30</v>
      </c>
      <c r="G162" s="17">
        <v>2184</v>
      </c>
      <c r="H162" s="17">
        <v>4440</v>
      </c>
      <c r="I162" s="17">
        <v>327</v>
      </c>
      <c r="J162" s="17">
        <v>120</v>
      </c>
      <c r="K162" s="18">
        <f t="shared" si="6"/>
        <v>7071</v>
      </c>
      <c r="L162" s="21">
        <f>IF(ISERROR(VLOOKUP($F162,#REF!,6,0)*G162/1000),0,VLOOKUP($F162,#REF!,6,0)*G162/1000)</f>
        <v>0</v>
      </c>
      <c r="M162" s="21">
        <f>IF(ISERROR(VLOOKUP($F162,#REF!,6,0)*H162/1000),0,VLOOKUP($F162,#REF!,6,0)*H162/1000)</f>
        <v>0</v>
      </c>
      <c r="N162" s="21">
        <f>IF(ISERROR(VLOOKUP($F162,#REF!,6,0)*I162/1000),0,VLOOKUP($F162,#REF!,6,0)*I162/1000)</f>
        <v>0</v>
      </c>
      <c r="O162" s="21">
        <f>IF(ISERROR(VLOOKUP($F162,#REF!,6,0)*J162/1000),0,VLOOKUP($F162,#REF!,6,0)*J162/1000)</f>
        <v>0</v>
      </c>
      <c r="P162" s="21">
        <f>IF(ISERROR(VLOOKUP(F162,#REF!,6,0)*K162/1000),0,VLOOKUP(F162,#REF!,6,0)*K162/1000)</f>
        <v>0</v>
      </c>
      <c r="Q162" s="6">
        <f>IF(ISERROR(VLOOKUP(F162,#REF!,3,0)),0,VLOOKUP(F162,#REF!,3,0))</f>
        <v>0</v>
      </c>
      <c r="R162" s="6">
        <f>IF(ISERROR(VLOOKUP(F162,#REF!,4,0)),0,VLOOKUP(F162,#REF!,4,0))</f>
        <v>0</v>
      </c>
      <c r="S162" s="8">
        <f>IF(ISERROR(VLOOKUP(F162,#REF!,4,0)),0,VLOOKUP(F162,#REF!,10,0)/60*K162)</f>
        <v>0</v>
      </c>
      <c r="T162" s="3"/>
      <c r="U162" s="3"/>
      <c r="V162" s="4"/>
    </row>
    <row r="163" spans="1:22" x14ac:dyDescent="0.3">
      <c r="A163" s="5">
        <f t="shared" si="7"/>
        <v>2019</v>
      </c>
      <c r="B163" s="6" t="str">
        <f t="shared" si="8"/>
        <v>SETEMBRO</v>
      </c>
      <c r="C163" s="13">
        <v>43725</v>
      </c>
      <c r="D163" s="26"/>
      <c r="E163" s="19">
        <v>1</v>
      </c>
      <c r="F163" s="15">
        <v>44</v>
      </c>
      <c r="G163" s="17">
        <v>572</v>
      </c>
      <c r="K163" s="18">
        <f t="shared" si="6"/>
        <v>572</v>
      </c>
      <c r="L163" s="21">
        <f>IF(ISERROR(VLOOKUP($F163,#REF!,6,0)*G163/1000),0,VLOOKUP($F163,#REF!,6,0)*G163/1000)</f>
        <v>0</v>
      </c>
      <c r="M163" s="21">
        <f>IF(ISERROR(VLOOKUP($F163,#REF!,6,0)*H163/1000),0,VLOOKUP($F163,#REF!,6,0)*H163/1000)</f>
        <v>0</v>
      </c>
      <c r="N163" s="21">
        <f>IF(ISERROR(VLOOKUP($F163,#REF!,6,0)*I163/1000),0,VLOOKUP($F163,#REF!,6,0)*I163/1000)</f>
        <v>0</v>
      </c>
      <c r="O163" s="21">
        <f>IF(ISERROR(VLOOKUP($F163,#REF!,6,0)*J163/1000),0,VLOOKUP($F163,#REF!,6,0)*J163/1000)</f>
        <v>0</v>
      </c>
      <c r="P163" s="21">
        <f>IF(ISERROR(VLOOKUP(F163,#REF!,6,0)*K163/1000),0,VLOOKUP(F163,#REF!,6,0)*K163/1000)</f>
        <v>0</v>
      </c>
      <c r="Q163" s="6">
        <f>IF(ISERROR(VLOOKUP(F163,#REF!,3,0)),0,VLOOKUP(F163,#REF!,3,0))</f>
        <v>0</v>
      </c>
      <c r="R163" s="6">
        <f>IF(ISERROR(VLOOKUP(F163,#REF!,4,0)),0,VLOOKUP(F163,#REF!,4,0))</f>
        <v>0</v>
      </c>
      <c r="S163" s="8">
        <f>IF(ISERROR(VLOOKUP(F163,#REF!,4,0)),0,VLOOKUP(F163,#REF!,10,0)/60*K163)</f>
        <v>0</v>
      </c>
      <c r="T163" s="3"/>
      <c r="U163" s="3"/>
      <c r="V163" s="4"/>
    </row>
    <row r="164" spans="1:22" x14ac:dyDescent="0.3">
      <c r="A164" s="5">
        <f t="shared" si="7"/>
        <v>2019</v>
      </c>
      <c r="B164" s="6" t="str">
        <f t="shared" si="8"/>
        <v>SETEMBRO</v>
      </c>
      <c r="C164" s="13">
        <v>43725</v>
      </c>
      <c r="D164" s="26"/>
      <c r="E164" s="19">
        <v>1</v>
      </c>
      <c r="F164" s="15">
        <v>51</v>
      </c>
      <c r="G164" s="17">
        <v>977</v>
      </c>
      <c r="K164" s="18">
        <f t="shared" si="6"/>
        <v>977</v>
      </c>
      <c r="L164" s="21">
        <f>IF(ISERROR(VLOOKUP($F164,#REF!,6,0)*G164/1000),0,VLOOKUP($F164,#REF!,6,0)*G164/1000)</f>
        <v>0</v>
      </c>
      <c r="M164" s="21">
        <f>IF(ISERROR(VLOOKUP($F164,#REF!,6,0)*H164/1000),0,VLOOKUP($F164,#REF!,6,0)*H164/1000)</f>
        <v>0</v>
      </c>
      <c r="N164" s="21">
        <f>IF(ISERROR(VLOOKUP($F164,#REF!,6,0)*I164/1000),0,VLOOKUP($F164,#REF!,6,0)*I164/1000)</f>
        <v>0</v>
      </c>
      <c r="O164" s="21">
        <f>IF(ISERROR(VLOOKUP($F164,#REF!,6,0)*J164/1000),0,VLOOKUP($F164,#REF!,6,0)*J164/1000)</f>
        <v>0</v>
      </c>
      <c r="P164" s="21">
        <f>IF(ISERROR(VLOOKUP(F164,#REF!,6,0)*K164/1000),0,VLOOKUP(F164,#REF!,6,0)*K164/1000)</f>
        <v>0</v>
      </c>
      <c r="Q164" s="6">
        <f>IF(ISERROR(VLOOKUP(F164,#REF!,3,0)),0,VLOOKUP(F164,#REF!,3,0))</f>
        <v>0</v>
      </c>
      <c r="R164" s="6">
        <f>IF(ISERROR(VLOOKUP(F164,#REF!,4,0)),0,VLOOKUP(F164,#REF!,4,0))</f>
        <v>0</v>
      </c>
      <c r="S164" s="8">
        <f>IF(ISERROR(VLOOKUP(F164,#REF!,4,0)),0,VLOOKUP(F164,#REF!,10,0)/60*K164)</f>
        <v>0</v>
      </c>
      <c r="T164" s="3"/>
      <c r="U164" s="3"/>
      <c r="V164" s="4"/>
    </row>
    <row r="165" spans="1:22" x14ac:dyDescent="0.3">
      <c r="A165" s="5">
        <f t="shared" si="7"/>
        <v>2019</v>
      </c>
      <c r="B165" s="6" t="str">
        <f t="shared" si="8"/>
        <v>SETEMBRO</v>
      </c>
      <c r="C165" s="13">
        <v>43725</v>
      </c>
      <c r="D165" s="26"/>
      <c r="E165" s="19">
        <v>1</v>
      </c>
      <c r="F165" s="15">
        <v>51</v>
      </c>
      <c r="G165" s="17">
        <v>903</v>
      </c>
      <c r="H165" s="17">
        <v>150</v>
      </c>
      <c r="I165" s="17">
        <v>35</v>
      </c>
      <c r="K165" s="18">
        <f t="shared" si="6"/>
        <v>1088</v>
      </c>
      <c r="L165" s="21">
        <f>IF(ISERROR(VLOOKUP($F165,#REF!,6,0)*G165/1000),0,VLOOKUP($F165,#REF!,6,0)*G165/1000)</f>
        <v>0</v>
      </c>
      <c r="M165" s="21">
        <f>IF(ISERROR(VLOOKUP($F165,#REF!,6,0)*H165/1000),0,VLOOKUP($F165,#REF!,6,0)*H165/1000)</f>
        <v>0</v>
      </c>
      <c r="N165" s="21">
        <f>IF(ISERROR(VLOOKUP($F165,#REF!,6,0)*I165/1000),0,VLOOKUP($F165,#REF!,6,0)*I165/1000)</f>
        <v>0</v>
      </c>
      <c r="O165" s="21">
        <f>IF(ISERROR(VLOOKUP($F165,#REF!,6,0)*J165/1000),0,VLOOKUP($F165,#REF!,6,0)*J165/1000)</f>
        <v>0</v>
      </c>
      <c r="P165" s="21">
        <f>IF(ISERROR(VLOOKUP(F165,#REF!,6,0)*K165/1000),0,VLOOKUP(F165,#REF!,6,0)*K165/1000)</f>
        <v>0</v>
      </c>
      <c r="Q165" s="6">
        <f>IF(ISERROR(VLOOKUP(F165,#REF!,3,0)),0,VLOOKUP(F165,#REF!,3,0))</f>
        <v>0</v>
      </c>
      <c r="R165" s="6">
        <f>IF(ISERROR(VLOOKUP(F165,#REF!,4,0)),0,VLOOKUP(F165,#REF!,4,0))</f>
        <v>0</v>
      </c>
      <c r="S165" s="8">
        <f>IF(ISERROR(VLOOKUP(F165,#REF!,4,0)),0,VLOOKUP(F165,#REF!,10,0)/60*K165)</f>
        <v>0</v>
      </c>
      <c r="T165" s="3"/>
      <c r="U165" s="3"/>
      <c r="V165" s="4"/>
    </row>
    <row r="166" spans="1:22" x14ac:dyDescent="0.3">
      <c r="A166" s="5">
        <f t="shared" si="7"/>
        <v>2019</v>
      </c>
      <c r="B166" s="6" t="str">
        <f t="shared" si="8"/>
        <v>SETEMBRO</v>
      </c>
      <c r="C166" s="13">
        <v>43725</v>
      </c>
      <c r="D166" s="26"/>
      <c r="E166" s="19">
        <v>2</v>
      </c>
      <c r="F166" s="15">
        <v>44</v>
      </c>
      <c r="G166" s="17">
        <v>311</v>
      </c>
      <c r="K166" s="18">
        <f t="shared" si="6"/>
        <v>311</v>
      </c>
      <c r="L166" s="21">
        <f>IF(ISERROR(VLOOKUP($F166,#REF!,6,0)*G166/1000),0,VLOOKUP($F166,#REF!,6,0)*G166/1000)</f>
        <v>0</v>
      </c>
      <c r="M166" s="21">
        <f>IF(ISERROR(VLOOKUP($F166,#REF!,6,0)*H166/1000),0,VLOOKUP($F166,#REF!,6,0)*H166/1000)</f>
        <v>0</v>
      </c>
      <c r="N166" s="21">
        <f>IF(ISERROR(VLOOKUP($F166,#REF!,6,0)*I166/1000),0,VLOOKUP($F166,#REF!,6,0)*I166/1000)</f>
        <v>0</v>
      </c>
      <c r="O166" s="21">
        <f>IF(ISERROR(VLOOKUP($F166,#REF!,6,0)*J166/1000),0,VLOOKUP($F166,#REF!,6,0)*J166/1000)</f>
        <v>0</v>
      </c>
      <c r="P166" s="21">
        <f>IF(ISERROR(VLOOKUP(F166,#REF!,6,0)*K166/1000),0,VLOOKUP(F166,#REF!,6,0)*K166/1000)</f>
        <v>0</v>
      </c>
      <c r="Q166" s="6">
        <f>IF(ISERROR(VLOOKUP(F166,#REF!,3,0)),0,VLOOKUP(F166,#REF!,3,0))</f>
        <v>0</v>
      </c>
      <c r="R166" s="6">
        <f>IF(ISERROR(VLOOKUP(F166,#REF!,4,0)),0,VLOOKUP(F166,#REF!,4,0))</f>
        <v>0</v>
      </c>
      <c r="S166" s="8">
        <f>IF(ISERROR(VLOOKUP(F166,#REF!,4,0)),0,VLOOKUP(F166,#REF!,10,0)/60*K166)</f>
        <v>0</v>
      </c>
      <c r="T166" s="3"/>
      <c r="U166" s="3"/>
      <c r="V166" s="4"/>
    </row>
    <row r="167" spans="1:22" x14ac:dyDescent="0.3">
      <c r="A167" s="5">
        <f t="shared" si="7"/>
        <v>2019</v>
      </c>
      <c r="B167" s="6" t="str">
        <f t="shared" si="8"/>
        <v>SETEMBRO</v>
      </c>
      <c r="C167" s="13">
        <v>43725</v>
      </c>
      <c r="D167" s="26"/>
      <c r="E167" s="19">
        <v>2</v>
      </c>
      <c r="F167" s="15">
        <v>51</v>
      </c>
      <c r="G167" s="17">
        <v>365</v>
      </c>
      <c r="H167" s="17">
        <v>645</v>
      </c>
      <c r="I167" s="17">
        <v>122</v>
      </c>
      <c r="K167" s="18">
        <f t="shared" si="6"/>
        <v>1132</v>
      </c>
      <c r="L167" s="21">
        <f>IF(ISERROR(VLOOKUP($F167,#REF!,6,0)*G167/1000),0,VLOOKUP($F167,#REF!,6,0)*G167/1000)</f>
        <v>0</v>
      </c>
      <c r="M167" s="21">
        <f>IF(ISERROR(VLOOKUP($F167,#REF!,6,0)*H167/1000),0,VLOOKUP($F167,#REF!,6,0)*H167/1000)</f>
        <v>0</v>
      </c>
      <c r="N167" s="21">
        <f>IF(ISERROR(VLOOKUP($F167,#REF!,6,0)*I167/1000),0,VLOOKUP($F167,#REF!,6,0)*I167/1000)</f>
        <v>0</v>
      </c>
      <c r="O167" s="21">
        <f>IF(ISERROR(VLOOKUP($F167,#REF!,6,0)*J167/1000),0,VLOOKUP($F167,#REF!,6,0)*J167/1000)</f>
        <v>0</v>
      </c>
      <c r="P167" s="21">
        <f>IF(ISERROR(VLOOKUP(F167,#REF!,6,0)*K167/1000),0,VLOOKUP(F167,#REF!,6,0)*K167/1000)</f>
        <v>0</v>
      </c>
      <c r="Q167" s="6">
        <f>IF(ISERROR(VLOOKUP(F167,#REF!,3,0)),0,VLOOKUP(F167,#REF!,3,0))</f>
        <v>0</v>
      </c>
      <c r="R167" s="6">
        <f>IF(ISERROR(VLOOKUP(F167,#REF!,4,0)),0,VLOOKUP(F167,#REF!,4,0))</f>
        <v>0</v>
      </c>
      <c r="S167" s="8">
        <f>IF(ISERROR(VLOOKUP(F167,#REF!,4,0)),0,VLOOKUP(F167,#REF!,10,0)/60*K167)</f>
        <v>0</v>
      </c>
      <c r="T167" s="3"/>
      <c r="U167" s="3"/>
      <c r="V167" s="4"/>
    </row>
    <row r="168" spans="1:22" x14ac:dyDescent="0.3">
      <c r="A168" s="5">
        <f t="shared" si="7"/>
        <v>2019</v>
      </c>
      <c r="B168" s="6" t="str">
        <f t="shared" si="8"/>
        <v>SETEMBRO</v>
      </c>
      <c r="C168" s="13">
        <v>43725</v>
      </c>
      <c r="D168" s="26"/>
      <c r="E168" s="19">
        <v>2</v>
      </c>
      <c r="F168" s="15">
        <v>49</v>
      </c>
      <c r="G168" s="17">
        <v>474</v>
      </c>
      <c r="H168" s="17">
        <v>450</v>
      </c>
      <c r="K168" s="18">
        <f t="shared" si="6"/>
        <v>924</v>
      </c>
      <c r="L168" s="21">
        <f>IF(ISERROR(VLOOKUP($F168,#REF!,6,0)*G168/1000),0,VLOOKUP($F168,#REF!,6,0)*G168/1000)</f>
        <v>0</v>
      </c>
      <c r="M168" s="21">
        <f>IF(ISERROR(VLOOKUP($F168,#REF!,6,0)*H168/1000),0,VLOOKUP($F168,#REF!,6,0)*H168/1000)</f>
        <v>0</v>
      </c>
      <c r="N168" s="21">
        <f>IF(ISERROR(VLOOKUP($F168,#REF!,6,0)*I168/1000),0,VLOOKUP($F168,#REF!,6,0)*I168/1000)</f>
        <v>0</v>
      </c>
      <c r="O168" s="21">
        <f>IF(ISERROR(VLOOKUP($F168,#REF!,6,0)*J168/1000),0,VLOOKUP($F168,#REF!,6,0)*J168/1000)</f>
        <v>0</v>
      </c>
      <c r="P168" s="21">
        <f>IF(ISERROR(VLOOKUP(F168,#REF!,6,0)*K168/1000),0,VLOOKUP(F168,#REF!,6,0)*K168/1000)</f>
        <v>0</v>
      </c>
      <c r="Q168" s="6">
        <f>IF(ISERROR(VLOOKUP(F168,#REF!,3,0)),0,VLOOKUP(F168,#REF!,3,0))</f>
        <v>0</v>
      </c>
      <c r="R168" s="6">
        <f>IF(ISERROR(VLOOKUP(F168,#REF!,4,0)),0,VLOOKUP(F168,#REF!,4,0))</f>
        <v>0</v>
      </c>
      <c r="S168" s="8">
        <f>IF(ISERROR(VLOOKUP(F168,#REF!,4,0)),0,VLOOKUP(F168,#REF!,10,0)/60*K168)</f>
        <v>0</v>
      </c>
      <c r="T168" s="3"/>
      <c r="U168" s="3"/>
      <c r="V168" s="4"/>
    </row>
    <row r="169" spans="1:22" x14ac:dyDescent="0.3">
      <c r="A169" s="5">
        <f t="shared" si="7"/>
        <v>2019</v>
      </c>
      <c r="B169" s="6" t="str">
        <f t="shared" si="8"/>
        <v>SETEMBRO</v>
      </c>
      <c r="C169" s="13">
        <v>43725</v>
      </c>
      <c r="D169" s="26"/>
      <c r="E169" s="19">
        <v>3</v>
      </c>
      <c r="F169" s="15">
        <v>30</v>
      </c>
      <c r="G169" s="17">
        <v>1176</v>
      </c>
      <c r="H169" s="17">
        <v>400</v>
      </c>
      <c r="I169" s="17">
        <v>235</v>
      </c>
      <c r="J169" s="17">
        <v>400</v>
      </c>
      <c r="K169" s="18">
        <f t="shared" si="6"/>
        <v>2211</v>
      </c>
      <c r="L169" s="21">
        <f>IF(ISERROR(VLOOKUP($F169,#REF!,6,0)*G169/1000),0,VLOOKUP($F169,#REF!,6,0)*G169/1000)</f>
        <v>0</v>
      </c>
      <c r="M169" s="21">
        <f>IF(ISERROR(VLOOKUP($F169,#REF!,6,0)*H169/1000),0,VLOOKUP($F169,#REF!,6,0)*H169/1000)</f>
        <v>0</v>
      </c>
      <c r="N169" s="21">
        <f>IF(ISERROR(VLOOKUP($F169,#REF!,6,0)*I169/1000),0,VLOOKUP($F169,#REF!,6,0)*I169/1000)</f>
        <v>0</v>
      </c>
      <c r="O169" s="21">
        <f>IF(ISERROR(VLOOKUP($F169,#REF!,6,0)*J169/1000),0,VLOOKUP($F169,#REF!,6,0)*J169/1000)</f>
        <v>0</v>
      </c>
      <c r="P169" s="21">
        <f>IF(ISERROR(VLOOKUP(F169,#REF!,6,0)*K169/1000),0,VLOOKUP(F169,#REF!,6,0)*K169/1000)</f>
        <v>0</v>
      </c>
      <c r="Q169" s="6">
        <f>IF(ISERROR(VLOOKUP(F169,#REF!,3,0)),0,VLOOKUP(F169,#REF!,3,0))</f>
        <v>0</v>
      </c>
      <c r="R169" s="6">
        <f>IF(ISERROR(VLOOKUP(F169,#REF!,4,0)),0,VLOOKUP(F169,#REF!,4,0))</f>
        <v>0</v>
      </c>
      <c r="S169" s="8">
        <f>IF(ISERROR(VLOOKUP(F169,#REF!,4,0)),0,VLOOKUP(F169,#REF!,10,0)/60*K169)</f>
        <v>0</v>
      </c>
      <c r="T169" s="3"/>
      <c r="U169" s="3"/>
      <c r="V169" s="4"/>
    </row>
    <row r="170" spans="1:22" x14ac:dyDescent="0.3">
      <c r="A170" s="5">
        <f t="shared" si="7"/>
        <v>2019</v>
      </c>
      <c r="B170" s="6" t="str">
        <f t="shared" si="8"/>
        <v>SETEMBRO</v>
      </c>
      <c r="C170" s="13">
        <v>43725</v>
      </c>
      <c r="D170" s="26"/>
      <c r="E170" s="19">
        <v>3</v>
      </c>
      <c r="F170" s="15">
        <v>29</v>
      </c>
      <c r="G170" s="17">
        <v>4166</v>
      </c>
      <c r="H170" s="17">
        <v>160</v>
      </c>
      <c r="I170" s="17">
        <v>120</v>
      </c>
      <c r="J170" s="17">
        <v>400</v>
      </c>
      <c r="K170" s="18">
        <f t="shared" si="6"/>
        <v>4846</v>
      </c>
      <c r="L170" s="21">
        <f>IF(ISERROR(VLOOKUP($F170,#REF!,6,0)*G170/1000),0,VLOOKUP($F170,#REF!,6,0)*G170/1000)</f>
        <v>0</v>
      </c>
      <c r="M170" s="21">
        <f>IF(ISERROR(VLOOKUP($F170,#REF!,6,0)*H170/1000),0,VLOOKUP($F170,#REF!,6,0)*H170/1000)</f>
        <v>0</v>
      </c>
      <c r="N170" s="21">
        <f>IF(ISERROR(VLOOKUP($F170,#REF!,6,0)*I170/1000),0,VLOOKUP($F170,#REF!,6,0)*I170/1000)</f>
        <v>0</v>
      </c>
      <c r="O170" s="21">
        <f>IF(ISERROR(VLOOKUP($F170,#REF!,6,0)*J170/1000),0,VLOOKUP($F170,#REF!,6,0)*J170/1000)</f>
        <v>0</v>
      </c>
      <c r="P170" s="21">
        <f>IF(ISERROR(VLOOKUP(F170,#REF!,6,0)*K170/1000),0,VLOOKUP(F170,#REF!,6,0)*K170/1000)</f>
        <v>0</v>
      </c>
      <c r="Q170" s="6">
        <f>IF(ISERROR(VLOOKUP(F170,#REF!,3,0)),0,VLOOKUP(F170,#REF!,3,0))</f>
        <v>0</v>
      </c>
      <c r="R170" s="6">
        <f>IF(ISERROR(VLOOKUP(F170,#REF!,4,0)),0,VLOOKUP(F170,#REF!,4,0))</f>
        <v>0</v>
      </c>
      <c r="S170" s="8">
        <f>IF(ISERROR(VLOOKUP(F170,#REF!,4,0)),0,VLOOKUP(F170,#REF!,10,0)/60*K170)</f>
        <v>0</v>
      </c>
      <c r="T170" s="3"/>
      <c r="U170" s="3"/>
      <c r="V170" s="4"/>
    </row>
    <row r="171" spans="1:22" x14ac:dyDescent="0.3">
      <c r="A171" s="5">
        <f t="shared" si="7"/>
        <v>2019</v>
      </c>
      <c r="B171" s="6" t="str">
        <f t="shared" si="8"/>
        <v>SETEMBRO</v>
      </c>
      <c r="C171" s="13">
        <v>43726</v>
      </c>
      <c r="D171" s="26"/>
      <c r="E171" s="19">
        <v>1</v>
      </c>
      <c r="F171" s="15">
        <v>30</v>
      </c>
      <c r="G171" s="17">
        <v>480</v>
      </c>
      <c r="H171" s="17">
        <v>120</v>
      </c>
      <c r="I171" s="17">
        <v>35</v>
      </c>
      <c r="K171" s="18">
        <f t="shared" si="6"/>
        <v>635</v>
      </c>
      <c r="L171" s="21">
        <f>IF(ISERROR(VLOOKUP($F171,#REF!,6,0)*G171/1000),0,VLOOKUP($F171,#REF!,6,0)*G171/1000)</f>
        <v>0</v>
      </c>
      <c r="M171" s="21">
        <f>IF(ISERROR(VLOOKUP($F171,#REF!,6,0)*H171/1000),0,VLOOKUP($F171,#REF!,6,0)*H171/1000)</f>
        <v>0</v>
      </c>
      <c r="N171" s="21">
        <f>IF(ISERROR(VLOOKUP($F171,#REF!,6,0)*I171/1000),0,VLOOKUP($F171,#REF!,6,0)*I171/1000)</f>
        <v>0</v>
      </c>
      <c r="O171" s="21">
        <f>IF(ISERROR(VLOOKUP($F171,#REF!,6,0)*J171/1000),0,VLOOKUP($F171,#REF!,6,0)*J171/1000)</f>
        <v>0</v>
      </c>
      <c r="P171" s="21">
        <f>IF(ISERROR(VLOOKUP(F171,#REF!,6,0)*K171/1000),0,VLOOKUP(F171,#REF!,6,0)*K171/1000)</f>
        <v>0</v>
      </c>
      <c r="Q171" s="6">
        <f>IF(ISERROR(VLOOKUP(F171,#REF!,3,0)),0,VLOOKUP(F171,#REF!,3,0))</f>
        <v>0</v>
      </c>
      <c r="R171" s="6">
        <f>IF(ISERROR(VLOOKUP(F171,#REF!,4,0)),0,VLOOKUP(F171,#REF!,4,0))</f>
        <v>0</v>
      </c>
      <c r="S171" s="8">
        <f>IF(ISERROR(VLOOKUP(F171,#REF!,4,0)),0,VLOOKUP(F171,#REF!,10,0)/60*K171)</f>
        <v>0</v>
      </c>
      <c r="T171" s="3"/>
      <c r="U171" s="3"/>
      <c r="V171" s="4"/>
    </row>
    <row r="172" spans="1:22" x14ac:dyDescent="0.3">
      <c r="A172" s="5">
        <f t="shared" si="7"/>
        <v>2019</v>
      </c>
      <c r="B172" s="6" t="str">
        <f t="shared" si="8"/>
        <v>SETEMBRO</v>
      </c>
      <c r="C172" s="13">
        <v>43726</v>
      </c>
      <c r="D172" s="26"/>
      <c r="E172" s="19">
        <v>1</v>
      </c>
      <c r="F172" s="15">
        <v>13</v>
      </c>
      <c r="G172" s="17">
        <v>2080</v>
      </c>
      <c r="H172" s="17">
        <v>2720</v>
      </c>
      <c r="I172" s="17">
        <v>180</v>
      </c>
      <c r="K172" s="18">
        <f t="shared" si="6"/>
        <v>4980</v>
      </c>
      <c r="L172" s="21">
        <f>IF(ISERROR(VLOOKUP($F172,#REF!,6,0)*G172/1000),0,VLOOKUP($F172,#REF!,6,0)*G172/1000)</f>
        <v>0</v>
      </c>
      <c r="M172" s="21">
        <f>IF(ISERROR(VLOOKUP($F172,#REF!,6,0)*H172/1000),0,VLOOKUP($F172,#REF!,6,0)*H172/1000)</f>
        <v>0</v>
      </c>
      <c r="N172" s="21">
        <f>IF(ISERROR(VLOOKUP($F172,#REF!,6,0)*I172/1000),0,VLOOKUP($F172,#REF!,6,0)*I172/1000)</f>
        <v>0</v>
      </c>
      <c r="O172" s="21">
        <f>IF(ISERROR(VLOOKUP($F172,#REF!,6,0)*J172/1000),0,VLOOKUP($F172,#REF!,6,0)*J172/1000)</f>
        <v>0</v>
      </c>
      <c r="P172" s="21">
        <f>IF(ISERROR(VLOOKUP(F172,#REF!,6,0)*K172/1000),0,VLOOKUP(F172,#REF!,6,0)*K172/1000)</f>
        <v>0</v>
      </c>
      <c r="Q172" s="6">
        <f>IF(ISERROR(VLOOKUP(F172,#REF!,3,0)),0,VLOOKUP(F172,#REF!,3,0))</f>
        <v>0</v>
      </c>
      <c r="R172" s="6">
        <f>IF(ISERROR(VLOOKUP(F172,#REF!,4,0)),0,VLOOKUP(F172,#REF!,4,0))</f>
        <v>0</v>
      </c>
      <c r="S172" s="8">
        <f>IF(ISERROR(VLOOKUP(F172,#REF!,4,0)),0,VLOOKUP(F172,#REF!,10,0)/60*K172)</f>
        <v>0</v>
      </c>
      <c r="T172" s="3"/>
      <c r="U172" s="3"/>
      <c r="V172" s="4"/>
    </row>
    <row r="173" spans="1:22" x14ac:dyDescent="0.3">
      <c r="A173" s="5">
        <f t="shared" si="7"/>
        <v>2019</v>
      </c>
      <c r="B173" s="6" t="str">
        <f t="shared" si="8"/>
        <v>SETEMBRO</v>
      </c>
      <c r="C173" s="13">
        <v>43726</v>
      </c>
      <c r="D173" s="26"/>
      <c r="E173" s="19">
        <v>1</v>
      </c>
      <c r="F173" s="15">
        <v>3</v>
      </c>
      <c r="G173" s="17">
        <v>648</v>
      </c>
      <c r="I173" s="17">
        <v>3</v>
      </c>
      <c r="K173" s="18">
        <f t="shared" si="6"/>
        <v>651</v>
      </c>
      <c r="L173" s="21">
        <f>IF(ISERROR(VLOOKUP($F173,#REF!,6,0)*G173/1000),0,VLOOKUP($F173,#REF!,6,0)*G173/1000)</f>
        <v>0</v>
      </c>
      <c r="M173" s="21">
        <f>IF(ISERROR(VLOOKUP($F173,#REF!,6,0)*H173/1000),0,VLOOKUP($F173,#REF!,6,0)*H173/1000)</f>
        <v>0</v>
      </c>
      <c r="N173" s="21">
        <f>IF(ISERROR(VLOOKUP($F173,#REF!,6,0)*I173/1000),0,VLOOKUP($F173,#REF!,6,0)*I173/1000)</f>
        <v>0</v>
      </c>
      <c r="O173" s="21">
        <f>IF(ISERROR(VLOOKUP($F173,#REF!,6,0)*J173/1000),0,VLOOKUP($F173,#REF!,6,0)*J173/1000)</f>
        <v>0</v>
      </c>
      <c r="P173" s="21">
        <f>IF(ISERROR(VLOOKUP(F173,#REF!,6,0)*K173/1000),0,VLOOKUP(F173,#REF!,6,0)*K173/1000)</f>
        <v>0</v>
      </c>
      <c r="Q173" s="6">
        <f>IF(ISERROR(VLOOKUP(F173,#REF!,3,0)),0,VLOOKUP(F173,#REF!,3,0))</f>
        <v>0</v>
      </c>
      <c r="R173" s="6">
        <f>IF(ISERROR(VLOOKUP(F173,#REF!,4,0)),0,VLOOKUP(F173,#REF!,4,0))</f>
        <v>0</v>
      </c>
      <c r="S173" s="8">
        <f>IF(ISERROR(VLOOKUP(F173,#REF!,4,0)),0,VLOOKUP(F173,#REF!,10,0)/60*K173)</f>
        <v>0</v>
      </c>
      <c r="T173" s="3"/>
      <c r="U173" s="3"/>
      <c r="V173" s="4"/>
    </row>
    <row r="174" spans="1:22" x14ac:dyDescent="0.3">
      <c r="A174" s="5">
        <f t="shared" si="7"/>
        <v>2019</v>
      </c>
      <c r="B174" s="6" t="str">
        <f t="shared" si="8"/>
        <v>SETEMBRO</v>
      </c>
      <c r="C174" s="13">
        <v>43726</v>
      </c>
      <c r="D174" s="26"/>
      <c r="E174" s="19">
        <v>1</v>
      </c>
      <c r="F174" s="15">
        <v>20</v>
      </c>
      <c r="G174" s="17">
        <v>288</v>
      </c>
      <c r="H174" s="17">
        <v>400</v>
      </c>
      <c r="I174" s="17">
        <v>20</v>
      </c>
      <c r="K174" s="18">
        <f t="shared" si="6"/>
        <v>708</v>
      </c>
      <c r="L174" s="21">
        <f>IF(ISERROR(VLOOKUP($F174,#REF!,6,0)*G174/1000),0,VLOOKUP($F174,#REF!,6,0)*G174/1000)</f>
        <v>0</v>
      </c>
      <c r="M174" s="21">
        <f>IF(ISERROR(VLOOKUP($F174,#REF!,6,0)*H174/1000),0,VLOOKUP($F174,#REF!,6,0)*H174/1000)</f>
        <v>0</v>
      </c>
      <c r="N174" s="21">
        <f>IF(ISERROR(VLOOKUP($F174,#REF!,6,0)*I174/1000),0,VLOOKUP($F174,#REF!,6,0)*I174/1000)</f>
        <v>0</v>
      </c>
      <c r="O174" s="21">
        <f>IF(ISERROR(VLOOKUP($F174,#REF!,6,0)*J174/1000),0,VLOOKUP($F174,#REF!,6,0)*J174/1000)</f>
        <v>0</v>
      </c>
      <c r="P174" s="21">
        <f>IF(ISERROR(VLOOKUP(F174,#REF!,6,0)*K174/1000),0,VLOOKUP(F174,#REF!,6,0)*K174/1000)</f>
        <v>0</v>
      </c>
      <c r="Q174" s="6">
        <f>IF(ISERROR(VLOOKUP(F174,#REF!,3,0)),0,VLOOKUP(F174,#REF!,3,0))</f>
        <v>0</v>
      </c>
      <c r="R174" s="6">
        <f>IF(ISERROR(VLOOKUP(F174,#REF!,4,0)),0,VLOOKUP(F174,#REF!,4,0))</f>
        <v>0</v>
      </c>
      <c r="S174" s="8">
        <f>IF(ISERROR(VLOOKUP(F174,#REF!,4,0)),0,VLOOKUP(F174,#REF!,10,0)/60*K174)</f>
        <v>0</v>
      </c>
      <c r="T174" s="3"/>
      <c r="U174" s="3"/>
      <c r="V174" s="4"/>
    </row>
    <row r="175" spans="1:22" x14ac:dyDescent="0.3">
      <c r="A175" s="5">
        <f t="shared" si="7"/>
        <v>2019</v>
      </c>
      <c r="B175" s="6" t="str">
        <f t="shared" si="8"/>
        <v>SETEMBRO</v>
      </c>
      <c r="C175" s="13">
        <v>43726</v>
      </c>
      <c r="D175" s="26"/>
      <c r="E175" s="19">
        <v>2</v>
      </c>
      <c r="F175" s="15">
        <v>20</v>
      </c>
      <c r="G175" s="17">
        <v>719</v>
      </c>
      <c r="H175" s="17">
        <v>40</v>
      </c>
      <c r="I175" s="17">
        <v>55</v>
      </c>
      <c r="K175" s="18">
        <f t="shared" si="6"/>
        <v>814</v>
      </c>
      <c r="L175" s="21">
        <f>IF(ISERROR(VLOOKUP($F175,#REF!,6,0)*G175/1000),0,VLOOKUP($F175,#REF!,6,0)*G175/1000)</f>
        <v>0</v>
      </c>
      <c r="M175" s="21">
        <f>IF(ISERROR(VLOOKUP($F175,#REF!,6,0)*H175/1000),0,VLOOKUP($F175,#REF!,6,0)*H175/1000)</f>
        <v>0</v>
      </c>
      <c r="N175" s="21">
        <f>IF(ISERROR(VLOOKUP($F175,#REF!,6,0)*I175/1000),0,VLOOKUP($F175,#REF!,6,0)*I175/1000)</f>
        <v>0</v>
      </c>
      <c r="O175" s="21">
        <f>IF(ISERROR(VLOOKUP($F175,#REF!,6,0)*J175/1000),0,VLOOKUP($F175,#REF!,6,0)*J175/1000)</f>
        <v>0</v>
      </c>
      <c r="P175" s="21">
        <f>IF(ISERROR(VLOOKUP(F175,#REF!,6,0)*K175/1000),0,VLOOKUP(F175,#REF!,6,0)*K175/1000)</f>
        <v>0</v>
      </c>
      <c r="Q175" s="6">
        <f>IF(ISERROR(VLOOKUP(F175,#REF!,3,0)),0,VLOOKUP(F175,#REF!,3,0))</f>
        <v>0</v>
      </c>
      <c r="R175" s="6">
        <f>IF(ISERROR(VLOOKUP(F175,#REF!,4,0)),0,VLOOKUP(F175,#REF!,4,0))</f>
        <v>0</v>
      </c>
      <c r="S175" s="8">
        <f>IF(ISERROR(VLOOKUP(F175,#REF!,4,0)),0,VLOOKUP(F175,#REF!,10,0)/60*K175)</f>
        <v>0</v>
      </c>
      <c r="T175" s="3"/>
      <c r="U175" s="3"/>
      <c r="V175" s="4"/>
    </row>
    <row r="176" spans="1:22" x14ac:dyDescent="0.3">
      <c r="A176" s="5">
        <f t="shared" si="7"/>
        <v>2019</v>
      </c>
      <c r="B176" s="6" t="str">
        <f t="shared" si="8"/>
        <v>SETEMBRO</v>
      </c>
      <c r="C176" s="13">
        <v>43726</v>
      </c>
      <c r="D176" s="26"/>
      <c r="E176" s="19">
        <v>2</v>
      </c>
      <c r="F176" s="15">
        <v>13</v>
      </c>
      <c r="G176" s="17">
        <v>3360</v>
      </c>
      <c r="H176" s="17">
        <v>3840</v>
      </c>
      <c r="I176" s="17">
        <v>110</v>
      </c>
      <c r="K176" s="18">
        <f t="shared" si="6"/>
        <v>7310</v>
      </c>
      <c r="L176" s="21">
        <f>IF(ISERROR(VLOOKUP($F176,#REF!,6,0)*G176/1000),0,VLOOKUP($F176,#REF!,6,0)*G176/1000)</f>
        <v>0</v>
      </c>
      <c r="M176" s="21">
        <f>IF(ISERROR(VLOOKUP($F176,#REF!,6,0)*H176/1000),0,VLOOKUP($F176,#REF!,6,0)*H176/1000)</f>
        <v>0</v>
      </c>
      <c r="N176" s="21">
        <f>IF(ISERROR(VLOOKUP($F176,#REF!,6,0)*I176/1000),0,VLOOKUP($F176,#REF!,6,0)*I176/1000)</f>
        <v>0</v>
      </c>
      <c r="O176" s="21">
        <f>IF(ISERROR(VLOOKUP($F176,#REF!,6,0)*J176/1000),0,VLOOKUP($F176,#REF!,6,0)*J176/1000)</f>
        <v>0</v>
      </c>
      <c r="P176" s="21">
        <f>IF(ISERROR(VLOOKUP(F176,#REF!,6,0)*K176/1000),0,VLOOKUP(F176,#REF!,6,0)*K176/1000)</f>
        <v>0</v>
      </c>
      <c r="Q176" s="6">
        <f>IF(ISERROR(VLOOKUP(F176,#REF!,3,0)),0,VLOOKUP(F176,#REF!,3,0))</f>
        <v>0</v>
      </c>
      <c r="R176" s="6">
        <f>IF(ISERROR(VLOOKUP(F176,#REF!,4,0)),0,VLOOKUP(F176,#REF!,4,0))</f>
        <v>0</v>
      </c>
      <c r="S176" s="8">
        <f>IF(ISERROR(VLOOKUP(F176,#REF!,4,0)),0,VLOOKUP(F176,#REF!,10,0)/60*K176)</f>
        <v>0</v>
      </c>
      <c r="T176" s="3"/>
      <c r="U176" s="3"/>
      <c r="V176" s="4"/>
    </row>
    <row r="177" spans="1:22" x14ac:dyDescent="0.3">
      <c r="A177" s="5">
        <f t="shared" si="7"/>
        <v>2019</v>
      </c>
      <c r="B177" s="6" t="str">
        <f t="shared" si="8"/>
        <v>SETEMBRO</v>
      </c>
      <c r="C177" s="13">
        <v>43726</v>
      </c>
      <c r="D177" s="26"/>
      <c r="E177" s="19">
        <v>1</v>
      </c>
      <c r="F177" s="15">
        <v>44</v>
      </c>
      <c r="G177" s="17">
        <v>501</v>
      </c>
      <c r="H177" s="17">
        <v>310</v>
      </c>
      <c r="I177" s="17">
        <v>250</v>
      </c>
      <c r="K177" s="18">
        <f t="shared" si="6"/>
        <v>1061</v>
      </c>
      <c r="L177" s="21">
        <f>IF(ISERROR(VLOOKUP($F177,#REF!,6,0)*G177/1000),0,VLOOKUP($F177,#REF!,6,0)*G177/1000)</f>
        <v>0</v>
      </c>
      <c r="M177" s="21">
        <f>IF(ISERROR(VLOOKUP($F177,#REF!,6,0)*H177/1000),0,VLOOKUP($F177,#REF!,6,0)*H177/1000)</f>
        <v>0</v>
      </c>
      <c r="N177" s="21">
        <f>IF(ISERROR(VLOOKUP($F177,#REF!,6,0)*I177/1000),0,VLOOKUP($F177,#REF!,6,0)*I177/1000)</f>
        <v>0</v>
      </c>
      <c r="O177" s="21">
        <f>IF(ISERROR(VLOOKUP($F177,#REF!,6,0)*J177/1000),0,VLOOKUP($F177,#REF!,6,0)*J177/1000)</f>
        <v>0</v>
      </c>
      <c r="P177" s="21">
        <f>IF(ISERROR(VLOOKUP(F177,#REF!,6,0)*K177/1000),0,VLOOKUP(F177,#REF!,6,0)*K177/1000)</f>
        <v>0</v>
      </c>
      <c r="Q177" s="6">
        <f>IF(ISERROR(VLOOKUP(F177,#REF!,3,0)),0,VLOOKUP(F177,#REF!,3,0))</f>
        <v>0</v>
      </c>
      <c r="R177" s="6">
        <f>IF(ISERROR(VLOOKUP(F177,#REF!,4,0)),0,VLOOKUP(F177,#REF!,4,0))</f>
        <v>0</v>
      </c>
      <c r="S177" s="8">
        <f>IF(ISERROR(VLOOKUP(F177,#REF!,4,0)),0,VLOOKUP(F177,#REF!,10,0)/60*K177)</f>
        <v>0</v>
      </c>
      <c r="T177" s="3"/>
      <c r="U177" s="3"/>
      <c r="V177" s="4"/>
    </row>
    <row r="178" spans="1:22" x14ac:dyDescent="0.3">
      <c r="A178" s="5">
        <f t="shared" si="7"/>
        <v>2019</v>
      </c>
      <c r="B178" s="6" t="str">
        <f t="shared" si="8"/>
        <v>SETEMBRO</v>
      </c>
      <c r="C178" s="13">
        <v>43726</v>
      </c>
      <c r="D178" s="26"/>
      <c r="E178" s="19">
        <v>1</v>
      </c>
      <c r="F178" s="15">
        <v>50</v>
      </c>
      <c r="G178" s="17">
        <v>1139</v>
      </c>
      <c r="K178" s="18">
        <f t="shared" si="6"/>
        <v>1139</v>
      </c>
      <c r="L178" s="21">
        <f>IF(ISERROR(VLOOKUP($F178,#REF!,6,0)*G178/1000),0,VLOOKUP($F178,#REF!,6,0)*G178/1000)</f>
        <v>0</v>
      </c>
      <c r="M178" s="21">
        <f>IF(ISERROR(VLOOKUP($F178,#REF!,6,0)*H178/1000),0,VLOOKUP($F178,#REF!,6,0)*H178/1000)</f>
        <v>0</v>
      </c>
      <c r="N178" s="21">
        <f>IF(ISERROR(VLOOKUP($F178,#REF!,6,0)*I178/1000),0,VLOOKUP($F178,#REF!,6,0)*I178/1000)</f>
        <v>0</v>
      </c>
      <c r="O178" s="21">
        <f>IF(ISERROR(VLOOKUP($F178,#REF!,6,0)*J178/1000),0,VLOOKUP($F178,#REF!,6,0)*J178/1000)</f>
        <v>0</v>
      </c>
      <c r="P178" s="21">
        <f>IF(ISERROR(VLOOKUP(F178,#REF!,6,0)*K178/1000),0,VLOOKUP(F178,#REF!,6,0)*K178/1000)</f>
        <v>0</v>
      </c>
      <c r="Q178" s="6">
        <f>IF(ISERROR(VLOOKUP(F178,#REF!,3,0)),0,VLOOKUP(F178,#REF!,3,0))</f>
        <v>0</v>
      </c>
      <c r="R178" s="6">
        <f>IF(ISERROR(VLOOKUP(F178,#REF!,4,0)),0,VLOOKUP(F178,#REF!,4,0))</f>
        <v>0</v>
      </c>
      <c r="S178" s="8">
        <f>IF(ISERROR(VLOOKUP(F178,#REF!,4,0)),0,VLOOKUP(F178,#REF!,10,0)/60*K178)</f>
        <v>0</v>
      </c>
      <c r="T178" s="3"/>
      <c r="U178" s="3"/>
      <c r="V178" s="4"/>
    </row>
    <row r="179" spans="1:22" x14ac:dyDescent="0.3">
      <c r="A179" s="5">
        <f t="shared" si="7"/>
        <v>2019</v>
      </c>
      <c r="B179" s="6" t="str">
        <f t="shared" si="8"/>
        <v>SETEMBRO</v>
      </c>
      <c r="C179" s="13">
        <v>43726</v>
      </c>
      <c r="D179" s="26"/>
      <c r="E179" s="19">
        <v>1</v>
      </c>
      <c r="F179" s="15">
        <v>51</v>
      </c>
      <c r="G179" s="17">
        <v>333</v>
      </c>
      <c r="K179" s="18">
        <f t="shared" si="6"/>
        <v>333</v>
      </c>
      <c r="L179" s="21">
        <f>IF(ISERROR(VLOOKUP($F179,#REF!,6,0)*G179/1000),0,VLOOKUP($F179,#REF!,6,0)*G179/1000)</f>
        <v>0</v>
      </c>
      <c r="M179" s="21">
        <f>IF(ISERROR(VLOOKUP($F179,#REF!,6,0)*H179/1000),0,VLOOKUP($F179,#REF!,6,0)*H179/1000)</f>
        <v>0</v>
      </c>
      <c r="N179" s="21">
        <f>IF(ISERROR(VLOOKUP($F179,#REF!,6,0)*I179/1000),0,VLOOKUP($F179,#REF!,6,0)*I179/1000)</f>
        <v>0</v>
      </c>
      <c r="O179" s="21">
        <f>IF(ISERROR(VLOOKUP($F179,#REF!,6,0)*J179/1000),0,VLOOKUP($F179,#REF!,6,0)*J179/1000)</f>
        <v>0</v>
      </c>
      <c r="P179" s="21">
        <f>IF(ISERROR(VLOOKUP(F179,#REF!,6,0)*K179/1000),0,VLOOKUP(F179,#REF!,6,0)*K179/1000)</f>
        <v>0</v>
      </c>
      <c r="Q179" s="6">
        <f>IF(ISERROR(VLOOKUP(F179,#REF!,3,0)),0,VLOOKUP(F179,#REF!,3,0))</f>
        <v>0</v>
      </c>
      <c r="R179" s="6">
        <f>IF(ISERROR(VLOOKUP(F179,#REF!,4,0)),0,VLOOKUP(F179,#REF!,4,0))</f>
        <v>0</v>
      </c>
      <c r="S179" s="8">
        <f>IF(ISERROR(VLOOKUP(F179,#REF!,4,0)),0,VLOOKUP(F179,#REF!,10,0)/60*K179)</f>
        <v>0</v>
      </c>
      <c r="T179" s="3"/>
      <c r="U179" s="3"/>
      <c r="V179" s="4"/>
    </row>
    <row r="180" spans="1:22" x14ac:dyDescent="0.3">
      <c r="A180" s="5">
        <f t="shared" si="7"/>
        <v>2019</v>
      </c>
      <c r="B180" s="6" t="str">
        <f t="shared" si="8"/>
        <v>SETEMBRO</v>
      </c>
      <c r="C180" s="13">
        <v>43726</v>
      </c>
      <c r="D180" s="26"/>
      <c r="E180" s="19">
        <v>1</v>
      </c>
      <c r="F180" s="15">
        <v>51</v>
      </c>
      <c r="G180" s="17">
        <v>150</v>
      </c>
      <c r="K180" s="18">
        <f t="shared" si="6"/>
        <v>150</v>
      </c>
      <c r="L180" s="21">
        <f>IF(ISERROR(VLOOKUP($F180,#REF!,6,0)*G180/1000),0,VLOOKUP($F180,#REF!,6,0)*G180/1000)</f>
        <v>0</v>
      </c>
      <c r="M180" s="21">
        <f>IF(ISERROR(VLOOKUP($F180,#REF!,6,0)*H180/1000),0,VLOOKUP($F180,#REF!,6,0)*H180/1000)</f>
        <v>0</v>
      </c>
      <c r="N180" s="21">
        <f>IF(ISERROR(VLOOKUP($F180,#REF!,6,0)*I180/1000),0,VLOOKUP($F180,#REF!,6,0)*I180/1000)</f>
        <v>0</v>
      </c>
      <c r="O180" s="21">
        <f>IF(ISERROR(VLOOKUP($F180,#REF!,6,0)*J180/1000),0,VLOOKUP($F180,#REF!,6,0)*J180/1000)</f>
        <v>0</v>
      </c>
      <c r="P180" s="21">
        <f>IF(ISERROR(VLOOKUP(F180,#REF!,6,0)*K180/1000),0,VLOOKUP(F180,#REF!,6,0)*K180/1000)</f>
        <v>0</v>
      </c>
      <c r="Q180" s="6">
        <f>IF(ISERROR(VLOOKUP(F180,#REF!,3,0)),0,VLOOKUP(F180,#REF!,3,0))</f>
        <v>0</v>
      </c>
      <c r="R180" s="6">
        <f>IF(ISERROR(VLOOKUP(F180,#REF!,4,0)),0,VLOOKUP(F180,#REF!,4,0))</f>
        <v>0</v>
      </c>
      <c r="S180" s="8">
        <f>IF(ISERROR(VLOOKUP(F180,#REF!,4,0)),0,VLOOKUP(F180,#REF!,10,0)/60*K180)</f>
        <v>0</v>
      </c>
      <c r="T180" s="3"/>
      <c r="U180" s="3"/>
      <c r="V180" s="4"/>
    </row>
    <row r="181" spans="1:22" x14ac:dyDescent="0.3">
      <c r="A181" s="5">
        <f t="shared" si="7"/>
        <v>2019</v>
      </c>
      <c r="B181" s="6" t="str">
        <f t="shared" si="8"/>
        <v>SETEMBRO</v>
      </c>
      <c r="C181" s="13">
        <v>43726</v>
      </c>
      <c r="D181" s="26"/>
      <c r="E181" s="19">
        <v>1</v>
      </c>
      <c r="F181" s="15">
        <v>49</v>
      </c>
      <c r="G181" s="17">
        <v>1220</v>
      </c>
      <c r="H181" s="17">
        <v>100</v>
      </c>
      <c r="I181" s="17">
        <v>65</v>
      </c>
      <c r="K181" s="18">
        <f t="shared" si="6"/>
        <v>1385</v>
      </c>
      <c r="L181" s="21">
        <f>IF(ISERROR(VLOOKUP($F181,#REF!,6,0)*G181/1000),0,VLOOKUP($F181,#REF!,6,0)*G181/1000)</f>
        <v>0</v>
      </c>
      <c r="M181" s="21">
        <f>IF(ISERROR(VLOOKUP($F181,#REF!,6,0)*H181/1000),0,VLOOKUP($F181,#REF!,6,0)*H181/1000)</f>
        <v>0</v>
      </c>
      <c r="N181" s="21">
        <f>IF(ISERROR(VLOOKUP($F181,#REF!,6,0)*I181/1000),0,VLOOKUP($F181,#REF!,6,0)*I181/1000)</f>
        <v>0</v>
      </c>
      <c r="O181" s="21">
        <f>IF(ISERROR(VLOOKUP($F181,#REF!,6,0)*J181/1000),0,VLOOKUP($F181,#REF!,6,0)*J181/1000)</f>
        <v>0</v>
      </c>
      <c r="P181" s="21">
        <f>IF(ISERROR(VLOOKUP(F181,#REF!,6,0)*K181/1000),0,VLOOKUP(F181,#REF!,6,0)*K181/1000)</f>
        <v>0</v>
      </c>
      <c r="Q181" s="6">
        <f>IF(ISERROR(VLOOKUP(F181,#REF!,3,0)),0,VLOOKUP(F181,#REF!,3,0))</f>
        <v>0</v>
      </c>
      <c r="R181" s="6">
        <f>IF(ISERROR(VLOOKUP(F181,#REF!,4,0)),0,VLOOKUP(F181,#REF!,4,0))</f>
        <v>0</v>
      </c>
      <c r="S181" s="8">
        <f>IF(ISERROR(VLOOKUP(F181,#REF!,4,0)),0,VLOOKUP(F181,#REF!,10,0)/60*K181)</f>
        <v>0</v>
      </c>
      <c r="T181" s="3"/>
      <c r="U181" s="3"/>
      <c r="V181" s="4"/>
    </row>
    <row r="182" spans="1:22" x14ac:dyDescent="0.3">
      <c r="A182" s="5">
        <f t="shared" si="7"/>
        <v>2019</v>
      </c>
      <c r="B182" s="6" t="str">
        <f t="shared" si="8"/>
        <v>SETEMBRO</v>
      </c>
      <c r="C182" s="13">
        <v>43726</v>
      </c>
      <c r="D182" s="26"/>
      <c r="E182" s="19">
        <v>1</v>
      </c>
      <c r="F182" s="15">
        <v>45</v>
      </c>
      <c r="G182" s="17">
        <v>500</v>
      </c>
      <c r="K182" s="18">
        <f t="shared" si="6"/>
        <v>500</v>
      </c>
      <c r="L182" s="21">
        <f>IF(ISERROR(VLOOKUP($F182,#REF!,6,0)*G182/1000),0,VLOOKUP($F182,#REF!,6,0)*G182/1000)</f>
        <v>0</v>
      </c>
      <c r="M182" s="21">
        <f>IF(ISERROR(VLOOKUP($F182,#REF!,6,0)*H182/1000),0,VLOOKUP($F182,#REF!,6,0)*H182/1000)</f>
        <v>0</v>
      </c>
      <c r="N182" s="21">
        <f>IF(ISERROR(VLOOKUP($F182,#REF!,6,0)*I182/1000),0,VLOOKUP($F182,#REF!,6,0)*I182/1000)</f>
        <v>0</v>
      </c>
      <c r="O182" s="21">
        <f>IF(ISERROR(VLOOKUP($F182,#REF!,6,0)*J182/1000),0,VLOOKUP($F182,#REF!,6,0)*J182/1000)</f>
        <v>0</v>
      </c>
      <c r="P182" s="21">
        <f>IF(ISERROR(VLOOKUP(F182,#REF!,6,0)*K182/1000),0,VLOOKUP(F182,#REF!,6,0)*K182/1000)</f>
        <v>0</v>
      </c>
      <c r="Q182" s="6">
        <f>IF(ISERROR(VLOOKUP(F182,#REF!,3,0)),0,VLOOKUP(F182,#REF!,3,0))</f>
        <v>0</v>
      </c>
      <c r="R182" s="6">
        <f>IF(ISERROR(VLOOKUP(F182,#REF!,4,0)),0,VLOOKUP(F182,#REF!,4,0))</f>
        <v>0</v>
      </c>
      <c r="S182" s="8">
        <f>IF(ISERROR(VLOOKUP(F182,#REF!,4,0)),0,VLOOKUP(F182,#REF!,10,0)/60*K182)</f>
        <v>0</v>
      </c>
      <c r="T182" s="3"/>
      <c r="U182" s="3"/>
      <c r="V182" s="4"/>
    </row>
    <row r="183" spans="1:22" x14ac:dyDescent="0.3">
      <c r="A183" s="5">
        <f t="shared" si="7"/>
        <v>2019</v>
      </c>
      <c r="B183" s="6" t="str">
        <f t="shared" si="8"/>
        <v>SETEMBRO</v>
      </c>
      <c r="C183" s="13">
        <v>43726</v>
      </c>
      <c r="D183" s="26"/>
      <c r="E183" s="19">
        <v>2</v>
      </c>
      <c r="F183" s="15">
        <v>50</v>
      </c>
      <c r="G183" s="17">
        <v>1185</v>
      </c>
      <c r="K183" s="18">
        <f t="shared" si="6"/>
        <v>1185</v>
      </c>
      <c r="L183" s="21">
        <f>IF(ISERROR(VLOOKUP($F183,#REF!,6,0)*G183/1000),0,VLOOKUP($F183,#REF!,6,0)*G183/1000)</f>
        <v>0</v>
      </c>
      <c r="M183" s="21">
        <f>IF(ISERROR(VLOOKUP($F183,#REF!,6,0)*H183/1000),0,VLOOKUP($F183,#REF!,6,0)*H183/1000)</f>
        <v>0</v>
      </c>
      <c r="N183" s="21">
        <f>IF(ISERROR(VLOOKUP($F183,#REF!,6,0)*I183/1000),0,VLOOKUP($F183,#REF!,6,0)*I183/1000)</f>
        <v>0</v>
      </c>
      <c r="O183" s="21">
        <f>IF(ISERROR(VLOOKUP($F183,#REF!,6,0)*J183/1000),0,VLOOKUP($F183,#REF!,6,0)*J183/1000)</f>
        <v>0</v>
      </c>
      <c r="P183" s="21">
        <f>IF(ISERROR(VLOOKUP(F183,#REF!,6,0)*K183/1000),0,VLOOKUP(F183,#REF!,6,0)*K183/1000)</f>
        <v>0</v>
      </c>
      <c r="Q183" s="6">
        <f>IF(ISERROR(VLOOKUP(F183,#REF!,3,0)),0,VLOOKUP(F183,#REF!,3,0))</f>
        <v>0</v>
      </c>
      <c r="R183" s="6">
        <f>IF(ISERROR(VLOOKUP(F183,#REF!,4,0)),0,VLOOKUP(F183,#REF!,4,0))</f>
        <v>0</v>
      </c>
      <c r="S183" s="8">
        <f>IF(ISERROR(VLOOKUP(F183,#REF!,4,0)),0,VLOOKUP(F183,#REF!,10,0)/60*K183)</f>
        <v>0</v>
      </c>
      <c r="T183" s="3"/>
      <c r="U183" s="3"/>
      <c r="V183" s="4"/>
    </row>
    <row r="184" spans="1:22" x14ac:dyDescent="0.3">
      <c r="A184" s="5">
        <f t="shared" si="7"/>
        <v>2019</v>
      </c>
      <c r="B184" s="6" t="str">
        <f t="shared" si="8"/>
        <v>SETEMBRO</v>
      </c>
      <c r="C184" s="13">
        <v>43726</v>
      </c>
      <c r="D184" s="26"/>
      <c r="E184" s="19">
        <v>2</v>
      </c>
      <c r="F184" s="15">
        <v>49</v>
      </c>
      <c r="G184" s="17">
        <v>938</v>
      </c>
      <c r="H184" s="17">
        <v>205</v>
      </c>
      <c r="I184" s="17">
        <v>276</v>
      </c>
      <c r="K184" s="18">
        <f t="shared" si="6"/>
        <v>1419</v>
      </c>
      <c r="L184" s="21">
        <f>IF(ISERROR(VLOOKUP($F184,#REF!,6,0)*G184/1000),0,VLOOKUP($F184,#REF!,6,0)*G184/1000)</f>
        <v>0</v>
      </c>
      <c r="M184" s="21">
        <f>IF(ISERROR(VLOOKUP($F184,#REF!,6,0)*H184/1000),0,VLOOKUP($F184,#REF!,6,0)*H184/1000)</f>
        <v>0</v>
      </c>
      <c r="N184" s="21">
        <f>IF(ISERROR(VLOOKUP($F184,#REF!,6,0)*I184/1000),0,VLOOKUP($F184,#REF!,6,0)*I184/1000)</f>
        <v>0</v>
      </c>
      <c r="O184" s="21">
        <f>IF(ISERROR(VLOOKUP($F184,#REF!,6,0)*J184/1000),0,VLOOKUP($F184,#REF!,6,0)*J184/1000)</f>
        <v>0</v>
      </c>
      <c r="P184" s="21">
        <f>IF(ISERROR(VLOOKUP(F184,#REF!,6,0)*K184/1000),0,VLOOKUP(F184,#REF!,6,0)*K184/1000)</f>
        <v>0</v>
      </c>
      <c r="Q184" s="6">
        <f>IF(ISERROR(VLOOKUP(F184,#REF!,3,0)),0,VLOOKUP(F184,#REF!,3,0))</f>
        <v>0</v>
      </c>
      <c r="R184" s="6">
        <f>IF(ISERROR(VLOOKUP(F184,#REF!,4,0)),0,VLOOKUP(F184,#REF!,4,0))</f>
        <v>0</v>
      </c>
      <c r="S184" s="8">
        <f>IF(ISERROR(VLOOKUP(F184,#REF!,4,0)),0,VLOOKUP(F184,#REF!,10,0)/60*K184)</f>
        <v>0</v>
      </c>
      <c r="T184" s="3"/>
      <c r="U184" s="3"/>
      <c r="V184" s="4"/>
    </row>
    <row r="185" spans="1:22" x14ac:dyDescent="0.3">
      <c r="A185" s="5">
        <f t="shared" si="7"/>
        <v>2019</v>
      </c>
      <c r="B185" s="6" t="str">
        <f t="shared" si="8"/>
        <v>SETEMBRO</v>
      </c>
      <c r="C185" s="13">
        <v>43726</v>
      </c>
      <c r="D185" s="26"/>
      <c r="E185" s="19">
        <v>2</v>
      </c>
      <c r="F185" s="15">
        <v>25</v>
      </c>
      <c r="G185" s="17">
        <v>1104</v>
      </c>
      <c r="I185" s="17">
        <v>384</v>
      </c>
      <c r="K185" s="18">
        <f t="shared" si="6"/>
        <v>1488</v>
      </c>
      <c r="L185" s="21">
        <f>IF(ISERROR(VLOOKUP($F185,#REF!,6,0)*G185/1000),0,VLOOKUP($F185,#REF!,6,0)*G185/1000)</f>
        <v>0</v>
      </c>
      <c r="M185" s="21">
        <f>IF(ISERROR(VLOOKUP($F185,#REF!,6,0)*H185/1000),0,VLOOKUP($F185,#REF!,6,0)*H185/1000)</f>
        <v>0</v>
      </c>
      <c r="N185" s="21">
        <f>IF(ISERROR(VLOOKUP($F185,#REF!,6,0)*I185/1000),0,VLOOKUP($F185,#REF!,6,0)*I185/1000)</f>
        <v>0</v>
      </c>
      <c r="O185" s="21">
        <f>IF(ISERROR(VLOOKUP($F185,#REF!,6,0)*J185/1000),0,VLOOKUP($F185,#REF!,6,0)*J185/1000)</f>
        <v>0</v>
      </c>
      <c r="P185" s="21">
        <f>IF(ISERROR(VLOOKUP(F185,#REF!,6,0)*K185/1000),0,VLOOKUP(F185,#REF!,6,0)*K185/1000)</f>
        <v>0</v>
      </c>
      <c r="Q185" s="6">
        <f>IF(ISERROR(VLOOKUP(F185,#REF!,3,0)),0,VLOOKUP(F185,#REF!,3,0))</f>
        <v>0</v>
      </c>
      <c r="R185" s="6">
        <f>IF(ISERROR(VLOOKUP(F185,#REF!,4,0)),0,VLOOKUP(F185,#REF!,4,0))</f>
        <v>0</v>
      </c>
      <c r="S185" s="8">
        <f>IF(ISERROR(VLOOKUP(F185,#REF!,4,0)),0,VLOOKUP(F185,#REF!,10,0)/60*K185)</f>
        <v>0</v>
      </c>
      <c r="T185" s="3"/>
      <c r="U185" s="3"/>
      <c r="V185" s="4"/>
    </row>
    <row r="186" spans="1:22" x14ac:dyDescent="0.3">
      <c r="A186" s="5">
        <f t="shared" si="7"/>
        <v>2019</v>
      </c>
      <c r="B186" s="6" t="str">
        <f t="shared" si="8"/>
        <v>SETEMBRO</v>
      </c>
      <c r="C186" s="13">
        <v>43726</v>
      </c>
      <c r="D186" s="26"/>
      <c r="E186" s="19">
        <v>3</v>
      </c>
      <c r="F186" s="15">
        <v>13</v>
      </c>
      <c r="G186" s="17">
        <v>5416</v>
      </c>
      <c r="H186" s="17">
        <v>740</v>
      </c>
      <c r="I186" s="17">
        <v>140</v>
      </c>
      <c r="J186" s="17">
        <v>800</v>
      </c>
      <c r="K186" s="18">
        <f t="shared" si="6"/>
        <v>7096</v>
      </c>
      <c r="L186" s="21">
        <f>IF(ISERROR(VLOOKUP($F186,#REF!,6,0)*G186/1000),0,VLOOKUP($F186,#REF!,6,0)*G186/1000)</f>
        <v>0</v>
      </c>
      <c r="M186" s="21">
        <f>IF(ISERROR(VLOOKUP($F186,#REF!,6,0)*H186/1000),0,VLOOKUP($F186,#REF!,6,0)*H186/1000)</f>
        <v>0</v>
      </c>
      <c r="N186" s="21">
        <f>IF(ISERROR(VLOOKUP($F186,#REF!,6,0)*I186/1000),0,VLOOKUP($F186,#REF!,6,0)*I186/1000)</f>
        <v>0</v>
      </c>
      <c r="O186" s="21">
        <f>IF(ISERROR(VLOOKUP($F186,#REF!,6,0)*J186/1000),0,VLOOKUP($F186,#REF!,6,0)*J186/1000)</f>
        <v>0</v>
      </c>
      <c r="P186" s="21">
        <f>IF(ISERROR(VLOOKUP(F186,#REF!,6,0)*K186/1000),0,VLOOKUP(F186,#REF!,6,0)*K186/1000)</f>
        <v>0</v>
      </c>
      <c r="Q186" s="6">
        <f>IF(ISERROR(VLOOKUP(F186,#REF!,3,0)),0,VLOOKUP(F186,#REF!,3,0))</f>
        <v>0</v>
      </c>
      <c r="R186" s="6">
        <f>IF(ISERROR(VLOOKUP(F186,#REF!,4,0)),0,VLOOKUP(F186,#REF!,4,0))</f>
        <v>0</v>
      </c>
      <c r="S186" s="8">
        <f>IF(ISERROR(VLOOKUP(F186,#REF!,4,0)),0,VLOOKUP(F186,#REF!,10,0)/60*K186)</f>
        <v>0</v>
      </c>
      <c r="T186" s="3"/>
      <c r="U186" s="3"/>
      <c r="V186" s="4"/>
    </row>
    <row r="187" spans="1:22" x14ac:dyDescent="0.3">
      <c r="A187" s="5">
        <f t="shared" si="7"/>
        <v>2019</v>
      </c>
      <c r="B187" s="6" t="str">
        <f t="shared" si="8"/>
        <v>SETEMBRO</v>
      </c>
      <c r="C187" s="13">
        <v>43726</v>
      </c>
      <c r="D187" s="26"/>
      <c r="E187" s="19">
        <v>3</v>
      </c>
      <c r="F187" s="15">
        <v>3</v>
      </c>
      <c r="G187" s="17">
        <v>648</v>
      </c>
      <c r="I187" s="17">
        <v>23</v>
      </c>
      <c r="K187" s="18">
        <f t="shared" si="6"/>
        <v>671</v>
      </c>
      <c r="L187" s="21">
        <f>IF(ISERROR(VLOOKUP($F187,#REF!,6,0)*G187/1000),0,VLOOKUP($F187,#REF!,6,0)*G187/1000)</f>
        <v>0</v>
      </c>
      <c r="M187" s="21">
        <f>IF(ISERROR(VLOOKUP($F187,#REF!,6,0)*H187/1000),0,VLOOKUP($F187,#REF!,6,0)*H187/1000)</f>
        <v>0</v>
      </c>
      <c r="N187" s="21">
        <f>IF(ISERROR(VLOOKUP($F187,#REF!,6,0)*I187/1000),0,VLOOKUP($F187,#REF!,6,0)*I187/1000)</f>
        <v>0</v>
      </c>
      <c r="O187" s="21">
        <f>IF(ISERROR(VLOOKUP($F187,#REF!,6,0)*J187/1000),0,VLOOKUP($F187,#REF!,6,0)*J187/1000)</f>
        <v>0</v>
      </c>
      <c r="P187" s="21">
        <f>IF(ISERROR(VLOOKUP(F187,#REF!,6,0)*K187/1000),0,VLOOKUP(F187,#REF!,6,0)*K187/1000)</f>
        <v>0</v>
      </c>
      <c r="Q187" s="6">
        <f>IF(ISERROR(VLOOKUP(F187,#REF!,3,0)),0,VLOOKUP(F187,#REF!,3,0))</f>
        <v>0</v>
      </c>
      <c r="R187" s="6">
        <f>IF(ISERROR(VLOOKUP(F187,#REF!,4,0)),0,VLOOKUP(F187,#REF!,4,0))</f>
        <v>0</v>
      </c>
      <c r="S187" s="8">
        <f>IF(ISERROR(VLOOKUP(F187,#REF!,4,0)),0,VLOOKUP(F187,#REF!,10,0)/60*K187)</f>
        <v>0</v>
      </c>
      <c r="T187" s="3"/>
      <c r="U187" s="3"/>
      <c r="V187" s="4"/>
    </row>
    <row r="188" spans="1:22" x14ac:dyDescent="0.3">
      <c r="A188" s="5">
        <f t="shared" si="7"/>
        <v>2019</v>
      </c>
      <c r="B188" s="6" t="str">
        <f t="shared" si="8"/>
        <v>SETEMBRO</v>
      </c>
      <c r="C188" s="13">
        <v>43727</v>
      </c>
      <c r="D188" s="26"/>
      <c r="E188" s="19">
        <v>1</v>
      </c>
      <c r="F188" s="15">
        <v>13</v>
      </c>
      <c r="G188" s="17">
        <v>2560</v>
      </c>
      <c r="H188" s="17">
        <v>700</v>
      </c>
      <c r="I188" s="17">
        <v>45</v>
      </c>
      <c r="J188" s="17">
        <v>100</v>
      </c>
      <c r="K188" s="18">
        <f t="shared" si="6"/>
        <v>3405</v>
      </c>
      <c r="L188" s="21">
        <f>IF(ISERROR(VLOOKUP($F188,#REF!,6,0)*G188/1000),0,VLOOKUP($F188,#REF!,6,0)*G188/1000)</f>
        <v>0</v>
      </c>
      <c r="M188" s="21">
        <f>IF(ISERROR(VLOOKUP($F188,#REF!,6,0)*H188/1000),0,VLOOKUP($F188,#REF!,6,0)*H188/1000)</f>
        <v>0</v>
      </c>
      <c r="N188" s="21">
        <f>IF(ISERROR(VLOOKUP($F188,#REF!,6,0)*I188/1000),0,VLOOKUP($F188,#REF!,6,0)*I188/1000)</f>
        <v>0</v>
      </c>
      <c r="O188" s="21">
        <f>IF(ISERROR(VLOOKUP($F188,#REF!,6,0)*J188/1000),0,VLOOKUP($F188,#REF!,6,0)*J188/1000)</f>
        <v>0</v>
      </c>
      <c r="P188" s="21">
        <f>IF(ISERROR(VLOOKUP(F188,#REF!,6,0)*K188/1000),0,VLOOKUP(F188,#REF!,6,0)*K188/1000)</f>
        <v>0</v>
      </c>
      <c r="Q188" s="6">
        <f>IF(ISERROR(VLOOKUP(F188,#REF!,3,0)),0,VLOOKUP(F188,#REF!,3,0))</f>
        <v>0</v>
      </c>
      <c r="R188" s="6">
        <f>IF(ISERROR(VLOOKUP(F188,#REF!,4,0)),0,VLOOKUP(F188,#REF!,4,0))</f>
        <v>0</v>
      </c>
      <c r="S188" s="8">
        <f>IF(ISERROR(VLOOKUP(F188,#REF!,4,0)),0,VLOOKUP(F188,#REF!,10,0)/60*K188)</f>
        <v>0</v>
      </c>
      <c r="T188" s="3"/>
      <c r="U188" s="3"/>
      <c r="V188" s="4"/>
    </row>
    <row r="189" spans="1:22" x14ac:dyDescent="0.3">
      <c r="A189" s="5">
        <f t="shared" si="7"/>
        <v>2019</v>
      </c>
      <c r="B189" s="6" t="str">
        <f t="shared" si="8"/>
        <v>SETEMBRO</v>
      </c>
      <c r="C189" s="13">
        <v>43727</v>
      </c>
      <c r="D189" s="26"/>
      <c r="E189" s="19">
        <v>1</v>
      </c>
      <c r="F189" s="15">
        <v>3</v>
      </c>
      <c r="G189" s="17">
        <v>864</v>
      </c>
      <c r="I189" s="17">
        <v>4</v>
      </c>
      <c r="J189" s="17">
        <v>20</v>
      </c>
      <c r="K189" s="18">
        <f t="shared" si="6"/>
        <v>888</v>
      </c>
      <c r="L189" s="21">
        <f>IF(ISERROR(VLOOKUP($F189,#REF!,6,0)*G189/1000),0,VLOOKUP($F189,#REF!,6,0)*G189/1000)</f>
        <v>0</v>
      </c>
      <c r="M189" s="21">
        <f>IF(ISERROR(VLOOKUP($F189,#REF!,6,0)*H189/1000),0,VLOOKUP($F189,#REF!,6,0)*H189/1000)</f>
        <v>0</v>
      </c>
      <c r="N189" s="21">
        <f>IF(ISERROR(VLOOKUP($F189,#REF!,6,0)*I189/1000),0,VLOOKUP($F189,#REF!,6,0)*I189/1000)</f>
        <v>0</v>
      </c>
      <c r="O189" s="21">
        <f>IF(ISERROR(VLOOKUP($F189,#REF!,6,0)*J189/1000),0,VLOOKUP($F189,#REF!,6,0)*J189/1000)</f>
        <v>0</v>
      </c>
      <c r="P189" s="21">
        <f>IF(ISERROR(VLOOKUP(F189,#REF!,6,0)*K189/1000),0,VLOOKUP(F189,#REF!,6,0)*K189/1000)</f>
        <v>0</v>
      </c>
      <c r="Q189" s="6">
        <f>IF(ISERROR(VLOOKUP(F189,#REF!,3,0)),0,VLOOKUP(F189,#REF!,3,0))</f>
        <v>0</v>
      </c>
      <c r="R189" s="6">
        <f>IF(ISERROR(VLOOKUP(F189,#REF!,4,0)),0,VLOOKUP(F189,#REF!,4,0))</f>
        <v>0</v>
      </c>
      <c r="S189" s="8">
        <f>IF(ISERROR(VLOOKUP(F189,#REF!,4,0)),0,VLOOKUP(F189,#REF!,10,0)/60*K189)</f>
        <v>0</v>
      </c>
      <c r="T189" s="3"/>
      <c r="U189" s="3"/>
      <c r="V189" s="4"/>
    </row>
    <row r="190" spans="1:22" x14ac:dyDescent="0.3">
      <c r="A190" s="5">
        <f t="shared" si="7"/>
        <v>2019</v>
      </c>
      <c r="B190" s="6" t="str">
        <f t="shared" si="8"/>
        <v>SETEMBRO</v>
      </c>
      <c r="C190" s="13">
        <v>43727</v>
      </c>
      <c r="D190" s="26"/>
      <c r="E190" s="19">
        <v>1</v>
      </c>
      <c r="F190" s="15">
        <v>30</v>
      </c>
      <c r="G190" s="17">
        <v>336</v>
      </c>
      <c r="H190" s="17">
        <v>50</v>
      </c>
      <c r="I190" s="17">
        <v>25</v>
      </c>
      <c r="J190" s="17">
        <v>20</v>
      </c>
      <c r="K190" s="18">
        <f t="shared" si="6"/>
        <v>431</v>
      </c>
      <c r="L190" s="21">
        <f>IF(ISERROR(VLOOKUP($F190,#REF!,6,0)*G190/1000),0,VLOOKUP($F190,#REF!,6,0)*G190/1000)</f>
        <v>0</v>
      </c>
      <c r="M190" s="21">
        <f>IF(ISERROR(VLOOKUP($F190,#REF!,6,0)*H190/1000),0,VLOOKUP($F190,#REF!,6,0)*H190/1000)</f>
        <v>0</v>
      </c>
      <c r="N190" s="21">
        <f>IF(ISERROR(VLOOKUP($F190,#REF!,6,0)*I190/1000),0,VLOOKUP($F190,#REF!,6,0)*I190/1000)</f>
        <v>0</v>
      </c>
      <c r="O190" s="21">
        <f>IF(ISERROR(VLOOKUP($F190,#REF!,6,0)*J190/1000),0,VLOOKUP($F190,#REF!,6,0)*J190/1000)</f>
        <v>0</v>
      </c>
      <c r="P190" s="21">
        <f>IF(ISERROR(VLOOKUP(F190,#REF!,6,0)*K190/1000),0,VLOOKUP(F190,#REF!,6,0)*K190/1000)</f>
        <v>0</v>
      </c>
      <c r="Q190" s="6">
        <f>IF(ISERROR(VLOOKUP(F190,#REF!,3,0)),0,VLOOKUP(F190,#REF!,3,0))</f>
        <v>0</v>
      </c>
      <c r="R190" s="6">
        <f>IF(ISERROR(VLOOKUP(F190,#REF!,4,0)),0,VLOOKUP(F190,#REF!,4,0))</f>
        <v>0</v>
      </c>
      <c r="S190" s="8">
        <f>IF(ISERROR(VLOOKUP(F190,#REF!,4,0)),0,VLOOKUP(F190,#REF!,10,0)/60*K190)</f>
        <v>0</v>
      </c>
      <c r="T190" s="3"/>
      <c r="U190" s="3"/>
      <c r="V190" s="4"/>
    </row>
    <row r="191" spans="1:22" x14ac:dyDescent="0.3">
      <c r="A191" s="5">
        <f t="shared" si="7"/>
        <v>2019</v>
      </c>
      <c r="B191" s="6" t="str">
        <f t="shared" si="8"/>
        <v>SETEMBRO</v>
      </c>
      <c r="C191" s="13">
        <v>43727</v>
      </c>
      <c r="D191" s="26"/>
      <c r="E191" s="19">
        <v>2</v>
      </c>
      <c r="F191" s="15">
        <v>30</v>
      </c>
      <c r="G191" s="17">
        <v>168</v>
      </c>
      <c r="H191" s="17">
        <v>528</v>
      </c>
      <c r="J191" s="17">
        <v>30</v>
      </c>
      <c r="K191" s="18">
        <f t="shared" si="6"/>
        <v>726</v>
      </c>
      <c r="L191" s="21">
        <f>IF(ISERROR(VLOOKUP($F191,#REF!,6,0)*G191/1000),0,VLOOKUP($F191,#REF!,6,0)*G191/1000)</f>
        <v>0</v>
      </c>
      <c r="M191" s="21">
        <f>IF(ISERROR(VLOOKUP($F191,#REF!,6,0)*H191/1000),0,VLOOKUP($F191,#REF!,6,0)*H191/1000)</f>
        <v>0</v>
      </c>
      <c r="N191" s="21">
        <f>IF(ISERROR(VLOOKUP($F191,#REF!,6,0)*I191/1000),0,VLOOKUP($F191,#REF!,6,0)*I191/1000)</f>
        <v>0</v>
      </c>
      <c r="O191" s="21">
        <f>IF(ISERROR(VLOOKUP($F191,#REF!,6,0)*J191/1000),0,VLOOKUP($F191,#REF!,6,0)*J191/1000)</f>
        <v>0</v>
      </c>
      <c r="P191" s="21">
        <f>IF(ISERROR(VLOOKUP(F191,#REF!,6,0)*K191/1000),0,VLOOKUP(F191,#REF!,6,0)*K191/1000)</f>
        <v>0</v>
      </c>
      <c r="Q191" s="6">
        <f>IF(ISERROR(VLOOKUP(F191,#REF!,3,0)),0,VLOOKUP(F191,#REF!,3,0))</f>
        <v>0</v>
      </c>
      <c r="R191" s="6">
        <f>IF(ISERROR(VLOOKUP(F191,#REF!,4,0)),0,VLOOKUP(F191,#REF!,4,0))</f>
        <v>0</v>
      </c>
      <c r="S191" s="8">
        <f>IF(ISERROR(VLOOKUP(F191,#REF!,4,0)),0,VLOOKUP(F191,#REF!,10,0)/60*K191)</f>
        <v>0</v>
      </c>
      <c r="T191" s="3"/>
      <c r="U191" s="3"/>
      <c r="V191" s="4"/>
    </row>
    <row r="192" spans="1:22" x14ac:dyDescent="0.3">
      <c r="A192" s="5">
        <f t="shared" si="7"/>
        <v>2019</v>
      </c>
      <c r="B192" s="6" t="str">
        <f t="shared" si="8"/>
        <v>SETEMBRO</v>
      </c>
      <c r="C192" s="13">
        <v>43727</v>
      </c>
      <c r="D192" s="26"/>
      <c r="E192" s="19">
        <v>2</v>
      </c>
      <c r="F192" s="15">
        <v>3</v>
      </c>
      <c r="G192" s="17">
        <v>648</v>
      </c>
      <c r="I192" s="17">
        <v>3</v>
      </c>
      <c r="J192" s="17">
        <v>50</v>
      </c>
      <c r="K192" s="18">
        <f t="shared" si="6"/>
        <v>701</v>
      </c>
      <c r="L192" s="21">
        <f>IF(ISERROR(VLOOKUP($F192,#REF!,6,0)*G192/1000),0,VLOOKUP($F192,#REF!,6,0)*G192/1000)</f>
        <v>0</v>
      </c>
      <c r="M192" s="21">
        <f>IF(ISERROR(VLOOKUP($F192,#REF!,6,0)*H192/1000),0,VLOOKUP($F192,#REF!,6,0)*H192/1000)</f>
        <v>0</v>
      </c>
      <c r="N192" s="21">
        <f>IF(ISERROR(VLOOKUP($F192,#REF!,6,0)*I192/1000),0,VLOOKUP($F192,#REF!,6,0)*I192/1000)</f>
        <v>0</v>
      </c>
      <c r="O192" s="21">
        <f>IF(ISERROR(VLOOKUP($F192,#REF!,6,0)*J192/1000),0,VLOOKUP($F192,#REF!,6,0)*J192/1000)</f>
        <v>0</v>
      </c>
      <c r="P192" s="21">
        <f>IF(ISERROR(VLOOKUP(F192,#REF!,6,0)*K192/1000),0,VLOOKUP(F192,#REF!,6,0)*K192/1000)</f>
        <v>0</v>
      </c>
      <c r="Q192" s="6">
        <f>IF(ISERROR(VLOOKUP(F192,#REF!,3,0)),0,VLOOKUP(F192,#REF!,3,0))</f>
        <v>0</v>
      </c>
      <c r="R192" s="6">
        <f>IF(ISERROR(VLOOKUP(F192,#REF!,4,0)),0,VLOOKUP(F192,#REF!,4,0))</f>
        <v>0</v>
      </c>
      <c r="S192" s="8">
        <f>IF(ISERROR(VLOOKUP(F192,#REF!,4,0)),0,VLOOKUP(F192,#REF!,10,0)/60*K192)</f>
        <v>0</v>
      </c>
      <c r="T192" s="3"/>
      <c r="U192" s="3"/>
      <c r="V192" s="4"/>
    </row>
    <row r="193" spans="1:22" x14ac:dyDescent="0.3">
      <c r="A193" s="5">
        <f t="shared" si="7"/>
        <v>2019</v>
      </c>
      <c r="B193" s="6" t="str">
        <f t="shared" si="8"/>
        <v>SETEMBRO</v>
      </c>
      <c r="C193" s="13">
        <v>43727</v>
      </c>
      <c r="D193" s="26"/>
      <c r="E193" s="19">
        <v>1</v>
      </c>
      <c r="F193" s="15">
        <v>50</v>
      </c>
      <c r="G193" s="17">
        <v>2726</v>
      </c>
      <c r="H193" s="17">
        <v>400</v>
      </c>
      <c r="I193" s="17">
        <v>70</v>
      </c>
      <c r="K193" s="18">
        <f t="shared" si="6"/>
        <v>3196</v>
      </c>
      <c r="L193" s="21">
        <f>IF(ISERROR(VLOOKUP($F193,#REF!,6,0)*G193/1000),0,VLOOKUP($F193,#REF!,6,0)*G193/1000)</f>
        <v>0</v>
      </c>
      <c r="M193" s="21">
        <f>IF(ISERROR(VLOOKUP($F193,#REF!,6,0)*H193/1000),0,VLOOKUP($F193,#REF!,6,0)*H193/1000)</f>
        <v>0</v>
      </c>
      <c r="N193" s="21">
        <f>IF(ISERROR(VLOOKUP($F193,#REF!,6,0)*I193/1000),0,VLOOKUP($F193,#REF!,6,0)*I193/1000)</f>
        <v>0</v>
      </c>
      <c r="O193" s="21">
        <f>IF(ISERROR(VLOOKUP($F193,#REF!,6,0)*J193/1000),0,VLOOKUP($F193,#REF!,6,0)*J193/1000)</f>
        <v>0</v>
      </c>
      <c r="P193" s="21">
        <f>IF(ISERROR(VLOOKUP(F193,#REF!,6,0)*K193/1000),0,VLOOKUP(F193,#REF!,6,0)*K193/1000)</f>
        <v>0</v>
      </c>
      <c r="Q193" s="6">
        <f>IF(ISERROR(VLOOKUP(F193,#REF!,3,0)),0,VLOOKUP(F193,#REF!,3,0))</f>
        <v>0</v>
      </c>
      <c r="R193" s="6">
        <f>IF(ISERROR(VLOOKUP(F193,#REF!,4,0)),0,VLOOKUP(F193,#REF!,4,0))</f>
        <v>0</v>
      </c>
      <c r="S193" s="8">
        <f>IF(ISERROR(VLOOKUP(F193,#REF!,4,0)),0,VLOOKUP(F193,#REF!,10,0)/60*K193)</f>
        <v>0</v>
      </c>
      <c r="T193" s="3"/>
      <c r="U193" s="3"/>
      <c r="V193" s="4"/>
    </row>
    <row r="194" spans="1:22" x14ac:dyDescent="0.3">
      <c r="A194" s="5">
        <f t="shared" si="7"/>
        <v>2019</v>
      </c>
      <c r="B194" s="6" t="str">
        <f t="shared" si="8"/>
        <v>SETEMBRO</v>
      </c>
      <c r="C194" s="13">
        <v>43727</v>
      </c>
      <c r="D194" s="26"/>
      <c r="E194" s="19">
        <v>1</v>
      </c>
      <c r="F194" s="15">
        <v>49</v>
      </c>
      <c r="G194" s="17">
        <v>267</v>
      </c>
      <c r="H194" s="17">
        <v>300</v>
      </c>
      <c r="I194" s="17">
        <v>250</v>
      </c>
      <c r="K194" s="18">
        <f t="shared" si="6"/>
        <v>817</v>
      </c>
      <c r="L194" s="21">
        <f>IF(ISERROR(VLOOKUP($F194,#REF!,6,0)*G194/1000),0,VLOOKUP($F194,#REF!,6,0)*G194/1000)</f>
        <v>0</v>
      </c>
      <c r="M194" s="21">
        <f>IF(ISERROR(VLOOKUP($F194,#REF!,6,0)*H194/1000),0,VLOOKUP($F194,#REF!,6,0)*H194/1000)</f>
        <v>0</v>
      </c>
      <c r="N194" s="21">
        <f>IF(ISERROR(VLOOKUP($F194,#REF!,6,0)*I194/1000),0,VLOOKUP($F194,#REF!,6,0)*I194/1000)</f>
        <v>0</v>
      </c>
      <c r="O194" s="21">
        <f>IF(ISERROR(VLOOKUP($F194,#REF!,6,0)*J194/1000),0,VLOOKUP($F194,#REF!,6,0)*J194/1000)</f>
        <v>0</v>
      </c>
      <c r="P194" s="21">
        <f>IF(ISERROR(VLOOKUP(F194,#REF!,6,0)*K194/1000),0,VLOOKUP(F194,#REF!,6,0)*K194/1000)</f>
        <v>0</v>
      </c>
      <c r="Q194" s="6">
        <f>IF(ISERROR(VLOOKUP(F194,#REF!,3,0)),0,VLOOKUP(F194,#REF!,3,0))</f>
        <v>0</v>
      </c>
      <c r="R194" s="6">
        <f>IF(ISERROR(VLOOKUP(F194,#REF!,4,0)),0,VLOOKUP(F194,#REF!,4,0))</f>
        <v>0</v>
      </c>
      <c r="S194" s="8">
        <f>IF(ISERROR(VLOOKUP(F194,#REF!,4,0)),0,VLOOKUP(F194,#REF!,10,0)/60*K194)</f>
        <v>0</v>
      </c>
      <c r="T194" s="3"/>
      <c r="U194" s="3"/>
      <c r="V194" s="4"/>
    </row>
    <row r="195" spans="1:22" x14ac:dyDescent="0.3">
      <c r="A195" s="5">
        <f t="shared" si="7"/>
        <v>2019</v>
      </c>
      <c r="B195" s="6" t="str">
        <f t="shared" si="8"/>
        <v>SETEMBRO</v>
      </c>
      <c r="C195" s="13">
        <v>43727</v>
      </c>
      <c r="D195" s="26"/>
      <c r="E195" s="19">
        <v>1</v>
      </c>
      <c r="F195" s="15">
        <v>25</v>
      </c>
      <c r="G195" s="17">
        <v>1830</v>
      </c>
      <c r="H195" s="17">
        <v>200</v>
      </c>
      <c r="I195" s="17">
        <v>300</v>
      </c>
      <c r="K195" s="18">
        <f t="shared" si="6"/>
        <v>2330</v>
      </c>
      <c r="L195" s="21">
        <f>IF(ISERROR(VLOOKUP($F195,#REF!,6,0)*G195/1000),0,VLOOKUP($F195,#REF!,6,0)*G195/1000)</f>
        <v>0</v>
      </c>
      <c r="M195" s="21">
        <f>IF(ISERROR(VLOOKUP($F195,#REF!,6,0)*H195/1000),0,VLOOKUP($F195,#REF!,6,0)*H195/1000)</f>
        <v>0</v>
      </c>
      <c r="N195" s="21">
        <f>IF(ISERROR(VLOOKUP($F195,#REF!,6,0)*I195/1000),0,VLOOKUP($F195,#REF!,6,0)*I195/1000)</f>
        <v>0</v>
      </c>
      <c r="O195" s="21">
        <f>IF(ISERROR(VLOOKUP($F195,#REF!,6,0)*J195/1000),0,VLOOKUP($F195,#REF!,6,0)*J195/1000)</f>
        <v>0</v>
      </c>
      <c r="P195" s="21">
        <f>IF(ISERROR(VLOOKUP(F195,#REF!,6,0)*K195/1000),0,VLOOKUP(F195,#REF!,6,0)*K195/1000)</f>
        <v>0</v>
      </c>
      <c r="Q195" s="6">
        <f>IF(ISERROR(VLOOKUP(F195,#REF!,3,0)),0,VLOOKUP(F195,#REF!,3,0))</f>
        <v>0</v>
      </c>
      <c r="R195" s="6">
        <f>IF(ISERROR(VLOOKUP(F195,#REF!,4,0)),0,VLOOKUP(F195,#REF!,4,0))</f>
        <v>0</v>
      </c>
      <c r="S195" s="8">
        <f>IF(ISERROR(VLOOKUP(F195,#REF!,4,0)),0,VLOOKUP(F195,#REF!,10,0)/60*K195)</f>
        <v>0</v>
      </c>
      <c r="T195" s="3"/>
      <c r="U195" s="3"/>
      <c r="V195" s="4"/>
    </row>
    <row r="196" spans="1:22" x14ac:dyDescent="0.3">
      <c r="A196" s="5">
        <f t="shared" si="7"/>
        <v>2019</v>
      </c>
      <c r="B196" s="6" t="str">
        <f t="shared" si="8"/>
        <v>SETEMBRO</v>
      </c>
      <c r="C196" s="13">
        <v>43727</v>
      </c>
      <c r="D196" s="26"/>
      <c r="E196" s="19">
        <v>2</v>
      </c>
      <c r="F196" s="15">
        <v>50</v>
      </c>
      <c r="G196" s="17">
        <v>1799</v>
      </c>
      <c r="K196" s="18">
        <f t="shared" ref="K196:K259" si="9">SUM(G196:J196)</f>
        <v>1799</v>
      </c>
      <c r="L196" s="21">
        <f>IF(ISERROR(VLOOKUP($F196,#REF!,6,0)*G196/1000),0,VLOOKUP($F196,#REF!,6,0)*G196/1000)</f>
        <v>0</v>
      </c>
      <c r="M196" s="21">
        <f>IF(ISERROR(VLOOKUP($F196,#REF!,6,0)*H196/1000),0,VLOOKUP($F196,#REF!,6,0)*H196/1000)</f>
        <v>0</v>
      </c>
      <c r="N196" s="21">
        <f>IF(ISERROR(VLOOKUP($F196,#REF!,6,0)*I196/1000),0,VLOOKUP($F196,#REF!,6,0)*I196/1000)</f>
        <v>0</v>
      </c>
      <c r="O196" s="21">
        <f>IF(ISERROR(VLOOKUP($F196,#REF!,6,0)*J196/1000),0,VLOOKUP($F196,#REF!,6,0)*J196/1000)</f>
        <v>0</v>
      </c>
      <c r="P196" s="21">
        <f>IF(ISERROR(VLOOKUP(F196,#REF!,6,0)*K196/1000),0,VLOOKUP(F196,#REF!,6,0)*K196/1000)</f>
        <v>0</v>
      </c>
      <c r="Q196" s="6">
        <f>IF(ISERROR(VLOOKUP(F196,#REF!,3,0)),0,VLOOKUP(F196,#REF!,3,0))</f>
        <v>0</v>
      </c>
      <c r="R196" s="6">
        <f>IF(ISERROR(VLOOKUP(F196,#REF!,4,0)),0,VLOOKUP(F196,#REF!,4,0))</f>
        <v>0</v>
      </c>
      <c r="S196" s="8">
        <f>IF(ISERROR(VLOOKUP(F196,#REF!,4,0)),0,VLOOKUP(F196,#REF!,10,0)/60*K196)</f>
        <v>0</v>
      </c>
      <c r="T196" s="3"/>
      <c r="U196" s="3"/>
      <c r="V196" s="4"/>
    </row>
    <row r="197" spans="1:22" x14ac:dyDescent="0.3">
      <c r="A197" s="5">
        <f t="shared" ref="A197:A260" si="10">IF(C197=0,0,YEAR(C197))</f>
        <v>2019</v>
      </c>
      <c r="B197" s="6" t="str">
        <f t="shared" ref="B197:B260" si="11">IF(C197&gt;0,VLOOKUP(MONTH($C197),$AJ$3:$AK$14,2,0),0)</f>
        <v>SETEMBRO</v>
      </c>
      <c r="C197" s="13">
        <v>43727</v>
      </c>
      <c r="D197" s="26"/>
      <c r="E197" s="19">
        <v>2</v>
      </c>
      <c r="F197" s="15">
        <v>25</v>
      </c>
      <c r="G197" s="17">
        <v>1745</v>
      </c>
      <c r="I197" s="17">
        <v>1036</v>
      </c>
      <c r="K197" s="18">
        <f t="shared" si="9"/>
        <v>2781</v>
      </c>
      <c r="L197" s="21">
        <f>IF(ISERROR(VLOOKUP($F197,#REF!,6,0)*G197/1000),0,VLOOKUP($F197,#REF!,6,0)*G197/1000)</f>
        <v>0</v>
      </c>
      <c r="M197" s="21">
        <f>IF(ISERROR(VLOOKUP($F197,#REF!,6,0)*H197/1000),0,VLOOKUP($F197,#REF!,6,0)*H197/1000)</f>
        <v>0</v>
      </c>
      <c r="N197" s="21">
        <f>IF(ISERROR(VLOOKUP($F197,#REF!,6,0)*I197/1000),0,VLOOKUP($F197,#REF!,6,0)*I197/1000)</f>
        <v>0</v>
      </c>
      <c r="O197" s="21">
        <f>IF(ISERROR(VLOOKUP($F197,#REF!,6,0)*J197/1000),0,VLOOKUP($F197,#REF!,6,0)*J197/1000)</f>
        <v>0</v>
      </c>
      <c r="P197" s="21">
        <f>IF(ISERROR(VLOOKUP(F197,#REF!,6,0)*K197/1000),0,VLOOKUP(F197,#REF!,6,0)*K197/1000)</f>
        <v>0</v>
      </c>
      <c r="Q197" s="6">
        <f>IF(ISERROR(VLOOKUP(F197,#REF!,3,0)),0,VLOOKUP(F197,#REF!,3,0))</f>
        <v>0</v>
      </c>
      <c r="R197" s="6">
        <f>IF(ISERROR(VLOOKUP(F197,#REF!,4,0)),0,VLOOKUP(F197,#REF!,4,0))</f>
        <v>0</v>
      </c>
      <c r="S197" s="8">
        <f>IF(ISERROR(VLOOKUP(F197,#REF!,4,0)),0,VLOOKUP(F197,#REF!,10,0)/60*K197)</f>
        <v>0</v>
      </c>
      <c r="T197" s="3"/>
      <c r="U197" s="3"/>
      <c r="V197" s="4"/>
    </row>
    <row r="198" spans="1:22" x14ac:dyDescent="0.3">
      <c r="A198" s="5">
        <f t="shared" si="10"/>
        <v>2019</v>
      </c>
      <c r="B198" s="6" t="str">
        <f t="shared" si="11"/>
        <v>SETEMBRO</v>
      </c>
      <c r="C198" s="13">
        <v>43727</v>
      </c>
      <c r="D198" s="26"/>
      <c r="E198" s="19">
        <v>3</v>
      </c>
      <c r="F198" s="15">
        <v>30</v>
      </c>
      <c r="G198" s="17">
        <v>3264</v>
      </c>
      <c r="H198" s="17">
        <v>360</v>
      </c>
      <c r="I198" s="17">
        <v>240</v>
      </c>
      <c r="J198" s="17">
        <v>240</v>
      </c>
      <c r="K198" s="18">
        <f t="shared" si="9"/>
        <v>4104</v>
      </c>
      <c r="L198" s="21">
        <f>IF(ISERROR(VLOOKUP($F198,#REF!,6,0)*G198/1000),0,VLOOKUP($F198,#REF!,6,0)*G198/1000)</f>
        <v>0</v>
      </c>
      <c r="M198" s="21">
        <f>IF(ISERROR(VLOOKUP($F198,#REF!,6,0)*H198/1000),0,VLOOKUP($F198,#REF!,6,0)*H198/1000)</f>
        <v>0</v>
      </c>
      <c r="N198" s="21">
        <f>IF(ISERROR(VLOOKUP($F198,#REF!,6,0)*I198/1000),0,VLOOKUP($F198,#REF!,6,0)*I198/1000)</f>
        <v>0</v>
      </c>
      <c r="O198" s="21">
        <f>IF(ISERROR(VLOOKUP($F198,#REF!,6,0)*J198/1000),0,VLOOKUP($F198,#REF!,6,0)*J198/1000)</f>
        <v>0</v>
      </c>
      <c r="P198" s="21">
        <f>IF(ISERROR(VLOOKUP(F198,#REF!,6,0)*K198/1000),0,VLOOKUP(F198,#REF!,6,0)*K198/1000)</f>
        <v>0</v>
      </c>
      <c r="Q198" s="6">
        <f>IF(ISERROR(VLOOKUP(F198,#REF!,3,0)),0,VLOOKUP(F198,#REF!,3,0))</f>
        <v>0</v>
      </c>
      <c r="R198" s="6">
        <f>IF(ISERROR(VLOOKUP(F198,#REF!,4,0)),0,VLOOKUP(F198,#REF!,4,0))</f>
        <v>0</v>
      </c>
      <c r="S198" s="8">
        <f>IF(ISERROR(VLOOKUP(F198,#REF!,4,0)),0,VLOOKUP(F198,#REF!,10,0)/60*K198)</f>
        <v>0</v>
      </c>
      <c r="T198" s="3"/>
      <c r="U198" s="3"/>
      <c r="V198" s="4"/>
    </row>
    <row r="199" spans="1:22" x14ac:dyDescent="0.3">
      <c r="A199" s="5">
        <f t="shared" si="10"/>
        <v>2019</v>
      </c>
      <c r="B199" s="6" t="str">
        <f t="shared" si="11"/>
        <v>SETEMBRO</v>
      </c>
      <c r="C199" s="13">
        <v>43727</v>
      </c>
      <c r="D199" s="26"/>
      <c r="E199" s="19">
        <v>3</v>
      </c>
      <c r="F199" s="15">
        <v>3</v>
      </c>
      <c r="G199" s="17">
        <v>638</v>
      </c>
      <c r="I199" s="17">
        <v>9</v>
      </c>
      <c r="J199" s="17">
        <v>30</v>
      </c>
      <c r="K199" s="18">
        <f t="shared" si="9"/>
        <v>677</v>
      </c>
      <c r="L199" s="21">
        <f>IF(ISERROR(VLOOKUP($F199,#REF!,6,0)*G199/1000),0,VLOOKUP($F199,#REF!,6,0)*G199/1000)</f>
        <v>0</v>
      </c>
      <c r="M199" s="21">
        <f>IF(ISERROR(VLOOKUP($F199,#REF!,6,0)*H199/1000),0,VLOOKUP($F199,#REF!,6,0)*H199/1000)</f>
        <v>0</v>
      </c>
      <c r="N199" s="21">
        <f>IF(ISERROR(VLOOKUP($F199,#REF!,6,0)*I199/1000),0,VLOOKUP($F199,#REF!,6,0)*I199/1000)</f>
        <v>0</v>
      </c>
      <c r="O199" s="21">
        <f>IF(ISERROR(VLOOKUP($F199,#REF!,6,0)*J199/1000),0,VLOOKUP($F199,#REF!,6,0)*J199/1000)</f>
        <v>0</v>
      </c>
      <c r="P199" s="21">
        <f>IF(ISERROR(VLOOKUP(F199,#REF!,6,0)*K199/1000),0,VLOOKUP(F199,#REF!,6,0)*K199/1000)</f>
        <v>0</v>
      </c>
      <c r="Q199" s="6">
        <f>IF(ISERROR(VLOOKUP(F199,#REF!,3,0)),0,VLOOKUP(F199,#REF!,3,0))</f>
        <v>0</v>
      </c>
      <c r="R199" s="6">
        <f>IF(ISERROR(VLOOKUP(F199,#REF!,4,0)),0,VLOOKUP(F199,#REF!,4,0))</f>
        <v>0</v>
      </c>
      <c r="S199" s="8">
        <f>IF(ISERROR(VLOOKUP(F199,#REF!,4,0)),0,VLOOKUP(F199,#REF!,10,0)/60*K199)</f>
        <v>0</v>
      </c>
      <c r="T199" s="3"/>
      <c r="U199" s="3"/>
      <c r="V199" s="4"/>
    </row>
    <row r="200" spans="1:22" x14ac:dyDescent="0.3">
      <c r="A200" s="5">
        <f t="shared" si="10"/>
        <v>2019</v>
      </c>
      <c r="B200" s="6" t="str">
        <f t="shared" si="11"/>
        <v>SETEMBRO</v>
      </c>
      <c r="C200" s="13">
        <v>43728</v>
      </c>
      <c r="D200" s="26"/>
      <c r="E200" s="19">
        <v>1</v>
      </c>
      <c r="F200" s="15">
        <v>30</v>
      </c>
      <c r="G200" s="17">
        <v>336</v>
      </c>
      <c r="H200" s="17">
        <v>40</v>
      </c>
      <c r="I200" s="17">
        <v>20</v>
      </c>
      <c r="J200" s="17">
        <v>15</v>
      </c>
      <c r="K200" s="18">
        <f t="shared" si="9"/>
        <v>411</v>
      </c>
      <c r="L200" s="21">
        <f>IF(ISERROR(VLOOKUP($F200,#REF!,6,0)*G200/1000),0,VLOOKUP($F200,#REF!,6,0)*G200/1000)</f>
        <v>0</v>
      </c>
      <c r="M200" s="21">
        <f>IF(ISERROR(VLOOKUP($F200,#REF!,6,0)*H200/1000),0,VLOOKUP($F200,#REF!,6,0)*H200/1000)</f>
        <v>0</v>
      </c>
      <c r="N200" s="21">
        <f>IF(ISERROR(VLOOKUP($F200,#REF!,6,0)*I200/1000),0,VLOOKUP($F200,#REF!,6,0)*I200/1000)</f>
        <v>0</v>
      </c>
      <c r="O200" s="21">
        <f>IF(ISERROR(VLOOKUP($F200,#REF!,6,0)*J200/1000),0,VLOOKUP($F200,#REF!,6,0)*J200/1000)</f>
        <v>0</v>
      </c>
      <c r="P200" s="21">
        <f>IF(ISERROR(VLOOKUP(F200,#REF!,6,0)*K200/1000),0,VLOOKUP(F200,#REF!,6,0)*K200/1000)</f>
        <v>0</v>
      </c>
      <c r="Q200" s="6">
        <f>IF(ISERROR(VLOOKUP(F200,#REF!,3,0)),0,VLOOKUP(F200,#REF!,3,0))</f>
        <v>0</v>
      </c>
      <c r="R200" s="6">
        <f>IF(ISERROR(VLOOKUP(F200,#REF!,4,0)),0,VLOOKUP(F200,#REF!,4,0))</f>
        <v>0</v>
      </c>
      <c r="S200" s="8">
        <f>IF(ISERROR(VLOOKUP(F200,#REF!,4,0)),0,VLOOKUP(F200,#REF!,10,0)/60*K200)</f>
        <v>0</v>
      </c>
      <c r="T200" s="3"/>
      <c r="U200" s="3"/>
      <c r="V200" s="4"/>
    </row>
    <row r="201" spans="1:22" x14ac:dyDescent="0.3">
      <c r="A201" s="5">
        <f t="shared" si="10"/>
        <v>2019</v>
      </c>
      <c r="B201" s="6" t="str">
        <f t="shared" si="11"/>
        <v>SETEMBRO</v>
      </c>
      <c r="C201" s="13">
        <v>43728</v>
      </c>
      <c r="D201" s="26"/>
      <c r="E201" s="19">
        <v>1</v>
      </c>
      <c r="F201" s="15">
        <v>3</v>
      </c>
      <c r="G201" s="17">
        <v>1296</v>
      </c>
      <c r="I201" s="17">
        <v>15</v>
      </c>
      <c r="J201" s="17">
        <v>50</v>
      </c>
      <c r="K201" s="18">
        <f t="shared" si="9"/>
        <v>1361</v>
      </c>
      <c r="L201" s="21">
        <f>IF(ISERROR(VLOOKUP($F201,#REF!,6,0)*G201/1000),0,VLOOKUP($F201,#REF!,6,0)*G201/1000)</f>
        <v>0</v>
      </c>
      <c r="M201" s="21">
        <f>IF(ISERROR(VLOOKUP($F201,#REF!,6,0)*H201/1000),0,VLOOKUP($F201,#REF!,6,0)*H201/1000)</f>
        <v>0</v>
      </c>
      <c r="N201" s="21">
        <f>IF(ISERROR(VLOOKUP($F201,#REF!,6,0)*I201/1000),0,VLOOKUP($F201,#REF!,6,0)*I201/1000)</f>
        <v>0</v>
      </c>
      <c r="O201" s="21">
        <f>IF(ISERROR(VLOOKUP($F201,#REF!,6,0)*J201/1000),0,VLOOKUP($F201,#REF!,6,0)*J201/1000)</f>
        <v>0</v>
      </c>
      <c r="P201" s="21">
        <f>IF(ISERROR(VLOOKUP(F201,#REF!,6,0)*K201/1000),0,VLOOKUP(F201,#REF!,6,0)*K201/1000)</f>
        <v>0</v>
      </c>
      <c r="Q201" s="6">
        <f>IF(ISERROR(VLOOKUP(F201,#REF!,3,0)),0,VLOOKUP(F201,#REF!,3,0))</f>
        <v>0</v>
      </c>
      <c r="R201" s="6">
        <f>IF(ISERROR(VLOOKUP(F201,#REF!,4,0)),0,VLOOKUP(F201,#REF!,4,0))</f>
        <v>0</v>
      </c>
      <c r="S201" s="8">
        <f>IF(ISERROR(VLOOKUP(F201,#REF!,4,0)),0,VLOOKUP(F201,#REF!,10,0)/60*K201)</f>
        <v>0</v>
      </c>
      <c r="T201" s="3"/>
      <c r="U201" s="3"/>
      <c r="V201" s="4"/>
    </row>
    <row r="202" spans="1:22" x14ac:dyDescent="0.3">
      <c r="A202" s="5">
        <f t="shared" si="10"/>
        <v>2019</v>
      </c>
      <c r="B202" s="6" t="str">
        <f t="shared" si="11"/>
        <v>SETEMBRO</v>
      </c>
      <c r="C202" s="13">
        <v>43728</v>
      </c>
      <c r="D202" s="26"/>
      <c r="E202" s="19">
        <v>1</v>
      </c>
      <c r="F202" s="15">
        <v>33</v>
      </c>
      <c r="G202" s="17">
        <v>1920</v>
      </c>
      <c r="H202" s="17">
        <v>60</v>
      </c>
      <c r="I202" s="17">
        <v>50</v>
      </c>
      <c r="J202" s="17">
        <v>25</v>
      </c>
      <c r="K202" s="18">
        <f t="shared" si="9"/>
        <v>2055</v>
      </c>
      <c r="L202" s="21">
        <f>IF(ISERROR(VLOOKUP($F202,#REF!,6,0)*G202/1000),0,VLOOKUP($F202,#REF!,6,0)*G202/1000)</f>
        <v>0</v>
      </c>
      <c r="M202" s="21">
        <f>IF(ISERROR(VLOOKUP($F202,#REF!,6,0)*H202/1000),0,VLOOKUP($F202,#REF!,6,0)*H202/1000)</f>
        <v>0</v>
      </c>
      <c r="N202" s="21">
        <f>IF(ISERROR(VLOOKUP($F202,#REF!,6,0)*I202/1000),0,VLOOKUP($F202,#REF!,6,0)*I202/1000)</f>
        <v>0</v>
      </c>
      <c r="O202" s="21">
        <f>IF(ISERROR(VLOOKUP($F202,#REF!,6,0)*J202/1000),0,VLOOKUP($F202,#REF!,6,0)*J202/1000)</f>
        <v>0</v>
      </c>
      <c r="P202" s="21">
        <f>IF(ISERROR(VLOOKUP(F202,#REF!,6,0)*K202/1000),0,VLOOKUP(F202,#REF!,6,0)*K202/1000)</f>
        <v>0</v>
      </c>
      <c r="Q202" s="6">
        <f>IF(ISERROR(VLOOKUP(F202,#REF!,3,0)),0,VLOOKUP(F202,#REF!,3,0))</f>
        <v>0</v>
      </c>
      <c r="R202" s="6">
        <f>IF(ISERROR(VLOOKUP(F202,#REF!,4,0)),0,VLOOKUP(F202,#REF!,4,0))</f>
        <v>0</v>
      </c>
      <c r="S202" s="8">
        <f>IF(ISERROR(VLOOKUP(F202,#REF!,4,0)),0,VLOOKUP(F202,#REF!,10,0)/60*K202)</f>
        <v>0</v>
      </c>
      <c r="T202" s="3"/>
      <c r="U202" s="3"/>
      <c r="V202" s="4"/>
    </row>
    <row r="203" spans="1:22" x14ac:dyDescent="0.3">
      <c r="A203" s="5">
        <f t="shared" si="10"/>
        <v>2019</v>
      </c>
      <c r="B203" s="6" t="str">
        <f t="shared" si="11"/>
        <v>SETEMBRO</v>
      </c>
      <c r="C203" s="13">
        <v>43728</v>
      </c>
      <c r="D203" s="26"/>
      <c r="E203" s="19">
        <v>2</v>
      </c>
      <c r="F203" s="15">
        <v>3</v>
      </c>
      <c r="G203" s="17">
        <v>648</v>
      </c>
      <c r="I203" s="17">
        <v>59</v>
      </c>
      <c r="J203" s="17">
        <v>36</v>
      </c>
      <c r="K203" s="18">
        <f t="shared" si="9"/>
        <v>743</v>
      </c>
      <c r="L203" s="21">
        <f>IF(ISERROR(VLOOKUP($F203,#REF!,6,0)*G203/1000),0,VLOOKUP($F203,#REF!,6,0)*G203/1000)</f>
        <v>0</v>
      </c>
      <c r="M203" s="21">
        <f>IF(ISERROR(VLOOKUP($F203,#REF!,6,0)*H203/1000),0,VLOOKUP($F203,#REF!,6,0)*H203/1000)</f>
        <v>0</v>
      </c>
      <c r="N203" s="21">
        <f>IF(ISERROR(VLOOKUP($F203,#REF!,6,0)*I203/1000),0,VLOOKUP($F203,#REF!,6,0)*I203/1000)</f>
        <v>0</v>
      </c>
      <c r="O203" s="21">
        <f>IF(ISERROR(VLOOKUP($F203,#REF!,6,0)*J203/1000),0,VLOOKUP($F203,#REF!,6,0)*J203/1000)</f>
        <v>0</v>
      </c>
      <c r="P203" s="21">
        <f>IF(ISERROR(VLOOKUP(F203,#REF!,6,0)*K203/1000),0,VLOOKUP(F203,#REF!,6,0)*K203/1000)</f>
        <v>0</v>
      </c>
      <c r="Q203" s="6">
        <f>IF(ISERROR(VLOOKUP(F203,#REF!,3,0)),0,VLOOKUP(F203,#REF!,3,0))</f>
        <v>0</v>
      </c>
      <c r="R203" s="6">
        <f>IF(ISERROR(VLOOKUP(F203,#REF!,4,0)),0,VLOOKUP(F203,#REF!,4,0))</f>
        <v>0</v>
      </c>
      <c r="S203" s="8">
        <f>IF(ISERROR(VLOOKUP(F203,#REF!,4,0)),0,VLOOKUP(F203,#REF!,10,0)/60*K203)</f>
        <v>0</v>
      </c>
      <c r="T203" s="3"/>
      <c r="U203" s="3"/>
      <c r="V203" s="4"/>
    </row>
    <row r="204" spans="1:22" x14ac:dyDescent="0.3">
      <c r="A204" s="5">
        <f t="shared" si="10"/>
        <v>2019</v>
      </c>
      <c r="B204" s="6" t="str">
        <f t="shared" si="11"/>
        <v>SETEMBRO</v>
      </c>
      <c r="C204" s="13">
        <v>43728</v>
      </c>
      <c r="D204" s="26"/>
      <c r="E204" s="19">
        <v>1</v>
      </c>
      <c r="F204" s="15">
        <v>50</v>
      </c>
      <c r="G204" s="17">
        <v>846</v>
      </c>
      <c r="K204" s="18">
        <f t="shared" si="9"/>
        <v>846</v>
      </c>
      <c r="L204" s="21">
        <f>IF(ISERROR(VLOOKUP($F204,#REF!,6,0)*G204/1000),0,VLOOKUP($F204,#REF!,6,0)*G204/1000)</f>
        <v>0</v>
      </c>
      <c r="M204" s="21">
        <f>IF(ISERROR(VLOOKUP($F204,#REF!,6,0)*H204/1000),0,VLOOKUP($F204,#REF!,6,0)*H204/1000)</f>
        <v>0</v>
      </c>
      <c r="N204" s="21">
        <f>IF(ISERROR(VLOOKUP($F204,#REF!,6,0)*I204/1000),0,VLOOKUP($F204,#REF!,6,0)*I204/1000)</f>
        <v>0</v>
      </c>
      <c r="O204" s="21">
        <f>IF(ISERROR(VLOOKUP($F204,#REF!,6,0)*J204/1000),0,VLOOKUP($F204,#REF!,6,0)*J204/1000)</f>
        <v>0</v>
      </c>
      <c r="P204" s="21">
        <f>IF(ISERROR(VLOOKUP(F204,#REF!,6,0)*K204/1000),0,VLOOKUP(F204,#REF!,6,0)*K204/1000)</f>
        <v>0</v>
      </c>
      <c r="Q204" s="6">
        <f>IF(ISERROR(VLOOKUP(F204,#REF!,3,0)),0,VLOOKUP(F204,#REF!,3,0))</f>
        <v>0</v>
      </c>
      <c r="R204" s="6">
        <f>IF(ISERROR(VLOOKUP(F204,#REF!,4,0)),0,VLOOKUP(F204,#REF!,4,0))</f>
        <v>0</v>
      </c>
      <c r="S204" s="8">
        <f>IF(ISERROR(VLOOKUP(F204,#REF!,4,0)),0,VLOOKUP(F204,#REF!,10,0)/60*K204)</f>
        <v>0</v>
      </c>
      <c r="T204" s="3"/>
      <c r="U204" s="3"/>
      <c r="V204" s="4"/>
    </row>
    <row r="205" spans="1:22" x14ac:dyDescent="0.3">
      <c r="A205" s="5">
        <f t="shared" si="10"/>
        <v>2019</v>
      </c>
      <c r="B205" s="6" t="str">
        <f t="shared" si="11"/>
        <v>SETEMBRO</v>
      </c>
      <c r="C205" s="13">
        <v>43728</v>
      </c>
      <c r="D205" s="26"/>
      <c r="E205" s="19">
        <v>1</v>
      </c>
      <c r="F205" s="15">
        <v>25</v>
      </c>
      <c r="G205" s="17">
        <v>1917</v>
      </c>
      <c r="I205" s="17">
        <v>520</v>
      </c>
      <c r="K205" s="18">
        <f t="shared" si="9"/>
        <v>2437</v>
      </c>
      <c r="L205" s="21">
        <f>IF(ISERROR(VLOOKUP($F205,#REF!,6,0)*G205/1000),0,VLOOKUP($F205,#REF!,6,0)*G205/1000)</f>
        <v>0</v>
      </c>
      <c r="M205" s="21">
        <f>IF(ISERROR(VLOOKUP($F205,#REF!,6,0)*H205/1000),0,VLOOKUP($F205,#REF!,6,0)*H205/1000)</f>
        <v>0</v>
      </c>
      <c r="N205" s="21">
        <f>IF(ISERROR(VLOOKUP($F205,#REF!,6,0)*I205/1000),0,VLOOKUP($F205,#REF!,6,0)*I205/1000)</f>
        <v>0</v>
      </c>
      <c r="O205" s="21">
        <f>IF(ISERROR(VLOOKUP($F205,#REF!,6,0)*J205/1000),0,VLOOKUP($F205,#REF!,6,0)*J205/1000)</f>
        <v>0</v>
      </c>
      <c r="P205" s="21">
        <f>IF(ISERROR(VLOOKUP(F205,#REF!,6,0)*K205/1000),0,VLOOKUP(F205,#REF!,6,0)*K205/1000)</f>
        <v>0</v>
      </c>
      <c r="Q205" s="6">
        <f>IF(ISERROR(VLOOKUP(F205,#REF!,3,0)),0,VLOOKUP(F205,#REF!,3,0))</f>
        <v>0</v>
      </c>
      <c r="R205" s="6">
        <f>IF(ISERROR(VLOOKUP(F205,#REF!,4,0)),0,VLOOKUP(F205,#REF!,4,0))</f>
        <v>0</v>
      </c>
      <c r="S205" s="8">
        <f>IF(ISERROR(VLOOKUP(F205,#REF!,4,0)),0,VLOOKUP(F205,#REF!,10,0)/60*K205)</f>
        <v>0</v>
      </c>
      <c r="T205" s="3"/>
      <c r="U205" s="3"/>
      <c r="V205" s="4"/>
    </row>
    <row r="206" spans="1:22" x14ac:dyDescent="0.3">
      <c r="A206" s="5">
        <f t="shared" si="10"/>
        <v>2019</v>
      </c>
      <c r="B206" s="6" t="str">
        <f t="shared" si="11"/>
        <v>SETEMBRO</v>
      </c>
      <c r="C206" s="13">
        <v>43728</v>
      </c>
      <c r="D206" s="26"/>
      <c r="E206" s="19">
        <v>1</v>
      </c>
      <c r="F206" s="15">
        <v>45</v>
      </c>
      <c r="G206" s="17">
        <v>970</v>
      </c>
      <c r="K206" s="18">
        <f t="shared" si="9"/>
        <v>970</v>
      </c>
      <c r="L206" s="21">
        <f>IF(ISERROR(VLOOKUP($F206,#REF!,6,0)*G206/1000),0,VLOOKUP($F206,#REF!,6,0)*G206/1000)</f>
        <v>0</v>
      </c>
      <c r="M206" s="21">
        <f>IF(ISERROR(VLOOKUP($F206,#REF!,6,0)*H206/1000),0,VLOOKUP($F206,#REF!,6,0)*H206/1000)</f>
        <v>0</v>
      </c>
      <c r="N206" s="21">
        <f>IF(ISERROR(VLOOKUP($F206,#REF!,6,0)*I206/1000),0,VLOOKUP($F206,#REF!,6,0)*I206/1000)</f>
        <v>0</v>
      </c>
      <c r="O206" s="21">
        <f>IF(ISERROR(VLOOKUP($F206,#REF!,6,0)*J206/1000),0,VLOOKUP($F206,#REF!,6,0)*J206/1000)</f>
        <v>0</v>
      </c>
      <c r="P206" s="21">
        <f>IF(ISERROR(VLOOKUP(F206,#REF!,6,0)*K206/1000),0,VLOOKUP(F206,#REF!,6,0)*K206/1000)</f>
        <v>0</v>
      </c>
      <c r="Q206" s="6">
        <f>IF(ISERROR(VLOOKUP(F206,#REF!,3,0)),0,VLOOKUP(F206,#REF!,3,0))</f>
        <v>0</v>
      </c>
      <c r="R206" s="6">
        <f>IF(ISERROR(VLOOKUP(F206,#REF!,4,0)),0,VLOOKUP(F206,#REF!,4,0))</f>
        <v>0</v>
      </c>
      <c r="S206" s="8">
        <f>IF(ISERROR(VLOOKUP(F206,#REF!,4,0)),0,VLOOKUP(F206,#REF!,10,0)/60*K206)</f>
        <v>0</v>
      </c>
      <c r="T206" s="3"/>
      <c r="U206" s="3"/>
      <c r="V206" s="4"/>
    </row>
    <row r="207" spans="1:22" x14ac:dyDescent="0.3">
      <c r="A207" s="5">
        <f t="shared" si="10"/>
        <v>2019</v>
      </c>
      <c r="B207" s="6" t="str">
        <f t="shared" si="11"/>
        <v>SETEMBRO</v>
      </c>
      <c r="C207" s="13">
        <v>43728</v>
      </c>
      <c r="D207" s="26"/>
      <c r="E207" s="19">
        <v>2</v>
      </c>
      <c r="F207" s="15">
        <v>45</v>
      </c>
      <c r="G207" s="17">
        <v>553</v>
      </c>
      <c r="H207" s="17">
        <v>367</v>
      </c>
      <c r="I207" s="17">
        <v>177</v>
      </c>
      <c r="K207" s="18">
        <f t="shared" si="9"/>
        <v>1097</v>
      </c>
      <c r="L207" s="21">
        <f>IF(ISERROR(VLOOKUP($F207,#REF!,6,0)*G207/1000),0,VLOOKUP($F207,#REF!,6,0)*G207/1000)</f>
        <v>0</v>
      </c>
      <c r="M207" s="21">
        <f>IF(ISERROR(VLOOKUP($F207,#REF!,6,0)*H207/1000),0,VLOOKUP($F207,#REF!,6,0)*H207/1000)</f>
        <v>0</v>
      </c>
      <c r="N207" s="21">
        <f>IF(ISERROR(VLOOKUP($F207,#REF!,6,0)*I207/1000),0,VLOOKUP($F207,#REF!,6,0)*I207/1000)</f>
        <v>0</v>
      </c>
      <c r="O207" s="21">
        <f>IF(ISERROR(VLOOKUP($F207,#REF!,6,0)*J207/1000),0,VLOOKUP($F207,#REF!,6,0)*J207/1000)</f>
        <v>0</v>
      </c>
      <c r="P207" s="21">
        <f>IF(ISERROR(VLOOKUP(F207,#REF!,6,0)*K207/1000),0,VLOOKUP(F207,#REF!,6,0)*K207/1000)</f>
        <v>0</v>
      </c>
      <c r="Q207" s="6">
        <f>IF(ISERROR(VLOOKUP(F207,#REF!,3,0)),0,VLOOKUP(F207,#REF!,3,0))</f>
        <v>0</v>
      </c>
      <c r="R207" s="6">
        <f>IF(ISERROR(VLOOKUP(F207,#REF!,4,0)),0,VLOOKUP(F207,#REF!,4,0))</f>
        <v>0</v>
      </c>
      <c r="S207" s="8">
        <f>IF(ISERROR(VLOOKUP(F207,#REF!,4,0)),0,VLOOKUP(F207,#REF!,10,0)/60*K207)</f>
        <v>0</v>
      </c>
      <c r="T207" s="3"/>
      <c r="U207" s="3"/>
      <c r="V207" s="4"/>
    </row>
    <row r="208" spans="1:22" x14ac:dyDescent="0.3">
      <c r="A208" s="5">
        <f t="shared" si="10"/>
        <v>2019</v>
      </c>
      <c r="B208" s="6" t="str">
        <f t="shared" si="11"/>
        <v>SETEMBRO</v>
      </c>
      <c r="C208" s="13">
        <v>43728</v>
      </c>
      <c r="D208" s="26"/>
      <c r="E208" s="19">
        <v>2</v>
      </c>
      <c r="F208" s="15">
        <v>55</v>
      </c>
      <c r="G208" s="17">
        <v>628</v>
      </c>
      <c r="H208" s="17">
        <v>998</v>
      </c>
      <c r="K208" s="18">
        <f t="shared" si="9"/>
        <v>1626</v>
      </c>
      <c r="L208" s="21">
        <f>IF(ISERROR(VLOOKUP($F208,#REF!,6,0)*G208/1000),0,VLOOKUP($F208,#REF!,6,0)*G208/1000)</f>
        <v>0</v>
      </c>
      <c r="M208" s="21">
        <f>IF(ISERROR(VLOOKUP($F208,#REF!,6,0)*H208/1000),0,VLOOKUP($F208,#REF!,6,0)*H208/1000)</f>
        <v>0</v>
      </c>
      <c r="N208" s="21">
        <f>IF(ISERROR(VLOOKUP($F208,#REF!,6,0)*I208/1000),0,VLOOKUP($F208,#REF!,6,0)*I208/1000)</f>
        <v>0</v>
      </c>
      <c r="O208" s="21">
        <f>IF(ISERROR(VLOOKUP($F208,#REF!,6,0)*J208/1000),0,VLOOKUP($F208,#REF!,6,0)*J208/1000)</f>
        <v>0</v>
      </c>
      <c r="P208" s="21">
        <f>IF(ISERROR(VLOOKUP(F208,#REF!,6,0)*K208/1000),0,VLOOKUP(F208,#REF!,6,0)*K208/1000)</f>
        <v>0</v>
      </c>
      <c r="Q208" s="6">
        <f>IF(ISERROR(VLOOKUP(F208,#REF!,3,0)),0,VLOOKUP(F208,#REF!,3,0))</f>
        <v>0</v>
      </c>
      <c r="R208" s="6">
        <f>IF(ISERROR(VLOOKUP(F208,#REF!,4,0)),0,VLOOKUP(F208,#REF!,4,0))</f>
        <v>0</v>
      </c>
      <c r="S208" s="8">
        <f>IF(ISERROR(VLOOKUP(F208,#REF!,4,0)),0,VLOOKUP(F208,#REF!,10,0)/60*K208)</f>
        <v>0</v>
      </c>
      <c r="T208" s="3"/>
      <c r="U208" s="3"/>
      <c r="V208" s="4"/>
    </row>
    <row r="209" spans="1:22" x14ac:dyDescent="0.3">
      <c r="A209" s="5">
        <f t="shared" si="10"/>
        <v>2019</v>
      </c>
      <c r="B209" s="6" t="str">
        <f t="shared" si="11"/>
        <v>SETEMBRO</v>
      </c>
      <c r="C209" s="13">
        <v>43728</v>
      </c>
      <c r="D209" s="26"/>
      <c r="E209" s="19">
        <v>2</v>
      </c>
      <c r="F209" s="15">
        <v>25</v>
      </c>
      <c r="G209" s="17">
        <v>2036</v>
      </c>
      <c r="I209" s="17">
        <v>362</v>
      </c>
      <c r="K209" s="18">
        <f t="shared" si="9"/>
        <v>2398</v>
      </c>
      <c r="L209" s="21">
        <f>IF(ISERROR(VLOOKUP($F209,#REF!,6,0)*G209/1000),0,VLOOKUP($F209,#REF!,6,0)*G209/1000)</f>
        <v>0</v>
      </c>
      <c r="M209" s="21">
        <f>IF(ISERROR(VLOOKUP($F209,#REF!,6,0)*H209/1000),0,VLOOKUP($F209,#REF!,6,0)*H209/1000)</f>
        <v>0</v>
      </c>
      <c r="N209" s="21">
        <f>IF(ISERROR(VLOOKUP($F209,#REF!,6,0)*I209/1000),0,VLOOKUP($F209,#REF!,6,0)*I209/1000)</f>
        <v>0</v>
      </c>
      <c r="O209" s="21">
        <f>IF(ISERROR(VLOOKUP($F209,#REF!,6,0)*J209/1000),0,VLOOKUP($F209,#REF!,6,0)*J209/1000)</f>
        <v>0</v>
      </c>
      <c r="P209" s="21">
        <f>IF(ISERROR(VLOOKUP(F209,#REF!,6,0)*K209/1000),0,VLOOKUP(F209,#REF!,6,0)*K209/1000)</f>
        <v>0</v>
      </c>
      <c r="Q209" s="6">
        <f>IF(ISERROR(VLOOKUP(F209,#REF!,3,0)),0,VLOOKUP(F209,#REF!,3,0))</f>
        <v>0</v>
      </c>
      <c r="R209" s="6">
        <f>IF(ISERROR(VLOOKUP(F209,#REF!,4,0)),0,VLOOKUP(F209,#REF!,4,0))</f>
        <v>0</v>
      </c>
      <c r="S209" s="8">
        <f>IF(ISERROR(VLOOKUP(F209,#REF!,4,0)),0,VLOOKUP(F209,#REF!,10,0)/60*K209)</f>
        <v>0</v>
      </c>
      <c r="T209" s="3"/>
      <c r="U209" s="3"/>
      <c r="V209" s="4"/>
    </row>
    <row r="210" spans="1:22" x14ac:dyDescent="0.3">
      <c r="A210" s="5">
        <f t="shared" si="10"/>
        <v>2019</v>
      </c>
      <c r="B210" s="6" t="str">
        <f t="shared" si="11"/>
        <v>SETEMBRO</v>
      </c>
      <c r="C210" s="13">
        <v>43728</v>
      </c>
      <c r="D210" s="26"/>
      <c r="E210" s="19">
        <v>3</v>
      </c>
      <c r="F210" s="15">
        <v>56</v>
      </c>
      <c r="G210" s="17">
        <v>1792</v>
      </c>
      <c r="H210" s="17">
        <v>1000</v>
      </c>
      <c r="I210" s="17">
        <v>130</v>
      </c>
      <c r="J210" s="17">
        <v>1250</v>
      </c>
      <c r="K210" s="18">
        <f t="shared" si="9"/>
        <v>4172</v>
      </c>
      <c r="L210" s="21">
        <f>IF(ISERROR(VLOOKUP($F210,#REF!,6,0)*G210/1000),0,VLOOKUP($F210,#REF!,6,0)*G210/1000)</f>
        <v>0</v>
      </c>
      <c r="M210" s="21">
        <f>IF(ISERROR(VLOOKUP($F210,#REF!,6,0)*H210/1000),0,VLOOKUP($F210,#REF!,6,0)*H210/1000)</f>
        <v>0</v>
      </c>
      <c r="N210" s="21">
        <f>IF(ISERROR(VLOOKUP($F210,#REF!,6,0)*I210/1000),0,VLOOKUP($F210,#REF!,6,0)*I210/1000)</f>
        <v>0</v>
      </c>
      <c r="O210" s="21">
        <f>IF(ISERROR(VLOOKUP($F210,#REF!,6,0)*J210/1000),0,VLOOKUP($F210,#REF!,6,0)*J210/1000)</f>
        <v>0</v>
      </c>
      <c r="P210" s="21">
        <f>IF(ISERROR(VLOOKUP(F210,#REF!,6,0)*K210/1000),0,VLOOKUP(F210,#REF!,6,0)*K210/1000)</f>
        <v>0</v>
      </c>
      <c r="Q210" s="6">
        <f>IF(ISERROR(VLOOKUP(F210,#REF!,3,0)),0,VLOOKUP(F210,#REF!,3,0))</f>
        <v>0</v>
      </c>
      <c r="R210" s="6">
        <f>IF(ISERROR(VLOOKUP(F210,#REF!,4,0)),0,VLOOKUP(F210,#REF!,4,0))</f>
        <v>0</v>
      </c>
      <c r="S210" s="8">
        <f>IF(ISERROR(VLOOKUP(F210,#REF!,4,0)),0,VLOOKUP(F210,#REF!,10,0)/60*K210)</f>
        <v>0</v>
      </c>
      <c r="T210" s="3"/>
      <c r="U210" s="3"/>
      <c r="V210" s="4"/>
    </row>
    <row r="211" spans="1:22" x14ac:dyDescent="0.3">
      <c r="A211" s="5">
        <f t="shared" si="10"/>
        <v>2019</v>
      </c>
      <c r="B211" s="6" t="str">
        <f t="shared" si="11"/>
        <v>SETEMBRO</v>
      </c>
      <c r="C211" s="13">
        <v>43729</v>
      </c>
      <c r="D211" s="26"/>
      <c r="E211" s="19">
        <v>1</v>
      </c>
      <c r="F211" s="15">
        <v>56</v>
      </c>
      <c r="G211" s="17">
        <v>1506</v>
      </c>
      <c r="H211" s="17">
        <v>800</v>
      </c>
      <c r="I211" s="17">
        <v>160</v>
      </c>
      <c r="J211" s="17">
        <v>240</v>
      </c>
      <c r="K211" s="18">
        <f t="shared" si="9"/>
        <v>2706</v>
      </c>
      <c r="L211" s="21">
        <f>IF(ISERROR(VLOOKUP($F211,#REF!,6,0)*G211/1000),0,VLOOKUP($F211,#REF!,6,0)*G211/1000)</f>
        <v>0</v>
      </c>
      <c r="M211" s="21">
        <f>IF(ISERROR(VLOOKUP($F211,#REF!,6,0)*H211/1000),0,VLOOKUP($F211,#REF!,6,0)*H211/1000)</f>
        <v>0</v>
      </c>
      <c r="N211" s="21">
        <f>IF(ISERROR(VLOOKUP($F211,#REF!,6,0)*I211/1000),0,VLOOKUP($F211,#REF!,6,0)*I211/1000)</f>
        <v>0</v>
      </c>
      <c r="O211" s="21">
        <f>IF(ISERROR(VLOOKUP($F211,#REF!,6,0)*J211/1000),0,VLOOKUP($F211,#REF!,6,0)*J211/1000)</f>
        <v>0</v>
      </c>
      <c r="P211" s="21">
        <f>IF(ISERROR(VLOOKUP(F211,#REF!,6,0)*K211/1000),0,VLOOKUP(F211,#REF!,6,0)*K211/1000)</f>
        <v>0</v>
      </c>
      <c r="Q211" s="6">
        <f>IF(ISERROR(VLOOKUP(F211,#REF!,3,0)),0,VLOOKUP(F211,#REF!,3,0))</f>
        <v>0</v>
      </c>
      <c r="R211" s="6">
        <f>IF(ISERROR(VLOOKUP(F211,#REF!,4,0)),0,VLOOKUP(F211,#REF!,4,0))</f>
        <v>0</v>
      </c>
      <c r="S211" s="8">
        <f>IF(ISERROR(VLOOKUP(F211,#REF!,4,0)),0,VLOOKUP(F211,#REF!,10,0)/60*K211)</f>
        <v>0</v>
      </c>
      <c r="T211" s="3"/>
      <c r="U211" s="3"/>
      <c r="V211" s="4"/>
    </row>
    <row r="212" spans="1:22" x14ac:dyDescent="0.3">
      <c r="A212" s="5">
        <f t="shared" si="10"/>
        <v>2019</v>
      </c>
      <c r="B212" s="6" t="str">
        <f t="shared" si="11"/>
        <v>SETEMBRO</v>
      </c>
      <c r="C212" s="13">
        <v>43729</v>
      </c>
      <c r="D212" s="26"/>
      <c r="E212" s="19">
        <v>1</v>
      </c>
      <c r="F212" s="15">
        <v>31</v>
      </c>
      <c r="G212" s="17">
        <v>2400</v>
      </c>
      <c r="J212" s="17">
        <v>80</v>
      </c>
      <c r="K212" s="18">
        <f t="shared" si="9"/>
        <v>2480</v>
      </c>
      <c r="L212" s="21">
        <f>IF(ISERROR(VLOOKUP($F212,#REF!,6,0)*G212/1000),0,VLOOKUP($F212,#REF!,6,0)*G212/1000)</f>
        <v>0</v>
      </c>
      <c r="M212" s="21">
        <f>IF(ISERROR(VLOOKUP($F212,#REF!,6,0)*H212/1000),0,VLOOKUP($F212,#REF!,6,0)*H212/1000)</f>
        <v>0</v>
      </c>
      <c r="N212" s="21">
        <f>IF(ISERROR(VLOOKUP($F212,#REF!,6,0)*I212/1000),0,VLOOKUP($F212,#REF!,6,0)*I212/1000)</f>
        <v>0</v>
      </c>
      <c r="O212" s="21">
        <f>IF(ISERROR(VLOOKUP($F212,#REF!,6,0)*J212/1000),0,VLOOKUP($F212,#REF!,6,0)*J212/1000)</f>
        <v>0</v>
      </c>
      <c r="P212" s="21">
        <f>IF(ISERROR(VLOOKUP(F212,#REF!,6,0)*K212/1000),0,VLOOKUP(F212,#REF!,6,0)*K212/1000)</f>
        <v>0</v>
      </c>
      <c r="Q212" s="6">
        <f>IF(ISERROR(VLOOKUP(F212,#REF!,3,0)),0,VLOOKUP(F212,#REF!,3,0))</f>
        <v>0</v>
      </c>
      <c r="R212" s="6">
        <f>IF(ISERROR(VLOOKUP(F212,#REF!,4,0)),0,VLOOKUP(F212,#REF!,4,0))</f>
        <v>0</v>
      </c>
      <c r="S212" s="8">
        <f>IF(ISERROR(VLOOKUP(F212,#REF!,4,0)),0,VLOOKUP(F212,#REF!,10,0)/60*K212)</f>
        <v>0</v>
      </c>
      <c r="T212" s="3"/>
      <c r="U212" s="3"/>
      <c r="V212" s="4"/>
    </row>
    <row r="213" spans="1:22" x14ac:dyDescent="0.3">
      <c r="A213" s="5">
        <f t="shared" si="10"/>
        <v>2019</v>
      </c>
      <c r="B213" s="6" t="str">
        <f t="shared" si="11"/>
        <v>SETEMBRO</v>
      </c>
      <c r="C213" s="13">
        <v>43729</v>
      </c>
      <c r="D213" s="26"/>
      <c r="E213" s="19">
        <v>1</v>
      </c>
      <c r="F213" s="15">
        <v>32</v>
      </c>
      <c r="G213" s="17">
        <v>585</v>
      </c>
      <c r="H213" s="17">
        <v>50</v>
      </c>
      <c r="J213" s="17">
        <v>15</v>
      </c>
      <c r="K213" s="18">
        <f t="shared" si="9"/>
        <v>650</v>
      </c>
      <c r="L213" s="21">
        <f>IF(ISERROR(VLOOKUP($F213,#REF!,6,0)*G213/1000),0,VLOOKUP($F213,#REF!,6,0)*G213/1000)</f>
        <v>0</v>
      </c>
      <c r="M213" s="21">
        <f>IF(ISERROR(VLOOKUP($F213,#REF!,6,0)*H213/1000),0,VLOOKUP($F213,#REF!,6,0)*H213/1000)</f>
        <v>0</v>
      </c>
      <c r="N213" s="21">
        <f>IF(ISERROR(VLOOKUP($F213,#REF!,6,0)*I213/1000),0,VLOOKUP($F213,#REF!,6,0)*I213/1000)</f>
        <v>0</v>
      </c>
      <c r="O213" s="21">
        <f>IF(ISERROR(VLOOKUP($F213,#REF!,6,0)*J213/1000),0,VLOOKUP($F213,#REF!,6,0)*J213/1000)</f>
        <v>0</v>
      </c>
      <c r="P213" s="21">
        <f>IF(ISERROR(VLOOKUP(F213,#REF!,6,0)*K213/1000),0,VLOOKUP(F213,#REF!,6,0)*K213/1000)</f>
        <v>0</v>
      </c>
      <c r="Q213" s="6">
        <f>IF(ISERROR(VLOOKUP(F213,#REF!,3,0)),0,VLOOKUP(F213,#REF!,3,0))</f>
        <v>0</v>
      </c>
      <c r="R213" s="6">
        <f>IF(ISERROR(VLOOKUP(F213,#REF!,4,0)),0,VLOOKUP(F213,#REF!,4,0))</f>
        <v>0</v>
      </c>
      <c r="S213" s="8">
        <f>IF(ISERROR(VLOOKUP(F213,#REF!,4,0)),0,VLOOKUP(F213,#REF!,10,0)/60*K213)</f>
        <v>0</v>
      </c>
      <c r="T213" s="3"/>
      <c r="U213" s="3"/>
      <c r="V213" s="4"/>
    </row>
    <row r="214" spans="1:22" x14ac:dyDescent="0.3">
      <c r="A214" s="5">
        <f t="shared" si="10"/>
        <v>2019</v>
      </c>
      <c r="B214" s="6" t="str">
        <f t="shared" si="11"/>
        <v>SETEMBRO</v>
      </c>
      <c r="C214" s="13">
        <v>43729</v>
      </c>
      <c r="D214" s="26"/>
      <c r="E214" s="19">
        <v>1</v>
      </c>
      <c r="F214" s="15">
        <v>25</v>
      </c>
      <c r="G214" s="17">
        <v>518</v>
      </c>
      <c r="K214" s="18">
        <f t="shared" si="9"/>
        <v>518</v>
      </c>
      <c r="L214" s="21">
        <f>IF(ISERROR(VLOOKUP($F214,#REF!,6,0)*G214/1000),0,VLOOKUP($F214,#REF!,6,0)*G214/1000)</f>
        <v>0</v>
      </c>
      <c r="M214" s="21">
        <f>IF(ISERROR(VLOOKUP($F214,#REF!,6,0)*H214/1000),0,VLOOKUP($F214,#REF!,6,0)*H214/1000)</f>
        <v>0</v>
      </c>
      <c r="N214" s="21">
        <f>IF(ISERROR(VLOOKUP($F214,#REF!,6,0)*I214/1000),0,VLOOKUP($F214,#REF!,6,0)*I214/1000)</f>
        <v>0</v>
      </c>
      <c r="O214" s="21">
        <f>IF(ISERROR(VLOOKUP($F214,#REF!,6,0)*J214/1000),0,VLOOKUP($F214,#REF!,6,0)*J214/1000)</f>
        <v>0</v>
      </c>
      <c r="P214" s="21">
        <f>IF(ISERROR(VLOOKUP(F214,#REF!,6,0)*K214/1000),0,VLOOKUP(F214,#REF!,6,0)*K214/1000)</f>
        <v>0</v>
      </c>
      <c r="Q214" s="6">
        <f>IF(ISERROR(VLOOKUP(F214,#REF!,3,0)),0,VLOOKUP(F214,#REF!,3,0))</f>
        <v>0</v>
      </c>
      <c r="R214" s="6">
        <f>IF(ISERROR(VLOOKUP(F214,#REF!,4,0)),0,VLOOKUP(F214,#REF!,4,0))</f>
        <v>0</v>
      </c>
      <c r="S214" s="8">
        <f>IF(ISERROR(VLOOKUP(F214,#REF!,4,0)),0,VLOOKUP(F214,#REF!,10,0)/60*K214)</f>
        <v>0</v>
      </c>
      <c r="T214" s="3"/>
      <c r="U214" s="3"/>
      <c r="V214" s="4"/>
    </row>
    <row r="215" spans="1:22" x14ac:dyDescent="0.3">
      <c r="A215" s="5">
        <f t="shared" si="10"/>
        <v>2019</v>
      </c>
      <c r="B215" s="6" t="str">
        <f t="shared" si="11"/>
        <v>SETEMBRO</v>
      </c>
      <c r="C215" s="13">
        <v>43729</v>
      </c>
      <c r="D215" s="26"/>
      <c r="E215" s="19">
        <v>1</v>
      </c>
      <c r="F215" s="15">
        <v>55</v>
      </c>
      <c r="G215" s="17">
        <v>1084</v>
      </c>
      <c r="H215" s="17">
        <v>720</v>
      </c>
      <c r="K215" s="18">
        <f t="shared" si="9"/>
        <v>1804</v>
      </c>
      <c r="L215" s="21">
        <f>IF(ISERROR(VLOOKUP($F215,#REF!,6,0)*G215/1000),0,VLOOKUP($F215,#REF!,6,0)*G215/1000)</f>
        <v>0</v>
      </c>
      <c r="M215" s="21">
        <f>IF(ISERROR(VLOOKUP($F215,#REF!,6,0)*H215/1000),0,VLOOKUP($F215,#REF!,6,0)*H215/1000)</f>
        <v>0</v>
      </c>
      <c r="N215" s="21">
        <f>IF(ISERROR(VLOOKUP($F215,#REF!,6,0)*I215/1000),0,VLOOKUP($F215,#REF!,6,0)*I215/1000)</f>
        <v>0</v>
      </c>
      <c r="O215" s="21">
        <f>IF(ISERROR(VLOOKUP($F215,#REF!,6,0)*J215/1000),0,VLOOKUP($F215,#REF!,6,0)*J215/1000)</f>
        <v>0</v>
      </c>
      <c r="P215" s="21">
        <f>IF(ISERROR(VLOOKUP(F215,#REF!,6,0)*K215/1000),0,VLOOKUP(F215,#REF!,6,0)*K215/1000)</f>
        <v>0</v>
      </c>
      <c r="Q215" s="6">
        <f>IF(ISERROR(VLOOKUP(F215,#REF!,3,0)),0,VLOOKUP(F215,#REF!,3,0))</f>
        <v>0</v>
      </c>
      <c r="R215" s="6">
        <f>IF(ISERROR(VLOOKUP(F215,#REF!,4,0)),0,VLOOKUP(F215,#REF!,4,0))</f>
        <v>0</v>
      </c>
      <c r="S215" s="8">
        <f>IF(ISERROR(VLOOKUP(F215,#REF!,4,0)),0,VLOOKUP(F215,#REF!,10,0)/60*K215)</f>
        <v>0</v>
      </c>
      <c r="T215" s="3"/>
      <c r="U215" s="3"/>
      <c r="V215" s="4"/>
    </row>
    <row r="216" spans="1:22" x14ac:dyDescent="0.3">
      <c r="A216" s="5">
        <f t="shared" si="10"/>
        <v>2019</v>
      </c>
      <c r="B216" s="6" t="str">
        <f t="shared" si="11"/>
        <v>SETEMBRO</v>
      </c>
      <c r="C216" s="13">
        <v>43731</v>
      </c>
      <c r="D216" s="26"/>
      <c r="E216" s="19">
        <v>1</v>
      </c>
      <c r="F216" s="15">
        <v>3</v>
      </c>
      <c r="G216" s="17">
        <v>1296</v>
      </c>
      <c r="I216" s="17">
        <v>15</v>
      </c>
      <c r="J216" s="17">
        <v>200</v>
      </c>
      <c r="K216" s="18">
        <f t="shared" si="9"/>
        <v>1511</v>
      </c>
      <c r="L216" s="21">
        <f>IF(ISERROR(VLOOKUP($F216,#REF!,6,0)*G216/1000),0,VLOOKUP($F216,#REF!,6,0)*G216/1000)</f>
        <v>0</v>
      </c>
      <c r="M216" s="21">
        <f>IF(ISERROR(VLOOKUP($F216,#REF!,6,0)*H216/1000),0,VLOOKUP($F216,#REF!,6,0)*H216/1000)</f>
        <v>0</v>
      </c>
      <c r="N216" s="21">
        <f>IF(ISERROR(VLOOKUP($F216,#REF!,6,0)*I216/1000),0,VLOOKUP($F216,#REF!,6,0)*I216/1000)</f>
        <v>0</v>
      </c>
      <c r="O216" s="21">
        <f>IF(ISERROR(VLOOKUP($F216,#REF!,6,0)*J216/1000),0,VLOOKUP($F216,#REF!,6,0)*J216/1000)</f>
        <v>0</v>
      </c>
      <c r="P216" s="21">
        <f>IF(ISERROR(VLOOKUP(F216,#REF!,6,0)*K216/1000),0,VLOOKUP(F216,#REF!,6,0)*K216/1000)</f>
        <v>0</v>
      </c>
      <c r="Q216" s="6">
        <f>IF(ISERROR(VLOOKUP(F216,#REF!,3,0)),0,VLOOKUP(F216,#REF!,3,0))</f>
        <v>0</v>
      </c>
      <c r="R216" s="6">
        <f>IF(ISERROR(VLOOKUP(F216,#REF!,4,0)),0,VLOOKUP(F216,#REF!,4,0))</f>
        <v>0</v>
      </c>
      <c r="S216" s="8">
        <f>IF(ISERROR(VLOOKUP(F216,#REF!,4,0)),0,VLOOKUP(F216,#REF!,10,0)/60*K216)</f>
        <v>0</v>
      </c>
      <c r="T216" s="3"/>
      <c r="U216" s="3"/>
      <c r="V216" s="4"/>
    </row>
    <row r="217" spans="1:22" x14ac:dyDescent="0.3">
      <c r="A217" s="5">
        <f t="shared" si="10"/>
        <v>2019</v>
      </c>
      <c r="B217" s="6" t="str">
        <f t="shared" si="11"/>
        <v>SETEMBRO</v>
      </c>
      <c r="C217" s="13">
        <v>43731</v>
      </c>
      <c r="D217" s="26"/>
      <c r="E217" s="19">
        <v>1</v>
      </c>
      <c r="F217" s="15">
        <v>56</v>
      </c>
      <c r="G217" s="17">
        <v>564</v>
      </c>
      <c r="H217" s="17">
        <v>240</v>
      </c>
      <c r="I217" s="17">
        <v>20</v>
      </c>
      <c r="J217" s="17">
        <v>160</v>
      </c>
      <c r="K217" s="18">
        <f t="shared" si="9"/>
        <v>984</v>
      </c>
      <c r="L217" s="21">
        <f>IF(ISERROR(VLOOKUP($F217,#REF!,6,0)*G217/1000),0,VLOOKUP($F217,#REF!,6,0)*G217/1000)</f>
        <v>0</v>
      </c>
      <c r="M217" s="21">
        <f>IF(ISERROR(VLOOKUP($F217,#REF!,6,0)*H217/1000),0,VLOOKUP($F217,#REF!,6,0)*H217/1000)</f>
        <v>0</v>
      </c>
      <c r="N217" s="21">
        <f>IF(ISERROR(VLOOKUP($F217,#REF!,6,0)*I217/1000),0,VLOOKUP($F217,#REF!,6,0)*I217/1000)</f>
        <v>0</v>
      </c>
      <c r="O217" s="21">
        <f>IF(ISERROR(VLOOKUP($F217,#REF!,6,0)*J217/1000),0,VLOOKUP($F217,#REF!,6,0)*J217/1000)</f>
        <v>0</v>
      </c>
      <c r="P217" s="21">
        <f>IF(ISERROR(VLOOKUP(F217,#REF!,6,0)*K217/1000),0,VLOOKUP(F217,#REF!,6,0)*K217/1000)</f>
        <v>0</v>
      </c>
      <c r="Q217" s="6">
        <f>IF(ISERROR(VLOOKUP(F217,#REF!,3,0)),0,VLOOKUP(F217,#REF!,3,0))</f>
        <v>0</v>
      </c>
      <c r="R217" s="6">
        <f>IF(ISERROR(VLOOKUP(F217,#REF!,4,0)),0,VLOOKUP(F217,#REF!,4,0))</f>
        <v>0</v>
      </c>
      <c r="S217" s="8">
        <f>IF(ISERROR(VLOOKUP(F217,#REF!,4,0)),0,VLOOKUP(F217,#REF!,10,0)/60*K217)</f>
        <v>0</v>
      </c>
      <c r="T217" s="3"/>
      <c r="U217" s="3"/>
      <c r="V217" s="4"/>
    </row>
    <row r="218" spans="1:22" x14ac:dyDescent="0.3">
      <c r="A218" s="5">
        <f t="shared" si="10"/>
        <v>2019</v>
      </c>
      <c r="B218" s="6" t="str">
        <f t="shared" si="11"/>
        <v>SETEMBRO</v>
      </c>
      <c r="C218" s="13">
        <v>43731</v>
      </c>
      <c r="D218" s="26"/>
      <c r="E218" s="19">
        <v>1</v>
      </c>
      <c r="F218" s="15">
        <v>3</v>
      </c>
      <c r="G218" s="17">
        <v>864</v>
      </c>
      <c r="I218" s="17">
        <v>46</v>
      </c>
      <c r="J218" s="17">
        <v>52</v>
      </c>
      <c r="K218" s="18">
        <f t="shared" si="9"/>
        <v>962</v>
      </c>
      <c r="L218" s="21">
        <f>IF(ISERROR(VLOOKUP($F218,#REF!,6,0)*G218/1000),0,VLOOKUP($F218,#REF!,6,0)*G218/1000)</f>
        <v>0</v>
      </c>
      <c r="M218" s="21">
        <f>IF(ISERROR(VLOOKUP($F218,#REF!,6,0)*H218/1000),0,VLOOKUP($F218,#REF!,6,0)*H218/1000)</f>
        <v>0</v>
      </c>
      <c r="N218" s="21">
        <f>IF(ISERROR(VLOOKUP($F218,#REF!,6,0)*I218/1000),0,VLOOKUP($F218,#REF!,6,0)*I218/1000)</f>
        <v>0</v>
      </c>
      <c r="O218" s="21">
        <f>IF(ISERROR(VLOOKUP($F218,#REF!,6,0)*J218/1000),0,VLOOKUP($F218,#REF!,6,0)*J218/1000)</f>
        <v>0</v>
      </c>
      <c r="P218" s="21">
        <f>IF(ISERROR(VLOOKUP(F218,#REF!,6,0)*K218/1000),0,VLOOKUP(F218,#REF!,6,0)*K218/1000)</f>
        <v>0</v>
      </c>
      <c r="Q218" s="6">
        <f>IF(ISERROR(VLOOKUP(F218,#REF!,3,0)),0,VLOOKUP(F218,#REF!,3,0))</f>
        <v>0</v>
      </c>
      <c r="R218" s="6">
        <f>IF(ISERROR(VLOOKUP(F218,#REF!,4,0)),0,VLOOKUP(F218,#REF!,4,0))</f>
        <v>0</v>
      </c>
      <c r="S218" s="8">
        <f>IF(ISERROR(VLOOKUP(F218,#REF!,4,0)),0,VLOOKUP(F218,#REF!,10,0)/60*K218)</f>
        <v>0</v>
      </c>
      <c r="T218" s="3"/>
      <c r="U218" s="3"/>
      <c r="V218" s="4"/>
    </row>
    <row r="219" spans="1:22" x14ac:dyDescent="0.3">
      <c r="A219" s="5">
        <f t="shared" si="10"/>
        <v>2019</v>
      </c>
      <c r="B219" s="6" t="str">
        <f t="shared" si="11"/>
        <v>SETEMBRO</v>
      </c>
      <c r="C219" s="13">
        <v>43731</v>
      </c>
      <c r="D219" s="26"/>
      <c r="E219" s="19">
        <v>1</v>
      </c>
      <c r="F219" s="15">
        <v>48</v>
      </c>
      <c r="G219" s="17">
        <v>1389</v>
      </c>
      <c r="H219" s="17">
        <v>300</v>
      </c>
      <c r="I219" s="17">
        <v>250</v>
      </c>
      <c r="K219" s="18">
        <f t="shared" si="9"/>
        <v>1939</v>
      </c>
      <c r="L219" s="21">
        <f>IF(ISERROR(VLOOKUP($F219,#REF!,6,0)*G219/1000),0,VLOOKUP($F219,#REF!,6,0)*G219/1000)</f>
        <v>0</v>
      </c>
      <c r="M219" s="21">
        <f>IF(ISERROR(VLOOKUP($F219,#REF!,6,0)*H219/1000),0,VLOOKUP($F219,#REF!,6,0)*H219/1000)</f>
        <v>0</v>
      </c>
      <c r="N219" s="21">
        <f>IF(ISERROR(VLOOKUP($F219,#REF!,6,0)*I219/1000),0,VLOOKUP($F219,#REF!,6,0)*I219/1000)</f>
        <v>0</v>
      </c>
      <c r="O219" s="21">
        <f>IF(ISERROR(VLOOKUP($F219,#REF!,6,0)*J219/1000),0,VLOOKUP($F219,#REF!,6,0)*J219/1000)</f>
        <v>0</v>
      </c>
      <c r="P219" s="21">
        <f>IF(ISERROR(VLOOKUP(F219,#REF!,6,0)*K219/1000),0,VLOOKUP(F219,#REF!,6,0)*K219/1000)</f>
        <v>0</v>
      </c>
      <c r="Q219" s="6">
        <f>IF(ISERROR(VLOOKUP(F219,#REF!,3,0)),0,VLOOKUP(F219,#REF!,3,0))</f>
        <v>0</v>
      </c>
      <c r="R219" s="6">
        <f>IF(ISERROR(VLOOKUP(F219,#REF!,4,0)),0,VLOOKUP(F219,#REF!,4,0))</f>
        <v>0</v>
      </c>
      <c r="S219" s="8">
        <f>IF(ISERROR(VLOOKUP(F219,#REF!,4,0)),0,VLOOKUP(F219,#REF!,10,0)/60*K219)</f>
        <v>0</v>
      </c>
      <c r="T219" s="3"/>
      <c r="U219" s="3"/>
      <c r="V219" s="4"/>
    </row>
    <row r="220" spans="1:22" x14ac:dyDescent="0.3">
      <c r="A220" s="5">
        <f t="shared" si="10"/>
        <v>2019</v>
      </c>
      <c r="B220" s="6" t="str">
        <f t="shared" si="11"/>
        <v>SETEMBRO</v>
      </c>
      <c r="C220" s="13">
        <v>43731</v>
      </c>
      <c r="D220" s="26"/>
      <c r="E220" s="19">
        <v>1</v>
      </c>
      <c r="F220" s="15">
        <v>25</v>
      </c>
      <c r="G220" s="17">
        <v>35</v>
      </c>
      <c r="H220" s="17">
        <v>80</v>
      </c>
      <c r="I220" s="17">
        <v>100</v>
      </c>
      <c r="K220" s="18">
        <f t="shared" si="9"/>
        <v>215</v>
      </c>
      <c r="L220" s="21">
        <f>IF(ISERROR(VLOOKUP($F220,#REF!,6,0)*G220/1000),0,VLOOKUP($F220,#REF!,6,0)*G220/1000)</f>
        <v>0</v>
      </c>
      <c r="M220" s="21">
        <f>IF(ISERROR(VLOOKUP($F220,#REF!,6,0)*H220/1000),0,VLOOKUP($F220,#REF!,6,0)*H220/1000)</f>
        <v>0</v>
      </c>
      <c r="N220" s="21">
        <f>IF(ISERROR(VLOOKUP($F220,#REF!,6,0)*I220/1000),0,VLOOKUP($F220,#REF!,6,0)*I220/1000)</f>
        <v>0</v>
      </c>
      <c r="O220" s="21">
        <f>IF(ISERROR(VLOOKUP($F220,#REF!,6,0)*J220/1000),0,VLOOKUP($F220,#REF!,6,0)*J220/1000)</f>
        <v>0</v>
      </c>
      <c r="P220" s="21">
        <f>IF(ISERROR(VLOOKUP(F220,#REF!,6,0)*K220/1000),0,VLOOKUP(F220,#REF!,6,0)*K220/1000)</f>
        <v>0</v>
      </c>
      <c r="Q220" s="6">
        <f>IF(ISERROR(VLOOKUP(F220,#REF!,3,0)),0,VLOOKUP(F220,#REF!,3,0))</f>
        <v>0</v>
      </c>
      <c r="R220" s="6">
        <f>IF(ISERROR(VLOOKUP(F220,#REF!,4,0)),0,VLOOKUP(F220,#REF!,4,0))</f>
        <v>0</v>
      </c>
      <c r="S220" s="8">
        <f>IF(ISERROR(VLOOKUP(F220,#REF!,4,0)),0,VLOOKUP(F220,#REF!,10,0)/60*K220)</f>
        <v>0</v>
      </c>
      <c r="T220" s="3"/>
      <c r="U220" s="3"/>
      <c r="V220" s="4"/>
    </row>
    <row r="221" spans="1:22" x14ac:dyDescent="0.3">
      <c r="A221" s="5">
        <f t="shared" si="10"/>
        <v>2019</v>
      </c>
      <c r="B221" s="6" t="str">
        <f t="shared" si="11"/>
        <v>SETEMBRO</v>
      </c>
      <c r="C221" s="13">
        <v>43731</v>
      </c>
      <c r="D221" s="26"/>
      <c r="E221" s="19">
        <v>1</v>
      </c>
      <c r="F221" s="15">
        <v>55</v>
      </c>
      <c r="G221" s="17">
        <v>1087</v>
      </c>
      <c r="H221" s="17">
        <v>614</v>
      </c>
      <c r="I221" s="17">
        <v>250</v>
      </c>
      <c r="K221" s="18">
        <f t="shared" si="9"/>
        <v>1951</v>
      </c>
      <c r="L221" s="21">
        <f>IF(ISERROR(VLOOKUP($F221,#REF!,6,0)*G221/1000),0,VLOOKUP($F221,#REF!,6,0)*G221/1000)</f>
        <v>0</v>
      </c>
      <c r="M221" s="21">
        <f>IF(ISERROR(VLOOKUP($F221,#REF!,6,0)*H221/1000),0,VLOOKUP($F221,#REF!,6,0)*H221/1000)</f>
        <v>0</v>
      </c>
      <c r="N221" s="21">
        <f>IF(ISERROR(VLOOKUP($F221,#REF!,6,0)*I221/1000),0,VLOOKUP($F221,#REF!,6,0)*I221/1000)</f>
        <v>0</v>
      </c>
      <c r="O221" s="21">
        <f>IF(ISERROR(VLOOKUP($F221,#REF!,6,0)*J221/1000),0,VLOOKUP($F221,#REF!,6,0)*J221/1000)</f>
        <v>0</v>
      </c>
      <c r="P221" s="21">
        <f>IF(ISERROR(VLOOKUP(F221,#REF!,6,0)*K221/1000),0,VLOOKUP(F221,#REF!,6,0)*K221/1000)</f>
        <v>0</v>
      </c>
      <c r="Q221" s="6">
        <f>IF(ISERROR(VLOOKUP(F221,#REF!,3,0)),0,VLOOKUP(F221,#REF!,3,0))</f>
        <v>0</v>
      </c>
      <c r="R221" s="6">
        <f>IF(ISERROR(VLOOKUP(F221,#REF!,4,0)),0,VLOOKUP(F221,#REF!,4,0))</f>
        <v>0</v>
      </c>
      <c r="S221" s="8">
        <f>IF(ISERROR(VLOOKUP(F221,#REF!,4,0)),0,VLOOKUP(F221,#REF!,10,0)/60*K221)</f>
        <v>0</v>
      </c>
      <c r="T221" s="3"/>
      <c r="U221" s="3"/>
      <c r="V221" s="4"/>
    </row>
    <row r="222" spans="1:22" x14ac:dyDescent="0.3">
      <c r="A222" s="5">
        <f t="shared" si="10"/>
        <v>2019</v>
      </c>
      <c r="B222" s="6" t="str">
        <f t="shared" si="11"/>
        <v>SETEMBRO</v>
      </c>
      <c r="C222" s="13">
        <v>43731</v>
      </c>
      <c r="D222" s="26"/>
      <c r="E222" s="19">
        <v>1</v>
      </c>
      <c r="F222" s="15">
        <v>24</v>
      </c>
      <c r="H222" s="17">
        <v>545</v>
      </c>
      <c r="K222" s="18">
        <f t="shared" si="9"/>
        <v>545</v>
      </c>
      <c r="L222" s="21">
        <f>IF(ISERROR(VLOOKUP($F222,#REF!,6,0)*G222/1000),0,VLOOKUP($F222,#REF!,6,0)*G222/1000)</f>
        <v>0</v>
      </c>
      <c r="M222" s="21">
        <f>IF(ISERROR(VLOOKUP($F222,#REF!,6,0)*H222/1000),0,VLOOKUP($F222,#REF!,6,0)*H222/1000)</f>
        <v>0</v>
      </c>
      <c r="N222" s="21">
        <f>IF(ISERROR(VLOOKUP($F222,#REF!,6,0)*I222/1000),0,VLOOKUP($F222,#REF!,6,0)*I222/1000)</f>
        <v>0</v>
      </c>
      <c r="O222" s="21">
        <f>IF(ISERROR(VLOOKUP($F222,#REF!,6,0)*J222/1000),0,VLOOKUP($F222,#REF!,6,0)*J222/1000)</f>
        <v>0</v>
      </c>
      <c r="P222" s="21">
        <f>IF(ISERROR(VLOOKUP(F222,#REF!,6,0)*K222/1000),0,VLOOKUP(F222,#REF!,6,0)*K222/1000)</f>
        <v>0</v>
      </c>
      <c r="Q222" s="6">
        <f>IF(ISERROR(VLOOKUP(F222,#REF!,3,0)),0,VLOOKUP(F222,#REF!,3,0))</f>
        <v>0</v>
      </c>
      <c r="R222" s="6">
        <f>IF(ISERROR(VLOOKUP(F222,#REF!,4,0)),0,VLOOKUP(F222,#REF!,4,0))</f>
        <v>0</v>
      </c>
      <c r="S222" s="8">
        <f>IF(ISERROR(VLOOKUP(F222,#REF!,4,0)),0,VLOOKUP(F222,#REF!,10,0)/60*K222)</f>
        <v>0</v>
      </c>
      <c r="T222" s="3"/>
      <c r="U222" s="3"/>
      <c r="V222" s="4"/>
    </row>
    <row r="223" spans="1:22" x14ac:dyDescent="0.3">
      <c r="A223" s="5">
        <f t="shared" si="10"/>
        <v>2019</v>
      </c>
      <c r="B223" s="6" t="str">
        <f t="shared" si="11"/>
        <v>SETEMBRO</v>
      </c>
      <c r="C223" s="13">
        <v>43731</v>
      </c>
      <c r="D223" s="26"/>
      <c r="E223" s="19">
        <v>1</v>
      </c>
      <c r="F223" s="15">
        <v>48</v>
      </c>
      <c r="G223" s="17">
        <v>774</v>
      </c>
      <c r="H223" s="17">
        <v>751</v>
      </c>
      <c r="I223" s="17">
        <v>726</v>
      </c>
      <c r="K223" s="18">
        <f t="shared" si="9"/>
        <v>2251</v>
      </c>
      <c r="L223" s="21">
        <f>IF(ISERROR(VLOOKUP($F223,#REF!,6,0)*G223/1000),0,VLOOKUP($F223,#REF!,6,0)*G223/1000)</f>
        <v>0</v>
      </c>
      <c r="M223" s="21">
        <f>IF(ISERROR(VLOOKUP($F223,#REF!,6,0)*H223/1000),0,VLOOKUP($F223,#REF!,6,0)*H223/1000)</f>
        <v>0</v>
      </c>
      <c r="N223" s="21">
        <f>IF(ISERROR(VLOOKUP($F223,#REF!,6,0)*I223/1000),0,VLOOKUP($F223,#REF!,6,0)*I223/1000)</f>
        <v>0</v>
      </c>
      <c r="O223" s="21">
        <f>IF(ISERROR(VLOOKUP($F223,#REF!,6,0)*J223/1000),0,VLOOKUP($F223,#REF!,6,0)*J223/1000)</f>
        <v>0</v>
      </c>
      <c r="P223" s="21">
        <f>IF(ISERROR(VLOOKUP(F223,#REF!,6,0)*K223/1000),0,VLOOKUP(F223,#REF!,6,0)*K223/1000)</f>
        <v>0</v>
      </c>
      <c r="Q223" s="6">
        <f>IF(ISERROR(VLOOKUP(F223,#REF!,3,0)),0,VLOOKUP(F223,#REF!,3,0))</f>
        <v>0</v>
      </c>
      <c r="R223" s="6">
        <f>IF(ISERROR(VLOOKUP(F223,#REF!,4,0)),0,VLOOKUP(F223,#REF!,4,0))</f>
        <v>0</v>
      </c>
      <c r="S223" s="8">
        <f>IF(ISERROR(VLOOKUP(F223,#REF!,4,0)),0,VLOOKUP(F223,#REF!,10,0)/60*K223)</f>
        <v>0</v>
      </c>
      <c r="T223" s="3"/>
      <c r="U223" s="3"/>
      <c r="V223" s="4"/>
    </row>
    <row r="224" spans="1:22" x14ac:dyDescent="0.3">
      <c r="A224" s="5">
        <f t="shared" si="10"/>
        <v>2019</v>
      </c>
      <c r="B224" s="6" t="str">
        <f t="shared" si="11"/>
        <v>SETEMBRO</v>
      </c>
      <c r="C224" s="13">
        <v>43731</v>
      </c>
      <c r="D224" s="26"/>
      <c r="E224" s="19">
        <v>1</v>
      </c>
      <c r="F224" s="15">
        <v>26</v>
      </c>
      <c r="G224" s="17">
        <v>943</v>
      </c>
      <c r="K224" s="18">
        <f t="shared" si="9"/>
        <v>943</v>
      </c>
      <c r="L224" s="21">
        <f>IF(ISERROR(VLOOKUP($F224,#REF!,6,0)*G224/1000),0,VLOOKUP($F224,#REF!,6,0)*G224/1000)</f>
        <v>0</v>
      </c>
      <c r="M224" s="21">
        <f>IF(ISERROR(VLOOKUP($F224,#REF!,6,0)*H224/1000),0,VLOOKUP($F224,#REF!,6,0)*H224/1000)</f>
        <v>0</v>
      </c>
      <c r="N224" s="21">
        <f>IF(ISERROR(VLOOKUP($F224,#REF!,6,0)*I224/1000),0,VLOOKUP($F224,#REF!,6,0)*I224/1000)</f>
        <v>0</v>
      </c>
      <c r="O224" s="21">
        <f>IF(ISERROR(VLOOKUP($F224,#REF!,6,0)*J224/1000),0,VLOOKUP($F224,#REF!,6,0)*J224/1000)</f>
        <v>0</v>
      </c>
      <c r="P224" s="21">
        <f>IF(ISERROR(VLOOKUP(F224,#REF!,6,0)*K224/1000),0,VLOOKUP(F224,#REF!,6,0)*K224/1000)</f>
        <v>0</v>
      </c>
      <c r="Q224" s="6">
        <f>IF(ISERROR(VLOOKUP(F224,#REF!,3,0)),0,VLOOKUP(F224,#REF!,3,0))</f>
        <v>0</v>
      </c>
      <c r="R224" s="6">
        <f>IF(ISERROR(VLOOKUP(F224,#REF!,4,0)),0,VLOOKUP(F224,#REF!,4,0))</f>
        <v>0</v>
      </c>
      <c r="S224" s="8">
        <f>IF(ISERROR(VLOOKUP(F224,#REF!,4,0)),0,VLOOKUP(F224,#REF!,10,0)/60*K224)</f>
        <v>0</v>
      </c>
      <c r="T224" s="3"/>
      <c r="U224" s="3"/>
      <c r="V224" s="4"/>
    </row>
    <row r="225" spans="1:22" x14ac:dyDescent="0.3">
      <c r="A225" s="5">
        <f t="shared" si="10"/>
        <v>2019</v>
      </c>
      <c r="B225" s="6" t="str">
        <f t="shared" si="11"/>
        <v>SETEMBRO</v>
      </c>
      <c r="C225" s="13">
        <v>43731</v>
      </c>
      <c r="D225" s="26"/>
      <c r="E225" s="19">
        <v>1</v>
      </c>
      <c r="F225" s="15">
        <v>24</v>
      </c>
      <c r="H225" s="17">
        <v>1032</v>
      </c>
      <c r="I225" s="17">
        <v>930</v>
      </c>
      <c r="K225" s="18">
        <f t="shared" si="9"/>
        <v>1962</v>
      </c>
      <c r="L225" s="21">
        <f>IF(ISERROR(VLOOKUP($F225,#REF!,6,0)*G225/1000),0,VLOOKUP($F225,#REF!,6,0)*G225/1000)</f>
        <v>0</v>
      </c>
      <c r="M225" s="21">
        <f>IF(ISERROR(VLOOKUP($F225,#REF!,6,0)*H225/1000),0,VLOOKUP($F225,#REF!,6,0)*H225/1000)</f>
        <v>0</v>
      </c>
      <c r="N225" s="21">
        <f>IF(ISERROR(VLOOKUP($F225,#REF!,6,0)*I225/1000),0,VLOOKUP($F225,#REF!,6,0)*I225/1000)</f>
        <v>0</v>
      </c>
      <c r="O225" s="21">
        <f>IF(ISERROR(VLOOKUP($F225,#REF!,6,0)*J225/1000),0,VLOOKUP($F225,#REF!,6,0)*J225/1000)</f>
        <v>0</v>
      </c>
      <c r="P225" s="21">
        <f>IF(ISERROR(VLOOKUP(F225,#REF!,6,0)*K225/1000),0,VLOOKUP(F225,#REF!,6,0)*K225/1000)</f>
        <v>0</v>
      </c>
      <c r="Q225" s="6">
        <f>IF(ISERROR(VLOOKUP(F225,#REF!,3,0)),0,VLOOKUP(F225,#REF!,3,0))</f>
        <v>0</v>
      </c>
      <c r="R225" s="6">
        <f>IF(ISERROR(VLOOKUP(F225,#REF!,4,0)),0,VLOOKUP(F225,#REF!,4,0))</f>
        <v>0</v>
      </c>
      <c r="S225" s="8">
        <f>IF(ISERROR(VLOOKUP(F225,#REF!,4,0)),0,VLOOKUP(F225,#REF!,10,0)/60*K225)</f>
        <v>0</v>
      </c>
      <c r="T225" s="3"/>
      <c r="U225" s="3"/>
      <c r="V225" s="4"/>
    </row>
    <row r="226" spans="1:22" x14ac:dyDescent="0.3">
      <c r="A226" s="5">
        <f t="shared" si="10"/>
        <v>2019</v>
      </c>
      <c r="B226" s="6" t="str">
        <f t="shared" si="11"/>
        <v>SETEMBRO</v>
      </c>
      <c r="C226" s="13">
        <v>43731</v>
      </c>
      <c r="D226" s="26"/>
      <c r="E226" s="19">
        <v>3</v>
      </c>
      <c r="F226" s="15">
        <v>33</v>
      </c>
      <c r="G226" s="17">
        <v>1920</v>
      </c>
      <c r="H226" s="17">
        <v>410</v>
      </c>
      <c r="I226" s="17">
        <v>160</v>
      </c>
      <c r="J226" s="17">
        <v>612</v>
      </c>
      <c r="K226" s="18">
        <f t="shared" si="9"/>
        <v>3102</v>
      </c>
      <c r="L226" s="21">
        <f>IF(ISERROR(VLOOKUP($F226,#REF!,6,0)*G226/1000),0,VLOOKUP($F226,#REF!,6,0)*G226/1000)</f>
        <v>0</v>
      </c>
      <c r="M226" s="21">
        <f>IF(ISERROR(VLOOKUP($F226,#REF!,6,0)*H226/1000),0,VLOOKUP($F226,#REF!,6,0)*H226/1000)</f>
        <v>0</v>
      </c>
      <c r="N226" s="21">
        <f>IF(ISERROR(VLOOKUP($F226,#REF!,6,0)*I226/1000),0,VLOOKUP($F226,#REF!,6,0)*I226/1000)</f>
        <v>0</v>
      </c>
      <c r="O226" s="21">
        <f>IF(ISERROR(VLOOKUP($F226,#REF!,6,0)*J226/1000),0,VLOOKUP($F226,#REF!,6,0)*J226/1000)</f>
        <v>0</v>
      </c>
      <c r="P226" s="21">
        <f>IF(ISERROR(VLOOKUP(F226,#REF!,6,0)*K226/1000),0,VLOOKUP(F226,#REF!,6,0)*K226/1000)</f>
        <v>0</v>
      </c>
      <c r="Q226" s="6">
        <f>IF(ISERROR(VLOOKUP(F226,#REF!,3,0)),0,VLOOKUP(F226,#REF!,3,0))</f>
        <v>0</v>
      </c>
      <c r="R226" s="6">
        <f>IF(ISERROR(VLOOKUP(F226,#REF!,4,0)),0,VLOOKUP(F226,#REF!,4,0))</f>
        <v>0</v>
      </c>
      <c r="S226" s="8">
        <f>IF(ISERROR(VLOOKUP(F226,#REF!,4,0)),0,VLOOKUP(F226,#REF!,10,0)/60*K226)</f>
        <v>0</v>
      </c>
      <c r="T226" s="3"/>
      <c r="U226" s="3"/>
      <c r="V226" s="4"/>
    </row>
    <row r="227" spans="1:22" x14ac:dyDescent="0.3">
      <c r="A227" s="5">
        <f t="shared" si="10"/>
        <v>2019</v>
      </c>
      <c r="B227" s="6" t="str">
        <f t="shared" si="11"/>
        <v>SETEMBRO</v>
      </c>
      <c r="C227" s="13">
        <v>43732</v>
      </c>
      <c r="D227" s="26"/>
      <c r="E227" s="19">
        <v>1</v>
      </c>
      <c r="F227" s="15">
        <v>31</v>
      </c>
      <c r="G227" s="17">
        <v>240</v>
      </c>
      <c r="H227" s="17">
        <v>50</v>
      </c>
      <c r="I227" s="17">
        <v>10</v>
      </c>
      <c r="J227" s="17">
        <v>20</v>
      </c>
      <c r="K227" s="18">
        <f t="shared" si="9"/>
        <v>320</v>
      </c>
      <c r="L227" s="21">
        <f>IF(ISERROR(VLOOKUP($F227,#REF!,6,0)*G227/1000),0,VLOOKUP($F227,#REF!,6,0)*G227/1000)</f>
        <v>0</v>
      </c>
      <c r="M227" s="21">
        <f>IF(ISERROR(VLOOKUP($F227,#REF!,6,0)*H227/1000),0,VLOOKUP($F227,#REF!,6,0)*H227/1000)</f>
        <v>0</v>
      </c>
      <c r="N227" s="21">
        <f>IF(ISERROR(VLOOKUP($F227,#REF!,6,0)*I227/1000),0,VLOOKUP($F227,#REF!,6,0)*I227/1000)</f>
        <v>0</v>
      </c>
      <c r="O227" s="21">
        <f>IF(ISERROR(VLOOKUP($F227,#REF!,6,0)*J227/1000),0,VLOOKUP($F227,#REF!,6,0)*J227/1000)</f>
        <v>0</v>
      </c>
      <c r="P227" s="21">
        <f>IF(ISERROR(VLOOKUP(F227,#REF!,6,0)*K227/1000),0,VLOOKUP(F227,#REF!,6,0)*K227/1000)</f>
        <v>0</v>
      </c>
      <c r="Q227" s="6">
        <f>IF(ISERROR(VLOOKUP(F227,#REF!,3,0)),0,VLOOKUP(F227,#REF!,3,0))</f>
        <v>0</v>
      </c>
      <c r="R227" s="6">
        <f>IF(ISERROR(VLOOKUP(F227,#REF!,4,0)),0,VLOOKUP(F227,#REF!,4,0))</f>
        <v>0</v>
      </c>
      <c r="S227" s="8">
        <f>IF(ISERROR(VLOOKUP(F227,#REF!,4,0)),0,VLOOKUP(F227,#REF!,10,0)/60*K227)</f>
        <v>0</v>
      </c>
      <c r="T227" s="3"/>
      <c r="U227" s="3"/>
      <c r="V227" s="4"/>
    </row>
    <row r="228" spans="1:22" x14ac:dyDescent="0.3">
      <c r="A228" s="5">
        <f t="shared" si="10"/>
        <v>2019</v>
      </c>
      <c r="B228" s="6" t="str">
        <f t="shared" si="11"/>
        <v>SETEMBRO</v>
      </c>
      <c r="C228" s="13">
        <v>43732</v>
      </c>
      <c r="D228" s="26"/>
      <c r="E228" s="19">
        <v>1</v>
      </c>
      <c r="F228" s="15">
        <v>3</v>
      </c>
      <c r="G228" s="17">
        <v>432</v>
      </c>
      <c r="I228" s="17">
        <v>12</v>
      </c>
      <c r="J228" s="17">
        <v>150</v>
      </c>
      <c r="K228" s="18">
        <f t="shared" si="9"/>
        <v>594</v>
      </c>
      <c r="L228" s="21">
        <f>IF(ISERROR(VLOOKUP($F228,#REF!,6,0)*G228/1000),0,VLOOKUP($F228,#REF!,6,0)*G228/1000)</f>
        <v>0</v>
      </c>
      <c r="M228" s="21">
        <f>IF(ISERROR(VLOOKUP($F228,#REF!,6,0)*H228/1000),0,VLOOKUP($F228,#REF!,6,0)*H228/1000)</f>
        <v>0</v>
      </c>
      <c r="N228" s="21">
        <f>IF(ISERROR(VLOOKUP($F228,#REF!,6,0)*I228/1000),0,VLOOKUP($F228,#REF!,6,0)*I228/1000)</f>
        <v>0</v>
      </c>
      <c r="O228" s="21">
        <f>IF(ISERROR(VLOOKUP($F228,#REF!,6,0)*J228/1000),0,VLOOKUP($F228,#REF!,6,0)*J228/1000)</f>
        <v>0</v>
      </c>
      <c r="P228" s="21">
        <f>IF(ISERROR(VLOOKUP(F228,#REF!,6,0)*K228/1000),0,VLOOKUP(F228,#REF!,6,0)*K228/1000)</f>
        <v>0</v>
      </c>
      <c r="Q228" s="6">
        <f>IF(ISERROR(VLOOKUP(F228,#REF!,3,0)),0,VLOOKUP(F228,#REF!,3,0))</f>
        <v>0</v>
      </c>
      <c r="R228" s="6">
        <f>IF(ISERROR(VLOOKUP(F228,#REF!,4,0)),0,VLOOKUP(F228,#REF!,4,0))</f>
        <v>0</v>
      </c>
      <c r="S228" s="8">
        <f>IF(ISERROR(VLOOKUP(F228,#REF!,4,0)),0,VLOOKUP(F228,#REF!,10,0)/60*K228)</f>
        <v>0</v>
      </c>
      <c r="T228" s="3"/>
      <c r="U228" s="3"/>
      <c r="V228" s="4"/>
    </row>
    <row r="229" spans="1:22" x14ac:dyDescent="0.3">
      <c r="A229" s="5">
        <f t="shared" si="10"/>
        <v>2019</v>
      </c>
      <c r="B229" s="6" t="str">
        <f t="shared" si="11"/>
        <v>SETEMBRO</v>
      </c>
      <c r="C229" s="13">
        <v>43732</v>
      </c>
      <c r="D229" s="26"/>
      <c r="E229" s="19">
        <v>1</v>
      </c>
      <c r="F229" s="15">
        <v>56</v>
      </c>
      <c r="G229" s="17">
        <v>384</v>
      </c>
      <c r="H229" s="17">
        <v>80</v>
      </c>
      <c r="I229" s="17">
        <v>20</v>
      </c>
      <c r="J229" s="17">
        <v>80</v>
      </c>
      <c r="K229" s="18">
        <f t="shared" si="9"/>
        <v>564</v>
      </c>
      <c r="L229" s="21">
        <f>IF(ISERROR(VLOOKUP($F229,#REF!,6,0)*G229/1000),0,VLOOKUP($F229,#REF!,6,0)*G229/1000)</f>
        <v>0</v>
      </c>
      <c r="M229" s="21">
        <f>IF(ISERROR(VLOOKUP($F229,#REF!,6,0)*H229/1000),0,VLOOKUP($F229,#REF!,6,0)*H229/1000)</f>
        <v>0</v>
      </c>
      <c r="N229" s="21">
        <f>IF(ISERROR(VLOOKUP($F229,#REF!,6,0)*I229/1000),0,VLOOKUP($F229,#REF!,6,0)*I229/1000)</f>
        <v>0</v>
      </c>
      <c r="O229" s="21">
        <f>IF(ISERROR(VLOOKUP($F229,#REF!,6,0)*J229/1000),0,VLOOKUP($F229,#REF!,6,0)*J229/1000)</f>
        <v>0</v>
      </c>
      <c r="P229" s="21">
        <f>IF(ISERROR(VLOOKUP(F229,#REF!,6,0)*K229/1000),0,VLOOKUP(F229,#REF!,6,0)*K229/1000)</f>
        <v>0</v>
      </c>
      <c r="Q229" s="6">
        <f>IF(ISERROR(VLOOKUP(F229,#REF!,3,0)),0,VLOOKUP(F229,#REF!,3,0))</f>
        <v>0</v>
      </c>
      <c r="R229" s="6">
        <f>IF(ISERROR(VLOOKUP(F229,#REF!,4,0)),0,VLOOKUP(F229,#REF!,4,0))</f>
        <v>0</v>
      </c>
      <c r="S229" s="8">
        <f>IF(ISERROR(VLOOKUP(F229,#REF!,4,0)),0,VLOOKUP(F229,#REF!,10,0)/60*K229)</f>
        <v>0</v>
      </c>
      <c r="T229" s="3"/>
      <c r="U229" s="3"/>
      <c r="V229" s="4"/>
    </row>
    <row r="230" spans="1:22" x14ac:dyDescent="0.3">
      <c r="A230" s="5">
        <f t="shared" si="10"/>
        <v>2019</v>
      </c>
      <c r="B230" s="6" t="str">
        <f t="shared" si="11"/>
        <v>SETEMBRO</v>
      </c>
      <c r="C230" s="13">
        <v>43732</v>
      </c>
      <c r="D230" s="26"/>
      <c r="E230" s="19">
        <v>2</v>
      </c>
      <c r="F230" s="15">
        <v>18</v>
      </c>
      <c r="G230" s="17">
        <v>54</v>
      </c>
      <c r="H230" s="17">
        <v>13</v>
      </c>
      <c r="I230" s="17">
        <v>6</v>
      </c>
      <c r="J230" s="17">
        <v>18</v>
      </c>
      <c r="K230" s="18">
        <f t="shared" si="9"/>
        <v>91</v>
      </c>
      <c r="L230" s="21">
        <f>IF(ISERROR(VLOOKUP($F230,#REF!,6,0)*G230/1000),0,VLOOKUP($F230,#REF!,6,0)*G230/1000)</f>
        <v>0</v>
      </c>
      <c r="M230" s="21">
        <f>IF(ISERROR(VLOOKUP($F230,#REF!,6,0)*H230/1000),0,VLOOKUP($F230,#REF!,6,0)*H230/1000)</f>
        <v>0</v>
      </c>
      <c r="N230" s="21">
        <f>IF(ISERROR(VLOOKUP($F230,#REF!,6,0)*I230/1000),0,VLOOKUP($F230,#REF!,6,0)*I230/1000)</f>
        <v>0</v>
      </c>
      <c r="O230" s="21">
        <f>IF(ISERROR(VLOOKUP($F230,#REF!,6,0)*J230/1000),0,VLOOKUP($F230,#REF!,6,0)*J230/1000)</f>
        <v>0</v>
      </c>
      <c r="P230" s="21">
        <f>IF(ISERROR(VLOOKUP(F230,#REF!,6,0)*K230/1000),0,VLOOKUP(F230,#REF!,6,0)*K230/1000)</f>
        <v>0</v>
      </c>
      <c r="Q230" s="6">
        <f>IF(ISERROR(VLOOKUP(F230,#REF!,3,0)),0,VLOOKUP(F230,#REF!,3,0))</f>
        <v>0</v>
      </c>
      <c r="R230" s="6">
        <f>IF(ISERROR(VLOOKUP(F230,#REF!,4,0)),0,VLOOKUP(F230,#REF!,4,0))</f>
        <v>0</v>
      </c>
      <c r="S230" s="8">
        <f>IF(ISERROR(VLOOKUP(F230,#REF!,4,0)),0,VLOOKUP(F230,#REF!,10,0)/60*K230)</f>
        <v>0</v>
      </c>
      <c r="T230" s="3"/>
      <c r="U230" s="3"/>
      <c r="V230" s="4"/>
    </row>
    <row r="231" spans="1:22" x14ac:dyDescent="0.3">
      <c r="A231" s="5">
        <f t="shared" si="10"/>
        <v>2019</v>
      </c>
      <c r="B231" s="6" t="str">
        <f t="shared" si="11"/>
        <v>SETEMBRO</v>
      </c>
      <c r="C231" s="13">
        <v>43732</v>
      </c>
      <c r="D231" s="26"/>
      <c r="E231" s="19">
        <v>2</v>
      </c>
      <c r="F231" s="15">
        <v>31</v>
      </c>
      <c r="G231" s="17">
        <v>385</v>
      </c>
      <c r="H231" s="17">
        <v>11</v>
      </c>
      <c r="I231" s="17">
        <v>23</v>
      </c>
      <c r="J231" s="17">
        <v>10</v>
      </c>
      <c r="K231" s="18">
        <f t="shared" si="9"/>
        <v>429</v>
      </c>
      <c r="L231" s="21">
        <f>IF(ISERROR(VLOOKUP($F231,#REF!,6,0)*G231/1000),0,VLOOKUP($F231,#REF!,6,0)*G231/1000)</f>
        <v>0</v>
      </c>
      <c r="M231" s="21">
        <f>IF(ISERROR(VLOOKUP($F231,#REF!,6,0)*H231/1000),0,VLOOKUP($F231,#REF!,6,0)*H231/1000)</f>
        <v>0</v>
      </c>
      <c r="N231" s="21">
        <f>IF(ISERROR(VLOOKUP($F231,#REF!,6,0)*I231/1000),0,VLOOKUP($F231,#REF!,6,0)*I231/1000)</f>
        <v>0</v>
      </c>
      <c r="O231" s="21">
        <f>IF(ISERROR(VLOOKUP($F231,#REF!,6,0)*J231/1000),0,VLOOKUP($F231,#REF!,6,0)*J231/1000)</f>
        <v>0</v>
      </c>
      <c r="P231" s="21">
        <f>IF(ISERROR(VLOOKUP(F231,#REF!,6,0)*K231/1000),0,VLOOKUP(F231,#REF!,6,0)*K231/1000)</f>
        <v>0</v>
      </c>
      <c r="Q231" s="6">
        <f>IF(ISERROR(VLOOKUP(F231,#REF!,3,0)),0,VLOOKUP(F231,#REF!,3,0))</f>
        <v>0</v>
      </c>
      <c r="R231" s="6">
        <f>IF(ISERROR(VLOOKUP(F231,#REF!,4,0)),0,VLOOKUP(F231,#REF!,4,0))</f>
        <v>0</v>
      </c>
      <c r="S231" s="8">
        <f>IF(ISERROR(VLOOKUP(F231,#REF!,4,0)),0,VLOOKUP(F231,#REF!,10,0)/60*K231)</f>
        <v>0</v>
      </c>
      <c r="T231" s="3"/>
      <c r="U231" s="3"/>
      <c r="V231" s="4"/>
    </row>
    <row r="232" spans="1:22" x14ac:dyDescent="0.3">
      <c r="A232" s="5">
        <f t="shared" si="10"/>
        <v>2019</v>
      </c>
      <c r="B232" s="6" t="str">
        <f t="shared" si="11"/>
        <v>SETEMBRO</v>
      </c>
      <c r="C232" s="13">
        <v>43732</v>
      </c>
      <c r="D232" s="26"/>
      <c r="E232" s="19">
        <v>2</v>
      </c>
      <c r="F232" s="15">
        <v>33</v>
      </c>
      <c r="G232" s="17">
        <v>11</v>
      </c>
      <c r="K232" s="18">
        <f t="shared" si="9"/>
        <v>11</v>
      </c>
      <c r="L232" s="21">
        <f>IF(ISERROR(VLOOKUP($F232,#REF!,6,0)*G232/1000),0,VLOOKUP($F232,#REF!,6,0)*G232/1000)</f>
        <v>0</v>
      </c>
      <c r="M232" s="21">
        <f>IF(ISERROR(VLOOKUP($F232,#REF!,6,0)*H232/1000),0,VLOOKUP($F232,#REF!,6,0)*H232/1000)</f>
        <v>0</v>
      </c>
      <c r="N232" s="21">
        <f>IF(ISERROR(VLOOKUP($F232,#REF!,6,0)*I232/1000),0,VLOOKUP($F232,#REF!,6,0)*I232/1000)</f>
        <v>0</v>
      </c>
      <c r="O232" s="21">
        <f>IF(ISERROR(VLOOKUP($F232,#REF!,6,0)*J232/1000),0,VLOOKUP($F232,#REF!,6,0)*J232/1000)</f>
        <v>0</v>
      </c>
      <c r="P232" s="21">
        <f>IF(ISERROR(VLOOKUP(F232,#REF!,6,0)*K232/1000),0,VLOOKUP(F232,#REF!,6,0)*K232/1000)</f>
        <v>0</v>
      </c>
      <c r="Q232" s="6">
        <f>IF(ISERROR(VLOOKUP(F232,#REF!,3,0)),0,VLOOKUP(F232,#REF!,3,0))</f>
        <v>0</v>
      </c>
      <c r="R232" s="6">
        <f>IF(ISERROR(VLOOKUP(F232,#REF!,4,0)),0,VLOOKUP(F232,#REF!,4,0))</f>
        <v>0</v>
      </c>
      <c r="S232" s="8">
        <f>IF(ISERROR(VLOOKUP(F232,#REF!,4,0)),0,VLOOKUP(F232,#REF!,10,0)/60*K232)</f>
        <v>0</v>
      </c>
      <c r="T232" s="3"/>
      <c r="U232" s="3"/>
      <c r="V232" s="4"/>
    </row>
    <row r="233" spans="1:22" x14ac:dyDescent="0.3">
      <c r="A233" s="5">
        <f t="shared" si="10"/>
        <v>2019</v>
      </c>
      <c r="B233" s="6" t="str">
        <f t="shared" si="11"/>
        <v>SETEMBRO</v>
      </c>
      <c r="C233" s="13">
        <v>43732</v>
      </c>
      <c r="D233" s="26"/>
      <c r="E233" s="19">
        <v>2</v>
      </c>
      <c r="F233" s="15">
        <v>56</v>
      </c>
      <c r="G233" s="17">
        <v>107</v>
      </c>
      <c r="H233" s="17">
        <v>16</v>
      </c>
      <c r="I233" s="17">
        <v>7</v>
      </c>
      <c r="J233" s="17">
        <v>9</v>
      </c>
      <c r="K233" s="18">
        <f t="shared" si="9"/>
        <v>139</v>
      </c>
      <c r="L233" s="21">
        <f>IF(ISERROR(VLOOKUP($F233,#REF!,6,0)*G233/1000),0,VLOOKUP($F233,#REF!,6,0)*G233/1000)</f>
        <v>0</v>
      </c>
      <c r="M233" s="21">
        <f>IF(ISERROR(VLOOKUP($F233,#REF!,6,0)*H233/1000),0,VLOOKUP($F233,#REF!,6,0)*H233/1000)</f>
        <v>0</v>
      </c>
      <c r="N233" s="21">
        <f>IF(ISERROR(VLOOKUP($F233,#REF!,6,0)*I233/1000),0,VLOOKUP($F233,#REF!,6,0)*I233/1000)</f>
        <v>0</v>
      </c>
      <c r="O233" s="21">
        <f>IF(ISERROR(VLOOKUP($F233,#REF!,6,0)*J233/1000),0,VLOOKUP($F233,#REF!,6,0)*J233/1000)</f>
        <v>0</v>
      </c>
      <c r="P233" s="21">
        <f>IF(ISERROR(VLOOKUP(F233,#REF!,6,0)*K233/1000),0,VLOOKUP(F233,#REF!,6,0)*K233/1000)</f>
        <v>0</v>
      </c>
      <c r="Q233" s="6">
        <f>IF(ISERROR(VLOOKUP(F233,#REF!,3,0)),0,VLOOKUP(F233,#REF!,3,0))</f>
        <v>0</v>
      </c>
      <c r="R233" s="6">
        <f>IF(ISERROR(VLOOKUP(F233,#REF!,4,0)),0,VLOOKUP(F233,#REF!,4,0))</f>
        <v>0</v>
      </c>
      <c r="S233" s="8">
        <f>IF(ISERROR(VLOOKUP(F233,#REF!,4,0)),0,VLOOKUP(F233,#REF!,10,0)/60*K233)</f>
        <v>0</v>
      </c>
      <c r="T233" s="3"/>
      <c r="U233" s="3"/>
      <c r="V233" s="4"/>
    </row>
    <row r="234" spans="1:22" x14ac:dyDescent="0.3">
      <c r="A234" s="5">
        <f t="shared" si="10"/>
        <v>2019</v>
      </c>
      <c r="B234" s="6" t="str">
        <f t="shared" si="11"/>
        <v>SETEMBRO</v>
      </c>
      <c r="C234" s="13">
        <v>43732</v>
      </c>
      <c r="D234" s="26"/>
      <c r="E234" s="19">
        <v>1</v>
      </c>
      <c r="F234" s="15">
        <v>48</v>
      </c>
      <c r="G234" s="17">
        <v>358</v>
      </c>
      <c r="H234" s="17">
        <v>100</v>
      </c>
      <c r="I234" s="17">
        <v>100</v>
      </c>
      <c r="K234" s="18">
        <f t="shared" si="9"/>
        <v>558</v>
      </c>
      <c r="L234" s="21">
        <f>IF(ISERROR(VLOOKUP($F234,#REF!,6,0)*G234/1000),0,VLOOKUP($F234,#REF!,6,0)*G234/1000)</f>
        <v>0</v>
      </c>
      <c r="M234" s="21">
        <f>IF(ISERROR(VLOOKUP($F234,#REF!,6,0)*H234/1000),0,VLOOKUP($F234,#REF!,6,0)*H234/1000)</f>
        <v>0</v>
      </c>
      <c r="N234" s="21">
        <f>IF(ISERROR(VLOOKUP($F234,#REF!,6,0)*I234/1000),0,VLOOKUP($F234,#REF!,6,0)*I234/1000)</f>
        <v>0</v>
      </c>
      <c r="O234" s="21">
        <f>IF(ISERROR(VLOOKUP($F234,#REF!,6,0)*J234/1000),0,VLOOKUP($F234,#REF!,6,0)*J234/1000)</f>
        <v>0</v>
      </c>
      <c r="P234" s="21">
        <f>IF(ISERROR(VLOOKUP(F234,#REF!,6,0)*K234/1000),0,VLOOKUP(F234,#REF!,6,0)*K234/1000)</f>
        <v>0</v>
      </c>
      <c r="Q234" s="6">
        <f>IF(ISERROR(VLOOKUP(F234,#REF!,3,0)),0,VLOOKUP(F234,#REF!,3,0))</f>
        <v>0</v>
      </c>
      <c r="R234" s="6">
        <f>IF(ISERROR(VLOOKUP(F234,#REF!,4,0)),0,VLOOKUP(F234,#REF!,4,0))</f>
        <v>0</v>
      </c>
      <c r="S234" s="8">
        <f>IF(ISERROR(VLOOKUP(F234,#REF!,4,0)),0,VLOOKUP(F234,#REF!,10,0)/60*K234)</f>
        <v>0</v>
      </c>
      <c r="T234" s="3"/>
      <c r="U234" s="3"/>
      <c r="V234" s="4"/>
    </row>
    <row r="235" spans="1:22" x14ac:dyDescent="0.3">
      <c r="A235" s="5">
        <f t="shared" si="10"/>
        <v>2019</v>
      </c>
      <c r="B235" s="6" t="str">
        <f t="shared" si="11"/>
        <v>SETEMBRO</v>
      </c>
      <c r="C235" s="13">
        <v>43732</v>
      </c>
      <c r="D235" s="26"/>
      <c r="E235" s="19">
        <v>1</v>
      </c>
      <c r="F235" s="15">
        <v>46</v>
      </c>
      <c r="G235" s="17">
        <v>180</v>
      </c>
      <c r="H235" s="17">
        <v>271</v>
      </c>
      <c r="I235" s="17">
        <v>320</v>
      </c>
      <c r="K235" s="18">
        <f t="shared" si="9"/>
        <v>771</v>
      </c>
      <c r="L235" s="21">
        <f>IF(ISERROR(VLOOKUP($F235,#REF!,6,0)*G235/1000),0,VLOOKUP($F235,#REF!,6,0)*G235/1000)</f>
        <v>0</v>
      </c>
      <c r="M235" s="21">
        <f>IF(ISERROR(VLOOKUP($F235,#REF!,6,0)*H235/1000),0,VLOOKUP($F235,#REF!,6,0)*H235/1000)</f>
        <v>0</v>
      </c>
      <c r="N235" s="21">
        <f>IF(ISERROR(VLOOKUP($F235,#REF!,6,0)*I235/1000),0,VLOOKUP($F235,#REF!,6,0)*I235/1000)</f>
        <v>0</v>
      </c>
      <c r="O235" s="21">
        <f>IF(ISERROR(VLOOKUP($F235,#REF!,6,0)*J235/1000),0,VLOOKUP($F235,#REF!,6,0)*J235/1000)</f>
        <v>0</v>
      </c>
      <c r="P235" s="21">
        <f>IF(ISERROR(VLOOKUP(F235,#REF!,6,0)*K235/1000),0,VLOOKUP(F235,#REF!,6,0)*K235/1000)</f>
        <v>0</v>
      </c>
      <c r="Q235" s="6">
        <f>IF(ISERROR(VLOOKUP(F235,#REF!,3,0)),0,VLOOKUP(F235,#REF!,3,0))</f>
        <v>0</v>
      </c>
      <c r="R235" s="6">
        <f>IF(ISERROR(VLOOKUP(F235,#REF!,4,0)),0,VLOOKUP(F235,#REF!,4,0))</f>
        <v>0</v>
      </c>
      <c r="S235" s="8">
        <f>IF(ISERROR(VLOOKUP(F235,#REF!,4,0)),0,VLOOKUP(F235,#REF!,10,0)/60*K235)</f>
        <v>0</v>
      </c>
      <c r="T235" s="3"/>
      <c r="U235" s="3"/>
      <c r="V235" s="4"/>
    </row>
    <row r="236" spans="1:22" x14ac:dyDescent="0.3">
      <c r="A236" s="5">
        <f t="shared" si="10"/>
        <v>2019</v>
      </c>
      <c r="B236" s="6" t="str">
        <f t="shared" si="11"/>
        <v>SETEMBRO</v>
      </c>
      <c r="C236" s="13">
        <v>43732</v>
      </c>
      <c r="D236" s="26"/>
      <c r="E236" s="19">
        <v>1</v>
      </c>
      <c r="F236" s="15">
        <v>49</v>
      </c>
      <c r="G236" s="17">
        <v>425</v>
      </c>
      <c r="H236" s="17">
        <v>14</v>
      </c>
      <c r="I236" s="17">
        <v>80</v>
      </c>
      <c r="K236" s="18">
        <f t="shared" si="9"/>
        <v>519</v>
      </c>
      <c r="L236" s="21">
        <f>IF(ISERROR(VLOOKUP($F236,#REF!,6,0)*G236/1000),0,VLOOKUP($F236,#REF!,6,0)*G236/1000)</f>
        <v>0</v>
      </c>
      <c r="M236" s="21">
        <f>IF(ISERROR(VLOOKUP($F236,#REF!,6,0)*H236/1000),0,VLOOKUP($F236,#REF!,6,0)*H236/1000)</f>
        <v>0</v>
      </c>
      <c r="N236" s="21">
        <f>IF(ISERROR(VLOOKUP($F236,#REF!,6,0)*I236/1000),0,VLOOKUP($F236,#REF!,6,0)*I236/1000)</f>
        <v>0</v>
      </c>
      <c r="O236" s="21">
        <f>IF(ISERROR(VLOOKUP($F236,#REF!,6,0)*J236/1000),0,VLOOKUP($F236,#REF!,6,0)*J236/1000)</f>
        <v>0</v>
      </c>
      <c r="P236" s="21">
        <f>IF(ISERROR(VLOOKUP(F236,#REF!,6,0)*K236/1000),0,VLOOKUP(F236,#REF!,6,0)*K236/1000)</f>
        <v>0</v>
      </c>
      <c r="Q236" s="6">
        <f>IF(ISERROR(VLOOKUP(F236,#REF!,3,0)),0,VLOOKUP(F236,#REF!,3,0))</f>
        <v>0</v>
      </c>
      <c r="R236" s="6">
        <f>IF(ISERROR(VLOOKUP(F236,#REF!,4,0)),0,VLOOKUP(F236,#REF!,4,0))</f>
        <v>0</v>
      </c>
      <c r="S236" s="8">
        <f>IF(ISERROR(VLOOKUP(F236,#REF!,4,0)),0,VLOOKUP(F236,#REF!,10,0)/60*K236)</f>
        <v>0</v>
      </c>
      <c r="T236" s="3"/>
      <c r="U236" s="3"/>
      <c r="V236" s="4"/>
    </row>
    <row r="237" spans="1:22" x14ac:dyDescent="0.3">
      <c r="A237" s="5">
        <f t="shared" si="10"/>
        <v>2019</v>
      </c>
      <c r="B237" s="6" t="str">
        <f t="shared" si="11"/>
        <v>SETEMBRO</v>
      </c>
      <c r="C237" s="13">
        <v>43732</v>
      </c>
      <c r="D237" s="26"/>
      <c r="E237" s="19">
        <v>1</v>
      </c>
      <c r="F237" s="15">
        <v>26</v>
      </c>
      <c r="G237" s="17">
        <v>1380</v>
      </c>
      <c r="H237" s="17">
        <v>476</v>
      </c>
      <c r="I237" s="17">
        <v>50</v>
      </c>
      <c r="K237" s="18">
        <f t="shared" si="9"/>
        <v>1906</v>
      </c>
      <c r="L237" s="21">
        <f>IF(ISERROR(VLOOKUP($F237,#REF!,6,0)*G237/1000),0,VLOOKUP($F237,#REF!,6,0)*G237/1000)</f>
        <v>0</v>
      </c>
      <c r="M237" s="21">
        <f>IF(ISERROR(VLOOKUP($F237,#REF!,6,0)*H237/1000),0,VLOOKUP($F237,#REF!,6,0)*H237/1000)</f>
        <v>0</v>
      </c>
      <c r="N237" s="21">
        <f>IF(ISERROR(VLOOKUP($F237,#REF!,6,0)*I237/1000),0,VLOOKUP($F237,#REF!,6,0)*I237/1000)</f>
        <v>0</v>
      </c>
      <c r="O237" s="21">
        <f>IF(ISERROR(VLOOKUP($F237,#REF!,6,0)*J237/1000),0,VLOOKUP($F237,#REF!,6,0)*J237/1000)</f>
        <v>0</v>
      </c>
      <c r="P237" s="21">
        <f>IF(ISERROR(VLOOKUP(F237,#REF!,6,0)*K237/1000),0,VLOOKUP(F237,#REF!,6,0)*K237/1000)</f>
        <v>0</v>
      </c>
      <c r="Q237" s="6">
        <f>IF(ISERROR(VLOOKUP(F237,#REF!,3,0)),0,VLOOKUP(F237,#REF!,3,0))</f>
        <v>0</v>
      </c>
      <c r="R237" s="6">
        <f>IF(ISERROR(VLOOKUP(F237,#REF!,4,0)),0,VLOOKUP(F237,#REF!,4,0))</f>
        <v>0</v>
      </c>
      <c r="S237" s="8">
        <f>IF(ISERROR(VLOOKUP(F237,#REF!,4,0)),0,VLOOKUP(F237,#REF!,10,0)/60*K237)</f>
        <v>0</v>
      </c>
      <c r="T237" s="3"/>
      <c r="U237" s="3"/>
      <c r="V237" s="4"/>
    </row>
    <row r="238" spans="1:22" x14ac:dyDescent="0.3">
      <c r="A238" s="5">
        <f t="shared" si="10"/>
        <v>2019</v>
      </c>
      <c r="B238" s="6" t="str">
        <f t="shared" si="11"/>
        <v>SETEMBRO</v>
      </c>
      <c r="C238" s="13">
        <v>43732</v>
      </c>
      <c r="D238" s="26"/>
      <c r="E238" s="19">
        <v>1</v>
      </c>
      <c r="F238" s="15">
        <v>46</v>
      </c>
      <c r="G238" s="17">
        <v>280</v>
      </c>
      <c r="K238" s="18">
        <f t="shared" si="9"/>
        <v>280</v>
      </c>
      <c r="L238" s="21">
        <f>IF(ISERROR(VLOOKUP($F238,#REF!,6,0)*G238/1000),0,VLOOKUP($F238,#REF!,6,0)*G238/1000)</f>
        <v>0</v>
      </c>
      <c r="M238" s="21">
        <f>IF(ISERROR(VLOOKUP($F238,#REF!,6,0)*H238/1000),0,VLOOKUP($F238,#REF!,6,0)*H238/1000)</f>
        <v>0</v>
      </c>
      <c r="N238" s="21">
        <f>IF(ISERROR(VLOOKUP($F238,#REF!,6,0)*I238/1000),0,VLOOKUP($F238,#REF!,6,0)*I238/1000)</f>
        <v>0</v>
      </c>
      <c r="O238" s="21">
        <f>IF(ISERROR(VLOOKUP($F238,#REF!,6,0)*J238/1000),0,VLOOKUP($F238,#REF!,6,0)*J238/1000)</f>
        <v>0</v>
      </c>
      <c r="P238" s="21">
        <f>IF(ISERROR(VLOOKUP(F238,#REF!,6,0)*K238/1000),0,VLOOKUP(F238,#REF!,6,0)*K238/1000)</f>
        <v>0</v>
      </c>
      <c r="Q238" s="6">
        <f>IF(ISERROR(VLOOKUP(F238,#REF!,3,0)),0,VLOOKUP(F238,#REF!,3,0))</f>
        <v>0</v>
      </c>
      <c r="R238" s="6">
        <f>IF(ISERROR(VLOOKUP(F238,#REF!,4,0)),0,VLOOKUP(F238,#REF!,4,0))</f>
        <v>0</v>
      </c>
      <c r="S238" s="8">
        <f>IF(ISERROR(VLOOKUP(F238,#REF!,4,0)),0,VLOOKUP(F238,#REF!,10,0)/60*K238)</f>
        <v>0</v>
      </c>
      <c r="T238" s="3"/>
      <c r="U238" s="3"/>
      <c r="V238" s="4"/>
    </row>
    <row r="239" spans="1:22" x14ac:dyDescent="0.3">
      <c r="A239" s="5">
        <f t="shared" si="10"/>
        <v>2019</v>
      </c>
      <c r="B239" s="6" t="str">
        <f t="shared" si="11"/>
        <v>SETEMBRO</v>
      </c>
      <c r="C239" s="13">
        <v>43732</v>
      </c>
      <c r="D239" s="26"/>
      <c r="E239" s="19">
        <v>2</v>
      </c>
      <c r="F239" s="15">
        <v>49</v>
      </c>
      <c r="G239" s="17">
        <v>838</v>
      </c>
      <c r="K239" s="18">
        <f t="shared" si="9"/>
        <v>838</v>
      </c>
      <c r="L239" s="21">
        <f>IF(ISERROR(VLOOKUP($F239,#REF!,6,0)*G239/1000),0,VLOOKUP($F239,#REF!,6,0)*G239/1000)</f>
        <v>0</v>
      </c>
      <c r="M239" s="21">
        <f>IF(ISERROR(VLOOKUP($F239,#REF!,6,0)*H239/1000),0,VLOOKUP($F239,#REF!,6,0)*H239/1000)</f>
        <v>0</v>
      </c>
      <c r="N239" s="21">
        <f>IF(ISERROR(VLOOKUP($F239,#REF!,6,0)*I239/1000),0,VLOOKUP($F239,#REF!,6,0)*I239/1000)</f>
        <v>0</v>
      </c>
      <c r="O239" s="21">
        <f>IF(ISERROR(VLOOKUP($F239,#REF!,6,0)*J239/1000),0,VLOOKUP($F239,#REF!,6,0)*J239/1000)</f>
        <v>0</v>
      </c>
      <c r="P239" s="21">
        <f>IF(ISERROR(VLOOKUP(F239,#REF!,6,0)*K239/1000),0,VLOOKUP(F239,#REF!,6,0)*K239/1000)</f>
        <v>0</v>
      </c>
      <c r="Q239" s="6">
        <f>IF(ISERROR(VLOOKUP(F239,#REF!,3,0)),0,VLOOKUP(F239,#REF!,3,0))</f>
        <v>0</v>
      </c>
      <c r="R239" s="6">
        <f>IF(ISERROR(VLOOKUP(F239,#REF!,4,0)),0,VLOOKUP(F239,#REF!,4,0))</f>
        <v>0</v>
      </c>
      <c r="S239" s="8">
        <f>IF(ISERROR(VLOOKUP(F239,#REF!,4,0)),0,VLOOKUP(F239,#REF!,10,0)/60*K239)</f>
        <v>0</v>
      </c>
      <c r="T239" s="3"/>
      <c r="U239" s="3"/>
      <c r="V239" s="4"/>
    </row>
    <row r="240" spans="1:22" x14ac:dyDescent="0.3">
      <c r="A240" s="5">
        <f t="shared" si="10"/>
        <v>2019</v>
      </c>
      <c r="B240" s="6" t="str">
        <f t="shared" si="11"/>
        <v>SETEMBRO</v>
      </c>
      <c r="C240" s="13">
        <v>43732</v>
      </c>
      <c r="D240" s="26"/>
      <c r="E240" s="19">
        <v>2</v>
      </c>
      <c r="F240" s="15">
        <v>46</v>
      </c>
      <c r="G240" s="17">
        <v>317</v>
      </c>
      <c r="H240" s="17">
        <v>317</v>
      </c>
      <c r="I240" s="17">
        <v>285</v>
      </c>
      <c r="K240" s="18">
        <f t="shared" si="9"/>
        <v>919</v>
      </c>
      <c r="L240" s="21">
        <f>IF(ISERROR(VLOOKUP($F240,#REF!,6,0)*G240/1000),0,VLOOKUP($F240,#REF!,6,0)*G240/1000)</f>
        <v>0</v>
      </c>
      <c r="M240" s="21">
        <f>IF(ISERROR(VLOOKUP($F240,#REF!,6,0)*H240/1000),0,VLOOKUP($F240,#REF!,6,0)*H240/1000)</f>
        <v>0</v>
      </c>
      <c r="N240" s="21">
        <f>IF(ISERROR(VLOOKUP($F240,#REF!,6,0)*I240/1000),0,VLOOKUP($F240,#REF!,6,0)*I240/1000)</f>
        <v>0</v>
      </c>
      <c r="O240" s="21">
        <f>IF(ISERROR(VLOOKUP($F240,#REF!,6,0)*J240/1000),0,VLOOKUP($F240,#REF!,6,0)*J240/1000)</f>
        <v>0</v>
      </c>
      <c r="P240" s="21">
        <f>IF(ISERROR(VLOOKUP(F240,#REF!,6,0)*K240/1000),0,VLOOKUP(F240,#REF!,6,0)*K240/1000)</f>
        <v>0</v>
      </c>
      <c r="Q240" s="6">
        <f>IF(ISERROR(VLOOKUP(F240,#REF!,3,0)),0,VLOOKUP(F240,#REF!,3,0))</f>
        <v>0</v>
      </c>
      <c r="R240" s="6">
        <f>IF(ISERROR(VLOOKUP(F240,#REF!,4,0)),0,VLOOKUP(F240,#REF!,4,0))</f>
        <v>0</v>
      </c>
      <c r="S240" s="8">
        <f>IF(ISERROR(VLOOKUP(F240,#REF!,4,0)),0,VLOOKUP(F240,#REF!,10,0)/60*K240)</f>
        <v>0</v>
      </c>
      <c r="T240" s="3"/>
      <c r="U240" s="3"/>
      <c r="V240" s="4"/>
    </row>
    <row r="241" spans="1:22" x14ac:dyDescent="0.3">
      <c r="A241" s="5">
        <f t="shared" si="10"/>
        <v>2019</v>
      </c>
      <c r="B241" s="6" t="str">
        <f t="shared" si="11"/>
        <v>SETEMBRO</v>
      </c>
      <c r="C241" s="13">
        <v>43732</v>
      </c>
      <c r="D241" s="26"/>
      <c r="E241" s="19">
        <v>2</v>
      </c>
      <c r="F241" s="15">
        <v>24</v>
      </c>
      <c r="H241" s="17">
        <v>490</v>
      </c>
      <c r="K241" s="18">
        <f t="shared" si="9"/>
        <v>490</v>
      </c>
      <c r="L241" s="21">
        <f>IF(ISERROR(VLOOKUP($F241,#REF!,6,0)*G241/1000),0,VLOOKUP($F241,#REF!,6,0)*G241/1000)</f>
        <v>0</v>
      </c>
      <c r="M241" s="21">
        <f>IF(ISERROR(VLOOKUP($F241,#REF!,6,0)*H241/1000),0,VLOOKUP($F241,#REF!,6,0)*H241/1000)</f>
        <v>0</v>
      </c>
      <c r="N241" s="21">
        <f>IF(ISERROR(VLOOKUP($F241,#REF!,6,0)*I241/1000),0,VLOOKUP($F241,#REF!,6,0)*I241/1000)</f>
        <v>0</v>
      </c>
      <c r="O241" s="21">
        <f>IF(ISERROR(VLOOKUP($F241,#REF!,6,0)*J241/1000),0,VLOOKUP($F241,#REF!,6,0)*J241/1000)</f>
        <v>0</v>
      </c>
      <c r="P241" s="21">
        <f>IF(ISERROR(VLOOKUP(F241,#REF!,6,0)*K241/1000),0,VLOOKUP(F241,#REF!,6,0)*K241/1000)</f>
        <v>0</v>
      </c>
      <c r="Q241" s="6">
        <f>IF(ISERROR(VLOOKUP(F241,#REF!,3,0)),0,VLOOKUP(F241,#REF!,3,0))</f>
        <v>0</v>
      </c>
      <c r="R241" s="6">
        <f>IF(ISERROR(VLOOKUP(F241,#REF!,4,0)),0,VLOOKUP(F241,#REF!,4,0))</f>
        <v>0</v>
      </c>
      <c r="S241" s="8">
        <f>IF(ISERROR(VLOOKUP(F241,#REF!,4,0)),0,VLOOKUP(F241,#REF!,10,0)/60*K241)</f>
        <v>0</v>
      </c>
      <c r="T241" s="3"/>
      <c r="U241" s="3"/>
      <c r="V241" s="4"/>
    </row>
    <row r="242" spans="1:22" x14ac:dyDescent="0.3">
      <c r="A242" s="5">
        <f t="shared" si="10"/>
        <v>2019</v>
      </c>
      <c r="B242" s="6" t="str">
        <f t="shared" si="11"/>
        <v>SETEMBRO</v>
      </c>
      <c r="C242" s="13">
        <v>43732</v>
      </c>
      <c r="D242" s="26"/>
      <c r="E242" s="19">
        <v>3</v>
      </c>
      <c r="F242" s="15">
        <v>31</v>
      </c>
      <c r="G242" s="17">
        <v>2400</v>
      </c>
      <c r="H242" s="17">
        <v>30</v>
      </c>
      <c r="I242" s="17">
        <v>210</v>
      </c>
      <c r="J242" s="17">
        <v>1050</v>
      </c>
      <c r="K242" s="18">
        <f t="shared" si="9"/>
        <v>3690</v>
      </c>
      <c r="L242" s="21">
        <f>IF(ISERROR(VLOOKUP($F242,#REF!,6,0)*G242/1000),0,VLOOKUP($F242,#REF!,6,0)*G242/1000)</f>
        <v>0</v>
      </c>
      <c r="M242" s="21">
        <f>IF(ISERROR(VLOOKUP($F242,#REF!,6,0)*H242/1000),0,VLOOKUP($F242,#REF!,6,0)*H242/1000)</f>
        <v>0</v>
      </c>
      <c r="N242" s="21">
        <f>IF(ISERROR(VLOOKUP($F242,#REF!,6,0)*I242/1000),0,VLOOKUP($F242,#REF!,6,0)*I242/1000)</f>
        <v>0</v>
      </c>
      <c r="O242" s="21">
        <f>IF(ISERROR(VLOOKUP($F242,#REF!,6,0)*J242/1000),0,VLOOKUP($F242,#REF!,6,0)*J242/1000)</f>
        <v>0</v>
      </c>
      <c r="P242" s="21">
        <f>IF(ISERROR(VLOOKUP(F242,#REF!,6,0)*K242/1000),0,VLOOKUP(F242,#REF!,6,0)*K242/1000)</f>
        <v>0</v>
      </c>
      <c r="Q242" s="6">
        <f>IF(ISERROR(VLOOKUP(F242,#REF!,3,0)),0,VLOOKUP(F242,#REF!,3,0))</f>
        <v>0</v>
      </c>
      <c r="R242" s="6">
        <f>IF(ISERROR(VLOOKUP(F242,#REF!,4,0)),0,VLOOKUP(F242,#REF!,4,0))</f>
        <v>0</v>
      </c>
      <c r="S242" s="8">
        <f>IF(ISERROR(VLOOKUP(F242,#REF!,4,0)),0,VLOOKUP(F242,#REF!,10,0)/60*K242)</f>
        <v>0</v>
      </c>
      <c r="T242" s="3"/>
      <c r="U242" s="3"/>
      <c r="V242" s="4"/>
    </row>
    <row r="243" spans="1:22" x14ac:dyDescent="0.3">
      <c r="A243" s="5">
        <f t="shared" si="10"/>
        <v>2019</v>
      </c>
      <c r="B243" s="6" t="str">
        <f t="shared" si="11"/>
        <v>SETEMBRO</v>
      </c>
      <c r="C243" s="13">
        <v>43732</v>
      </c>
      <c r="D243" s="26"/>
      <c r="E243" s="19">
        <v>3</v>
      </c>
      <c r="F243" s="15">
        <v>23</v>
      </c>
      <c r="G243" s="17">
        <v>154</v>
      </c>
      <c r="H243" s="17">
        <v>60</v>
      </c>
      <c r="I243" s="17">
        <v>26</v>
      </c>
      <c r="J243" s="17">
        <v>120</v>
      </c>
      <c r="K243" s="18">
        <f t="shared" si="9"/>
        <v>360</v>
      </c>
      <c r="L243" s="21">
        <f>IF(ISERROR(VLOOKUP($F243,#REF!,6,0)*G243/1000),0,VLOOKUP($F243,#REF!,6,0)*G243/1000)</f>
        <v>0</v>
      </c>
      <c r="M243" s="21">
        <f>IF(ISERROR(VLOOKUP($F243,#REF!,6,0)*H243/1000),0,VLOOKUP($F243,#REF!,6,0)*H243/1000)</f>
        <v>0</v>
      </c>
      <c r="N243" s="21">
        <f>IF(ISERROR(VLOOKUP($F243,#REF!,6,0)*I243/1000),0,VLOOKUP($F243,#REF!,6,0)*I243/1000)</f>
        <v>0</v>
      </c>
      <c r="O243" s="21">
        <f>IF(ISERROR(VLOOKUP($F243,#REF!,6,0)*J243/1000),0,VLOOKUP($F243,#REF!,6,0)*J243/1000)</f>
        <v>0</v>
      </c>
      <c r="P243" s="21">
        <f>IF(ISERROR(VLOOKUP(F243,#REF!,6,0)*K243/1000),0,VLOOKUP(F243,#REF!,6,0)*K243/1000)</f>
        <v>0</v>
      </c>
      <c r="Q243" s="6">
        <f>IF(ISERROR(VLOOKUP(F243,#REF!,3,0)),0,VLOOKUP(F243,#REF!,3,0))</f>
        <v>0</v>
      </c>
      <c r="R243" s="6">
        <f>IF(ISERROR(VLOOKUP(F243,#REF!,4,0)),0,VLOOKUP(F243,#REF!,4,0))</f>
        <v>0</v>
      </c>
      <c r="S243" s="8">
        <f>IF(ISERROR(VLOOKUP(F243,#REF!,4,0)),0,VLOOKUP(F243,#REF!,10,0)/60*K243)</f>
        <v>0</v>
      </c>
      <c r="T243" s="3"/>
      <c r="U243" s="3"/>
      <c r="V243" s="4"/>
    </row>
    <row r="244" spans="1:22" x14ac:dyDescent="0.3">
      <c r="A244" s="5">
        <f t="shared" si="10"/>
        <v>2019</v>
      </c>
      <c r="B244" s="6" t="str">
        <f t="shared" si="11"/>
        <v>SETEMBRO</v>
      </c>
      <c r="C244" s="13">
        <v>43733</v>
      </c>
      <c r="D244" s="26"/>
      <c r="E244" s="19">
        <v>1</v>
      </c>
      <c r="F244" s="15">
        <v>31</v>
      </c>
      <c r="G244" s="17">
        <v>480</v>
      </c>
      <c r="H244" s="17">
        <v>150</v>
      </c>
      <c r="I244" s="17">
        <v>30</v>
      </c>
      <c r="J244" s="17">
        <v>90</v>
      </c>
      <c r="K244" s="18">
        <f t="shared" si="9"/>
        <v>750</v>
      </c>
      <c r="L244" s="21">
        <f>IF(ISERROR(VLOOKUP($F244,#REF!,6,0)*G244/1000),0,VLOOKUP($F244,#REF!,6,0)*G244/1000)</f>
        <v>0</v>
      </c>
      <c r="M244" s="21">
        <f>IF(ISERROR(VLOOKUP($F244,#REF!,6,0)*H244/1000),0,VLOOKUP($F244,#REF!,6,0)*H244/1000)</f>
        <v>0</v>
      </c>
      <c r="N244" s="21">
        <f>IF(ISERROR(VLOOKUP($F244,#REF!,6,0)*I244/1000),0,VLOOKUP($F244,#REF!,6,0)*I244/1000)</f>
        <v>0</v>
      </c>
      <c r="O244" s="21">
        <f>IF(ISERROR(VLOOKUP($F244,#REF!,6,0)*J244/1000),0,VLOOKUP($F244,#REF!,6,0)*J244/1000)</f>
        <v>0</v>
      </c>
      <c r="P244" s="21">
        <f>IF(ISERROR(VLOOKUP(F244,#REF!,6,0)*K244/1000),0,VLOOKUP(F244,#REF!,6,0)*K244/1000)</f>
        <v>0</v>
      </c>
      <c r="Q244" s="6">
        <f>IF(ISERROR(VLOOKUP(F244,#REF!,3,0)),0,VLOOKUP(F244,#REF!,3,0))</f>
        <v>0</v>
      </c>
      <c r="R244" s="6">
        <f>IF(ISERROR(VLOOKUP(F244,#REF!,4,0)),0,VLOOKUP(F244,#REF!,4,0))</f>
        <v>0</v>
      </c>
      <c r="S244" s="8">
        <f>IF(ISERROR(VLOOKUP(F244,#REF!,4,0)),0,VLOOKUP(F244,#REF!,10,0)/60*K244)</f>
        <v>0</v>
      </c>
      <c r="T244" s="3"/>
      <c r="U244" s="3"/>
      <c r="V244" s="4"/>
    </row>
    <row r="245" spans="1:22" x14ac:dyDescent="0.3">
      <c r="A245" s="5">
        <f t="shared" si="10"/>
        <v>2019</v>
      </c>
      <c r="B245" s="6" t="str">
        <f t="shared" si="11"/>
        <v>SETEMBRO</v>
      </c>
      <c r="C245" s="13">
        <v>43733</v>
      </c>
      <c r="D245" s="26"/>
      <c r="E245" s="19">
        <v>1</v>
      </c>
      <c r="F245" s="15">
        <v>23</v>
      </c>
      <c r="G245" s="17">
        <v>132</v>
      </c>
      <c r="H245" s="17">
        <v>30</v>
      </c>
      <c r="I245" s="17">
        <v>15</v>
      </c>
      <c r="J245" s="17">
        <v>20</v>
      </c>
      <c r="K245" s="18">
        <f t="shared" si="9"/>
        <v>197</v>
      </c>
      <c r="L245" s="21">
        <f>IF(ISERROR(VLOOKUP($F245,#REF!,6,0)*G245/1000),0,VLOOKUP($F245,#REF!,6,0)*G245/1000)</f>
        <v>0</v>
      </c>
      <c r="M245" s="21">
        <f>IF(ISERROR(VLOOKUP($F245,#REF!,6,0)*H245/1000),0,VLOOKUP($F245,#REF!,6,0)*H245/1000)</f>
        <v>0</v>
      </c>
      <c r="N245" s="21">
        <f>IF(ISERROR(VLOOKUP($F245,#REF!,6,0)*I245/1000),0,VLOOKUP($F245,#REF!,6,0)*I245/1000)</f>
        <v>0</v>
      </c>
      <c r="O245" s="21">
        <f>IF(ISERROR(VLOOKUP($F245,#REF!,6,0)*J245/1000),0,VLOOKUP($F245,#REF!,6,0)*J245/1000)</f>
        <v>0</v>
      </c>
      <c r="P245" s="21">
        <f>IF(ISERROR(VLOOKUP(F245,#REF!,6,0)*K245/1000),0,VLOOKUP(F245,#REF!,6,0)*K245/1000)</f>
        <v>0</v>
      </c>
      <c r="Q245" s="6">
        <f>IF(ISERROR(VLOOKUP(F245,#REF!,3,0)),0,VLOOKUP(F245,#REF!,3,0))</f>
        <v>0</v>
      </c>
      <c r="R245" s="6">
        <f>IF(ISERROR(VLOOKUP(F245,#REF!,4,0)),0,VLOOKUP(F245,#REF!,4,0))</f>
        <v>0</v>
      </c>
      <c r="S245" s="8">
        <f>IF(ISERROR(VLOOKUP(F245,#REF!,4,0)),0,VLOOKUP(F245,#REF!,10,0)/60*K245)</f>
        <v>0</v>
      </c>
      <c r="T245" s="3"/>
      <c r="U245" s="3"/>
      <c r="V245" s="4"/>
    </row>
    <row r="246" spans="1:22" x14ac:dyDescent="0.3">
      <c r="A246" s="5">
        <f t="shared" si="10"/>
        <v>2019</v>
      </c>
      <c r="B246" s="6" t="str">
        <f t="shared" si="11"/>
        <v>SETEMBRO</v>
      </c>
      <c r="C246" s="13">
        <v>43733</v>
      </c>
      <c r="D246" s="26"/>
      <c r="E246" s="19">
        <v>1</v>
      </c>
      <c r="F246" s="15">
        <v>32</v>
      </c>
      <c r="G246" s="17">
        <v>780</v>
      </c>
      <c r="H246" s="17">
        <v>120</v>
      </c>
      <c r="I246" s="17">
        <v>50</v>
      </c>
      <c r="J246" s="17">
        <v>35</v>
      </c>
      <c r="K246" s="18">
        <f t="shared" si="9"/>
        <v>985</v>
      </c>
      <c r="L246" s="21">
        <f>IF(ISERROR(VLOOKUP($F246,#REF!,6,0)*G246/1000),0,VLOOKUP($F246,#REF!,6,0)*G246/1000)</f>
        <v>0</v>
      </c>
      <c r="M246" s="21">
        <f>IF(ISERROR(VLOOKUP($F246,#REF!,6,0)*H246/1000),0,VLOOKUP($F246,#REF!,6,0)*H246/1000)</f>
        <v>0</v>
      </c>
      <c r="N246" s="21">
        <f>IF(ISERROR(VLOOKUP($F246,#REF!,6,0)*I246/1000),0,VLOOKUP($F246,#REF!,6,0)*I246/1000)</f>
        <v>0</v>
      </c>
      <c r="O246" s="21">
        <f>IF(ISERROR(VLOOKUP($F246,#REF!,6,0)*J246/1000),0,VLOOKUP($F246,#REF!,6,0)*J246/1000)</f>
        <v>0</v>
      </c>
      <c r="P246" s="21">
        <f>IF(ISERROR(VLOOKUP(F246,#REF!,6,0)*K246/1000),0,VLOOKUP(F246,#REF!,6,0)*K246/1000)</f>
        <v>0</v>
      </c>
      <c r="Q246" s="6">
        <f>IF(ISERROR(VLOOKUP(F246,#REF!,3,0)),0,VLOOKUP(F246,#REF!,3,0))</f>
        <v>0</v>
      </c>
      <c r="R246" s="6">
        <f>IF(ISERROR(VLOOKUP(F246,#REF!,4,0)),0,VLOOKUP(F246,#REF!,4,0))</f>
        <v>0</v>
      </c>
      <c r="S246" s="8">
        <f>IF(ISERROR(VLOOKUP(F246,#REF!,4,0)),0,VLOOKUP(F246,#REF!,10,0)/60*K246)</f>
        <v>0</v>
      </c>
      <c r="T246" s="3"/>
      <c r="U246" s="3"/>
      <c r="V246" s="4"/>
    </row>
    <row r="247" spans="1:22" x14ac:dyDescent="0.3">
      <c r="A247" s="5">
        <f t="shared" si="10"/>
        <v>2019</v>
      </c>
      <c r="B247" s="6" t="str">
        <f t="shared" si="11"/>
        <v>SETEMBRO</v>
      </c>
      <c r="C247" s="13">
        <v>43733</v>
      </c>
      <c r="D247" s="26"/>
      <c r="E247" s="19">
        <v>1</v>
      </c>
      <c r="F247" s="15">
        <v>26</v>
      </c>
      <c r="G247" s="17">
        <v>1268</v>
      </c>
      <c r="H247" s="17">
        <v>412</v>
      </c>
      <c r="I247" s="17">
        <v>154</v>
      </c>
      <c r="K247" s="18">
        <f t="shared" si="9"/>
        <v>1834</v>
      </c>
      <c r="L247" s="21">
        <f>IF(ISERROR(VLOOKUP($F247,#REF!,6,0)*G247/1000),0,VLOOKUP($F247,#REF!,6,0)*G247/1000)</f>
        <v>0</v>
      </c>
      <c r="M247" s="21">
        <f>IF(ISERROR(VLOOKUP($F247,#REF!,6,0)*H247/1000),0,VLOOKUP($F247,#REF!,6,0)*H247/1000)</f>
        <v>0</v>
      </c>
      <c r="N247" s="21">
        <f>IF(ISERROR(VLOOKUP($F247,#REF!,6,0)*I247/1000),0,VLOOKUP($F247,#REF!,6,0)*I247/1000)</f>
        <v>0</v>
      </c>
      <c r="O247" s="21">
        <f>IF(ISERROR(VLOOKUP($F247,#REF!,6,0)*J247/1000),0,VLOOKUP($F247,#REF!,6,0)*J247/1000)</f>
        <v>0</v>
      </c>
      <c r="P247" s="21">
        <f>IF(ISERROR(VLOOKUP(F247,#REF!,6,0)*K247/1000),0,VLOOKUP(F247,#REF!,6,0)*K247/1000)</f>
        <v>0</v>
      </c>
      <c r="Q247" s="6">
        <f>IF(ISERROR(VLOOKUP(F247,#REF!,3,0)),0,VLOOKUP(F247,#REF!,3,0))</f>
        <v>0</v>
      </c>
      <c r="R247" s="6">
        <f>IF(ISERROR(VLOOKUP(F247,#REF!,4,0)),0,VLOOKUP(F247,#REF!,4,0))</f>
        <v>0</v>
      </c>
      <c r="S247" s="8">
        <f>IF(ISERROR(VLOOKUP(F247,#REF!,4,0)),0,VLOOKUP(F247,#REF!,10,0)/60*K247)</f>
        <v>0</v>
      </c>
      <c r="T247" s="3"/>
      <c r="U247" s="3"/>
      <c r="V247" s="4"/>
    </row>
    <row r="248" spans="1:22" x14ac:dyDescent="0.3">
      <c r="A248" s="5">
        <f t="shared" si="10"/>
        <v>2019</v>
      </c>
      <c r="B248" s="6" t="str">
        <f t="shared" si="11"/>
        <v>SETEMBRO</v>
      </c>
      <c r="C248" s="13">
        <v>43733</v>
      </c>
      <c r="D248" s="26"/>
      <c r="E248" s="19">
        <v>1</v>
      </c>
      <c r="F248" s="15">
        <v>46</v>
      </c>
      <c r="G248" s="17">
        <v>347</v>
      </c>
      <c r="H248" s="17">
        <v>308</v>
      </c>
      <c r="I248" s="17">
        <v>286</v>
      </c>
      <c r="K248" s="18">
        <f t="shared" si="9"/>
        <v>941</v>
      </c>
      <c r="L248" s="21">
        <f>IF(ISERROR(VLOOKUP($F248,#REF!,6,0)*G248/1000),0,VLOOKUP($F248,#REF!,6,0)*G248/1000)</f>
        <v>0</v>
      </c>
      <c r="M248" s="21">
        <f>IF(ISERROR(VLOOKUP($F248,#REF!,6,0)*H248/1000),0,VLOOKUP($F248,#REF!,6,0)*H248/1000)</f>
        <v>0</v>
      </c>
      <c r="N248" s="21">
        <f>IF(ISERROR(VLOOKUP($F248,#REF!,6,0)*I248/1000),0,VLOOKUP($F248,#REF!,6,0)*I248/1000)</f>
        <v>0</v>
      </c>
      <c r="O248" s="21">
        <f>IF(ISERROR(VLOOKUP($F248,#REF!,6,0)*J248/1000),0,VLOOKUP($F248,#REF!,6,0)*J248/1000)</f>
        <v>0</v>
      </c>
      <c r="P248" s="21">
        <f>IF(ISERROR(VLOOKUP(F248,#REF!,6,0)*K248/1000),0,VLOOKUP(F248,#REF!,6,0)*K248/1000)</f>
        <v>0</v>
      </c>
      <c r="Q248" s="6">
        <f>IF(ISERROR(VLOOKUP(F248,#REF!,3,0)),0,VLOOKUP(F248,#REF!,3,0))</f>
        <v>0</v>
      </c>
      <c r="R248" s="6">
        <f>IF(ISERROR(VLOOKUP(F248,#REF!,4,0)),0,VLOOKUP(F248,#REF!,4,0))</f>
        <v>0</v>
      </c>
      <c r="S248" s="8">
        <f>IF(ISERROR(VLOOKUP(F248,#REF!,4,0)),0,VLOOKUP(F248,#REF!,10,0)/60*K248)</f>
        <v>0</v>
      </c>
      <c r="T248" s="3"/>
      <c r="U248" s="3"/>
      <c r="V248" s="4"/>
    </row>
    <row r="249" spans="1:22" x14ac:dyDescent="0.3">
      <c r="A249" s="5">
        <f t="shared" si="10"/>
        <v>2019</v>
      </c>
      <c r="B249" s="6" t="str">
        <f t="shared" si="11"/>
        <v>SETEMBRO</v>
      </c>
      <c r="C249" s="13">
        <v>43733</v>
      </c>
      <c r="D249" s="26"/>
      <c r="E249" s="19">
        <v>1</v>
      </c>
      <c r="F249" s="15">
        <v>24</v>
      </c>
      <c r="G249" s="17">
        <v>135</v>
      </c>
      <c r="H249" s="17">
        <v>498</v>
      </c>
      <c r="I249" s="17">
        <v>40</v>
      </c>
      <c r="K249" s="18">
        <f t="shared" si="9"/>
        <v>673</v>
      </c>
      <c r="L249" s="21">
        <f>IF(ISERROR(VLOOKUP($F249,#REF!,6,0)*G249/1000),0,VLOOKUP($F249,#REF!,6,0)*G249/1000)</f>
        <v>0</v>
      </c>
      <c r="M249" s="21">
        <f>IF(ISERROR(VLOOKUP($F249,#REF!,6,0)*H249/1000),0,VLOOKUP($F249,#REF!,6,0)*H249/1000)</f>
        <v>0</v>
      </c>
      <c r="N249" s="21">
        <f>IF(ISERROR(VLOOKUP($F249,#REF!,6,0)*I249/1000),0,VLOOKUP($F249,#REF!,6,0)*I249/1000)</f>
        <v>0</v>
      </c>
      <c r="O249" s="21">
        <f>IF(ISERROR(VLOOKUP($F249,#REF!,6,0)*J249/1000),0,VLOOKUP($F249,#REF!,6,0)*J249/1000)</f>
        <v>0</v>
      </c>
      <c r="P249" s="21">
        <f>IF(ISERROR(VLOOKUP(F249,#REF!,6,0)*K249/1000),0,VLOOKUP(F249,#REF!,6,0)*K249/1000)</f>
        <v>0</v>
      </c>
      <c r="Q249" s="6">
        <f>IF(ISERROR(VLOOKUP(F249,#REF!,3,0)),0,VLOOKUP(F249,#REF!,3,0))</f>
        <v>0</v>
      </c>
      <c r="R249" s="6">
        <f>IF(ISERROR(VLOOKUP(F249,#REF!,4,0)),0,VLOOKUP(F249,#REF!,4,0))</f>
        <v>0</v>
      </c>
      <c r="S249" s="8">
        <f>IF(ISERROR(VLOOKUP(F249,#REF!,4,0)),0,VLOOKUP(F249,#REF!,10,0)/60*K249)</f>
        <v>0</v>
      </c>
      <c r="T249" s="3"/>
      <c r="U249" s="3"/>
      <c r="V249" s="4"/>
    </row>
    <row r="250" spans="1:22" x14ac:dyDescent="0.3">
      <c r="A250" s="5">
        <f t="shared" si="10"/>
        <v>2019</v>
      </c>
      <c r="B250" s="6" t="str">
        <f t="shared" si="11"/>
        <v>SETEMBRO</v>
      </c>
      <c r="C250" s="13">
        <v>43733</v>
      </c>
      <c r="D250" s="26"/>
      <c r="E250" s="19">
        <v>1</v>
      </c>
      <c r="F250" s="15">
        <v>26</v>
      </c>
      <c r="G250" s="17">
        <v>863</v>
      </c>
      <c r="K250" s="18">
        <f t="shared" si="9"/>
        <v>863</v>
      </c>
      <c r="L250" s="21">
        <f>IF(ISERROR(VLOOKUP($F250,#REF!,6,0)*G250/1000),0,VLOOKUP($F250,#REF!,6,0)*G250/1000)</f>
        <v>0</v>
      </c>
      <c r="M250" s="21">
        <f>IF(ISERROR(VLOOKUP($F250,#REF!,6,0)*H250/1000),0,VLOOKUP($F250,#REF!,6,0)*H250/1000)</f>
        <v>0</v>
      </c>
      <c r="N250" s="21">
        <f>IF(ISERROR(VLOOKUP($F250,#REF!,6,0)*I250/1000),0,VLOOKUP($F250,#REF!,6,0)*I250/1000)</f>
        <v>0</v>
      </c>
      <c r="O250" s="21">
        <f>IF(ISERROR(VLOOKUP($F250,#REF!,6,0)*J250/1000),0,VLOOKUP($F250,#REF!,6,0)*J250/1000)</f>
        <v>0</v>
      </c>
      <c r="P250" s="21">
        <f>IF(ISERROR(VLOOKUP(F250,#REF!,6,0)*K250/1000),0,VLOOKUP(F250,#REF!,6,0)*K250/1000)</f>
        <v>0</v>
      </c>
      <c r="Q250" s="6">
        <f>IF(ISERROR(VLOOKUP(F250,#REF!,3,0)),0,VLOOKUP(F250,#REF!,3,0))</f>
        <v>0</v>
      </c>
      <c r="R250" s="6">
        <f>IF(ISERROR(VLOOKUP(F250,#REF!,4,0)),0,VLOOKUP(F250,#REF!,4,0))</f>
        <v>0</v>
      </c>
      <c r="S250" s="8">
        <f>IF(ISERROR(VLOOKUP(F250,#REF!,4,0)),0,VLOOKUP(F250,#REF!,10,0)/60*K250)</f>
        <v>0</v>
      </c>
      <c r="T250" s="3"/>
      <c r="U250" s="3"/>
      <c r="V250" s="4"/>
    </row>
    <row r="251" spans="1:22" x14ac:dyDescent="0.3">
      <c r="A251" s="5">
        <f t="shared" si="10"/>
        <v>2019</v>
      </c>
      <c r="B251" s="6" t="str">
        <f t="shared" si="11"/>
        <v>SETEMBRO</v>
      </c>
      <c r="C251" s="13">
        <v>43733</v>
      </c>
      <c r="D251" s="26"/>
      <c r="E251" s="19">
        <v>1</v>
      </c>
      <c r="F251" s="15">
        <v>24</v>
      </c>
      <c r="G251" s="17">
        <v>262</v>
      </c>
      <c r="K251" s="18">
        <f t="shared" si="9"/>
        <v>262</v>
      </c>
      <c r="L251" s="21">
        <f>IF(ISERROR(VLOOKUP($F251,#REF!,6,0)*G251/1000),0,VLOOKUP($F251,#REF!,6,0)*G251/1000)</f>
        <v>0</v>
      </c>
      <c r="M251" s="21">
        <f>IF(ISERROR(VLOOKUP($F251,#REF!,6,0)*H251/1000),0,VLOOKUP($F251,#REF!,6,0)*H251/1000)</f>
        <v>0</v>
      </c>
      <c r="N251" s="21">
        <f>IF(ISERROR(VLOOKUP($F251,#REF!,6,0)*I251/1000),0,VLOOKUP($F251,#REF!,6,0)*I251/1000)</f>
        <v>0</v>
      </c>
      <c r="O251" s="21">
        <f>IF(ISERROR(VLOOKUP($F251,#REF!,6,0)*J251/1000),0,VLOOKUP($F251,#REF!,6,0)*J251/1000)</f>
        <v>0</v>
      </c>
      <c r="P251" s="21">
        <f>IF(ISERROR(VLOOKUP(F251,#REF!,6,0)*K251/1000),0,VLOOKUP(F251,#REF!,6,0)*K251/1000)</f>
        <v>0</v>
      </c>
      <c r="Q251" s="6">
        <f>IF(ISERROR(VLOOKUP(F251,#REF!,3,0)),0,VLOOKUP(F251,#REF!,3,0))</f>
        <v>0</v>
      </c>
      <c r="R251" s="6">
        <f>IF(ISERROR(VLOOKUP(F251,#REF!,4,0)),0,VLOOKUP(F251,#REF!,4,0))</f>
        <v>0</v>
      </c>
      <c r="S251" s="8">
        <f>IF(ISERROR(VLOOKUP(F251,#REF!,4,0)),0,VLOOKUP(F251,#REF!,10,0)/60*K251)</f>
        <v>0</v>
      </c>
      <c r="T251" s="3"/>
      <c r="U251" s="3"/>
      <c r="V251" s="4"/>
    </row>
    <row r="252" spans="1:22" x14ac:dyDescent="0.3">
      <c r="A252" s="5">
        <f t="shared" si="10"/>
        <v>2019</v>
      </c>
      <c r="B252" s="6" t="str">
        <f t="shared" si="11"/>
        <v>SETEMBRO</v>
      </c>
      <c r="C252" s="13">
        <v>43733</v>
      </c>
      <c r="D252" s="26"/>
      <c r="E252" s="19">
        <v>2</v>
      </c>
      <c r="F252" s="15">
        <v>26</v>
      </c>
      <c r="G252" s="17">
        <v>1602</v>
      </c>
      <c r="H252" s="17">
        <v>900</v>
      </c>
      <c r="I252" s="17">
        <v>110</v>
      </c>
      <c r="K252" s="18">
        <f t="shared" si="9"/>
        <v>2612</v>
      </c>
      <c r="L252" s="21">
        <f>IF(ISERROR(VLOOKUP($F252,#REF!,6,0)*G252/1000),0,VLOOKUP($F252,#REF!,6,0)*G252/1000)</f>
        <v>0</v>
      </c>
      <c r="M252" s="21">
        <f>IF(ISERROR(VLOOKUP($F252,#REF!,6,0)*H252/1000),0,VLOOKUP($F252,#REF!,6,0)*H252/1000)</f>
        <v>0</v>
      </c>
      <c r="N252" s="21">
        <f>IF(ISERROR(VLOOKUP($F252,#REF!,6,0)*I252/1000),0,VLOOKUP($F252,#REF!,6,0)*I252/1000)</f>
        <v>0</v>
      </c>
      <c r="O252" s="21">
        <f>IF(ISERROR(VLOOKUP($F252,#REF!,6,0)*J252/1000),0,VLOOKUP($F252,#REF!,6,0)*J252/1000)</f>
        <v>0</v>
      </c>
      <c r="P252" s="21">
        <f>IF(ISERROR(VLOOKUP(F252,#REF!,6,0)*K252/1000),0,VLOOKUP(F252,#REF!,6,0)*K252/1000)</f>
        <v>0</v>
      </c>
      <c r="Q252" s="6">
        <f>IF(ISERROR(VLOOKUP(F252,#REF!,3,0)),0,VLOOKUP(F252,#REF!,3,0))</f>
        <v>0</v>
      </c>
      <c r="R252" s="6">
        <f>IF(ISERROR(VLOOKUP(F252,#REF!,4,0)),0,VLOOKUP(F252,#REF!,4,0))</f>
        <v>0</v>
      </c>
      <c r="S252" s="8">
        <f>IF(ISERROR(VLOOKUP(F252,#REF!,4,0)),0,VLOOKUP(F252,#REF!,10,0)/60*K252)</f>
        <v>0</v>
      </c>
      <c r="T252" s="3"/>
      <c r="U252" s="3"/>
      <c r="V252" s="4"/>
    </row>
    <row r="253" spans="1:22" x14ac:dyDescent="0.3">
      <c r="A253" s="5">
        <f t="shared" si="10"/>
        <v>2019</v>
      </c>
      <c r="B253" s="6" t="str">
        <f t="shared" si="11"/>
        <v>SETEMBRO</v>
      </c>
      <c r="C253" s="13">
        <v>43733</v>
      </c>
      <c r="D253" s="26"/>
      <c r="E253" s="19">
        <v>2</v>
      </c>
      <c r="F253" s="15">
        <v>46</v>
      </c>
      <c r="G253" s="17">
        <v>657</v>
      </c>
      <c r="H253" s="17">
        <v>83</v>
      </c>
      <c r="I253" s="17">
        <v>347</v>
      </c>
      <c r="K253" s="18">
        <f t="shared" si="9"/>
        <v>1087</v>
      </c>
      <c r="L253" s="21">
        <f>IF(ISERROR(VLOOKUP($F253,#REF!,6,0)*G253/1000),0,VLOOKUP($F253,#REF!,6,0)*G253/1000)</f>
        <v>0</v>
      </c>
      <c r="M253" s="21">
        <f>IF(ISERROR(VLOOKUP($F253,#REF!,6,0)*H253/1000),0,VLOOKUP($F253,#REF!,6,0)*H253/1000)</f>
        <v>0</v>
      </c>
      <c r="N253" s="21">
        <f>IF(ISERROR(VLOOKUP($F253,#REF!,6,0)*I253/1000),0,VLOOKUP($F253,#REF!,6,0)*I253/1000)</f>
        <v>0</v>
      </c>
      <c r="O253" s="21">
        <f>IF(ISERROR(VLOOKUP($F253,#REF!,6,0)*J253/1000),0,VLOOKUP($F253,#REF!,6,0)*J253/1000)</f>
        <v>0</v>
      </c>
      <c r="P253" s="21">
        <f>IF(ISERROR(VLOOKUP(F253,#REF!,6,0)*K253/1000),0,VLOOKUP(F253,#REF!,6,0)*K253/1000)</f>
        <v>0</v>
      </c>
      <c r="Q253" s="6">
        <f>IF(ISERROR(VLOOKUP(F253,#REF!,3,0)),0,VLOOKUP(F253,#REF!,3,0))</f>
        <v>0</v>
      </c>
      <c r="R253" s="6">
        <f>IF(ISERROR(VLOOKUP(F253,#REF!,4,0)),0,VLOOKUP(F253,#REF!,4,0))</f>
        <v>0</v>
      </c>
      <c r="S253" s="8">
        <f>IF(ISERROR(VLOOKUP(F253,#REF!,4,0)),0,VLOOKUP(F253,#REF!,10,0)/60*K253)</f>
        <v>0</v>
      </c>
      <c r="T253" s="3"/>
      <c r="U253" s="3"/>
      <c r="V253" s="4"/>
    </row>
    <row r="254" spans="1:22" x14ac:dyDescent="0.3">
      <c r="A254" s="5">
        <f t="shared" si="10"/>
        <v>2019</v>
      </c>
      <c r="B254" s="6" t="str">
        <f t="shared" si="11"/>
        <v>SETEMBRO</v>
      </c>
      <c r="C254" s="13">
        <v>43733</v>
      </c>
      <c r="D254" s="26"/>
      <c r="E254" s="19">
        <v>2</v>
      </c>
      <c r="F254" s="15">
        <v>24</v>
      </c>
      <c r="G254" s="17">
        <v>985</v>
      </c>
      <c r="H254" s="17">
        <v>86</v>
      </c>
      <c r="I254" s="17">
        <v>243</v>
      </c>
      <c r="K254" s="18">
        <f t="shared" si="9"/>
        <v>1314</v>
      </c>
      <c r="L254" s="21">
        <f>IF(ISERROR(VLOOKUP($F254,#REF!,6,0)*G254/1000),0,VLOOKUP($F254,#REF!,6,0)*G254/1000)</f>
        <v>0</v>
      </c>
      <c r="M254" s="21">
        <f>IF(ISERROR(VLOOKUP($F254,#REF!,6,0)*H254/1000),0,VLOOKUP($F254,#REF!,6,0)*H254/1000)</f>
        <v>0</v>
      </c>
      <c r="N254" s="21">
        <f>IF(ISERROR(VLOOKUP($F254,#REF!,6,0)*I254/1000),0,VLOOKUP($F254,#REF!,6,0)*I254/1000)</f>
        <v>0</v>
      </c>
      <c r="O254" s="21">
        <f>IF(ISERROR(VLOOKUP($F254,#REF!,6,0)*J254/1000),0,VLOOKUP($F254,#REF!,6,0)*J254/1000)</f>
        <v>0</v>
      </c>
      <c r="P254" s="21">
        <f>IF(ISERROR(VLOOKUP(F254,#REF!,6,0)*K254/1000),0,VLOOKUP(F254,#REF!,6,0)*K254/1000)</f>
        <v>0</v>
      </c>
      <c r="Q254" s="6">
        <f>IF(ISERROR(VLOOKUP(F254,#REF!,3,0)),0,VLOOKUP(F254,#REF!,3,0))</f>
        <v>0</v>
      </c>
      <c r="R254" s="6">
        <f>IF(ISERROR(VLOOKUP(F254,#REF!,4,0)),0,VLOOKUP(F254,#REF!,4,0))</f>
        <v>0</v>
      </c>
      <c r="S254" s="8">
        <f>IF(ISERROR(VLOOKUP(F254,#REF!,4,0)),0,VLOOKUP(F254,#REF!,10,0)/60*K254)</f>
        <v>0</v>
      </c>
      <c r="T254" s="3"/>
      <c r="U254" s="3"/>
      <c r="V254" s="4"/>
    </row>
    <row r="255" spans="1:22" x14ac:dyDescent="0.3">
      <c r="A255" s="5">
        <f t="shared" si="10"/>
        <v>2019</v>
      </c>
      <c r="B255" s="6" t="str">
        <f t="shared" si="11"/>
        <v>SETEMBRO</v>
      </c>
      <c r="C255" s="13">
        <v>43733</v>
      </c>
      <c r="D255" s="26"/>
      <c r="E255" s="19">
        <v>3</v>
      </c>
      <c r="F255" s="15">
        <v>31</v>
      </c>
      <c r="G255" s="17">
        <v>315</v>
      </c>
      <c r="H255" s="17">
        <v>220</v>
      </c>
      <c r="J255" s="17">
        <v>40</v>
      </c>
      <c r="K255" s="18">
        <f t="shared" si="9"/>
        <v>575</v>
      </c>
      <c r="L255" s="21">
        <f>IF(ISERROR(VLOOKUP($F255,#REF!,6,0)*G255/1000),0,VLOOKUP($F255,#REF!,6,0)*G255/1000)</f>
        <v>0</v>
      </c>
      <c r="M255" s="21">
        <f>IF(ISERROR(VLOOKUP($F255,#REF!,6,0)*H255/1000),0,VLOOKUP($F255,#REF!,6,0)*H255/1000)</f>
        <v>0</v>
      </c>
      <c r="N255" s="21">
        <f>IF(ISERROR(VLOOKUP($F255,#REF!,6,0)*I255/1000),0,VLOOKUP($F255,#REF!,6,0)*I255/1000)</f>
        <v>0</v>
      </c>
      <c r="O255" s="21">
        <f>IF(ISERROR(VLOOKUP($F255,#REF!,6,0)*J255/1000),0,VLOOKUP($F255,#REF!,6,0)*J255/1000)</f>
        <v>0</v>
      </c>
      <c r="P255" s="21">
        <f>IF(ISERROR(VLOOKUP(F255,#REF!,6,0)*K255/1000),0,VLOOKUP(F255,#REF!,6,0)*K255/1000)</f>
        <v>0</v>
      </c>
      <c r="Q255" s="6">
        <f>IF(ISERROR(VLOOKUP(F255,#REF!,3,0)),0,VLOOKUP(F255,#REF!,3,0))</f>
        <v>0</v>
      </c>
      <c r="R255" s="6">
        <f>IF(ISERROR(VLOOKUP(F255,#REF!,4,0)),0,VLOOKUP(F255,#REF!,4,0))</f>
        <v>0</v>
      </c>
      <c r="S255" s="8">
        <f>IF(ISERROR(VLOOKUP(F255,#REF!,4,0)),0,VLOOKUP(F255,#REF!,10,0)/60*K255)</f>
        <v>0</v>
      </c>
      <c r="T255" s="3"/>
      <c r="U255" s="3"/>
      <c r="V255" s="4"/>
    </row>
    <row r="256" spans="1:22" x14ac:dyDescent="0.3">
      <c r="A256" s="5">
        <f t="shared" si="10"/>
        <v>2019</v>
      </c>
      <c r="B256" s="6" t="str">
        <f t="shared" si="11"/>
        <v>SETEMBRO</v>
      </c>
      <c r="C256" s="13">
        <v>43733</v>
      </c>
      <c r="D256" s="26"/>
      <c r="E256" s="19">
        <v>3</v>
      </c>
      <c r="F256" s="15">
        <v>32</v>
      </c>
      <c r="G256" s="17">
        <v>585</v>
      </c>
      <c r="H256" s="17">
        <v>180</v>
      </c>
      <c r="J256" s="17">
        <v>45</v>
      </c>
      <c r="K256" s="18">
        <f t="shared" si="9"/>
        <v>810</v>
      </c>
      <c r="L256" s="21">
        <f>IF(ISERROR(VLOOKUP($F256,#REF!,6,0)*G256/1000),0,VLOOKUP($F256,#REF!,6,0)*G256/1000)</f>
        <v>0</v>
      </c>
      <c r="M256" s="21">
        <f>IF(ISERROR(VLOOKUP($F256,#REF!,6,0)*H256/1000),0,VLOOKUP($F256,#REF!,6,0)*H256/1000)</f>
        <v>0</v>
      </c>
      <c r="N256" s="21">
        <f>IF(ISERROR(VLOOKUP($F256,#REF!,6,0)*I256/1000),0,VLOOKUP($F256,#REF!,6,0)*I256/1000)</f>
        <v>0</v>
      </c>
      <c r="O256" s="21">
        <f>IF(ISERROR(VLOOKUP($F256,#REF!,6,0)*J256/1000),0,VLOOKUP($F256,#REF!,6,0)*J256/1000)</f>
        <v>0</v>
      </c>
      <c r="P256" s="21">
        <f>IF(ISERROR(VLOOKUP(F256,#REF!,6,0)*K256/1000),0,VLOOKUP(F256,#REF!,6,0)*K256/1000)</f>
        <v>0</v>
      </c>
      <c r="Q256" s="6">
        <f>IF(ISERROR(VLOOKUP(F256,#REF!,3,0)),0,VLOOKUP(F256,#REF!,3,0))</f>
        <v>0</v>
      </c>
      <c r="R256" s="6">
        <f>IF(ISERROR(VLOOKUP(F256,#REF!,4,0)),0,VLOOKUP(F256,#REF!,4,0))</f>
        <v>0</v>
      </c>
      <c r="S256" s="8">
        <f>IF(ISERROR(VLOOKUP(F256,#REF!,4,0)),0,VLOOKUP(F256,#REF!,10,0)/60*K256)</f>
        <v>0</v>
      </c>
      <c r="T256" s="3"/>
      <c r="U256" s="3"/>
      <c r="V256" s="4"/>
    </row>
    <row r="257" spans="1:22" x14ac:dyDescent="0.3">
      <c r="A257" s="5">
        <f t="shared" si="10"/>
        <v>2019</v>
      </c>
      <c r="B257" s="6" t="str">
        <f t="shared" si="11"/>
        <v>SETEMBRO</v>
      </c>
      <c r="C257" s="13">
        <v>43733</v>
      </c>
      <c r="D257" s="26"/>
      <c r="E257" s="19">
        <v>3</v>
      </c>
      <c r="F257" s="15">
        <v>13</v>
      </c>
      <c r="G257" s="17">
        <v>640</v>
      </c>
      <c r="H257" s="17">
        <v>75</v>
      </c>
      <c r="J257" s="17">
        <v>47</v>
      </c>
      <c r="K257" s="18">
        <f t="shared" si="9"/>
        <v>762</v>
      </c>
      <c r="L257" s="21">
        <f>IF(ISERROR(VLOOKUP($F257,#REF!,6,0)*G257/1000),0,VLOOKUP($F257,#REF!,6,0)*G257/1000)</f>
        <v>0</v>
      </c>
      <c r="M257" s="21">
        <f>IF(ISERROR(VLOOKUP($F257,#REF!,6,0)*H257/1000),0,VLOOKUP($F257,#REF!,6,0)*H257/1000)</f>
        <v>0</v>
      </c>
      <c r="N257" s="21">
        <f>IF(ISERROR(VLOOKUP($F257,#REF!,6,0)*I257/1000),0,VLOOKUP($F257,#REF!,6,0)*I257/1000)</f>
        <v>0</v>
      </c>
      <c r="O257" s="21">
        <f>IF(ISERROR(VLOOKUP($F257,#REF!,6,0)*J257/1000),0,VLOOKUP($F257,#REF!,6,0)*J257/1000)</f>
        <v>0</v>
      </c>
      <c r="P257" s="21">
        <f>IF(ISERROR(VLOOKUP(F257,#REF!,6,0)*K257/1000),0,VLOOKUP(F257,#REF!,6,0)*K257/1000)</f>
        <v>0</v>
      </c>
      <c r="Q257" s="6">
        <f>IF(ISERROR(VLOOKUP(F257,#REF!,3,0)),0,VLOOKUP(F257,#REF!,3,0))</f>
        <v>0</v>
      </c>
      <c r="R257" s="6">
        <f>IF(ISERROR(VLOOKUP(F257,#REF!,4,0)),0,VLOOKUP(F257,#REF!,4,0))</f>
        <v>0</v>
      </c>
      <c r="S257" s="8">
        <f>IF(ISERROR(VLOOKUP(F257,#REF!,4,0)),0,VLOOKUP(F257,#REF!,10,0)/60*K257)</f>
        <v>0</v>
      </c>
      <c r="T257" s="3"/>
      <c r="U257" s="3"/>
      <c r="V257" s="4"/>
    </row>
    <row r="258" spans="1:22" x14ac:dyDescent="0.3">
      <c r="A258" s="5">
        <f t="shared" si="10"/>
        <v>2019</v>
      </c>
      <c r="B258" s="6" t="str">
        <f t="shared" si="11"/>
        <v>SETEMBRO</v>
      </c>
      <c r="C258" s="13">
        <v>43733</v>
      </c>
      <c r="D258" s="26"/>
      <c r="E258" s="19">
        <v>3</v>
      </c>
      <c r="F258" s="15">
        <v>38</v>
      </c>
      <c r="G258" s="17">
        <v>120</v>
      </c>
      <c r="H258" s="17">
        <v>25</v>
      </c>
      <c r="J258" s="17">
        <v>11</v>
      </c>
      <c r="K258" s="18">
        <f t="shared" si="9"/>
        <v>156</v>
      </c>
      <c r="L258" s="21">
        <f>IF(ISERROR(VLOOKUP($F258,#REF!,6,0)*G258/1000),0,VLOOKUP($F258,#REF!,6,0)*G258/1000)</f>
        <v>0</v>
      </c>
      <c r="M258" s="21">
        <f>IF(ISERROR(VLOOKUP($F258,#REF!,6,0)*H258/1000),0,VLOOKUP($F258,#REF!,6,0)*H258/1000)</f>
        <v>0</v>
      </c>
      <c r="N258" s="21">
        <f>IF(ISERROR(VLOOKUP($F258,#REF!,6,0)*I258/1000),0,VLOOKUP($F258,#REF!,6,0)*I258/1000)</f>
        <v>0</v>
      </c>
      <c r="O258" s="21">
        <f>IF(ISERROR(VLOOKUP($F258,#REF!,6,0)*J258/1000),0,VLOOKUP($F258,#REF!,6,0)*J258/1000)</f>
        <v>0</v>
      </c>
      <c r="P258" s="21">
        <f>IF(ISERROR(VLOOKUP(F258,#REF!,6,0)*K258/1000),0,VLOOKUP(F258,#REF!,6,0)*K258/1000)</f>
        <v>0</v>
      </c>
      <c r="Q258" s="6">
        <f>IF(ISERROR(VLOOKUP(F258,#REF!,3,0)),0,VLOOKUP(F258,#REF!,3,0))</f>
        <v>0</v>
      </c>
      <c r="R258" s="6">
        <f>IF(ISERROR(VLOOKUP(F258,#REF!,4,0)),0,VLOOKUP(F258,#REF!,4,0))</f>
        <v>0</v>
      </c>
      <c r="S258" s="8">
        <f>IF(ISERROR(VLOOKUP(F258,#REF!,4,0)),0,VLOOKUP(F258,#REF!,10,0)/60*K258)</f>
        <v>0</v>
      </c>
      <c r="T258" s="3"/>
      <c r="U258" s="3"/>
      <c r="V258" s="4"/>
    </row>
    <row r="259" spans="1:22" x14ac:dyDescent="0.3">
      <c r="A259" s="5">
        <f t="shared" si="10"/>
        <v>2019</v>
      </c>
      <c r="B259" s="6" t="str">
        <f t="shared" si="11"/>
        <v>SETEMBRO</v>
      </c>
      <c r="C259" s="13">
        <v>43733</v>
      </c>
      <c r="D259" s="26"/>
      <c r="E259" s="19">
        <v>3</v>
      </c>
      <c r="F259" s="15">
        <v>24</v>
      </c>
      <c r="G259" s="17">
        <v>1850</v>
      </c>
      <c r="I259" s="17">
        <v>112</v>
      </c>
      <c r="J259" s="17">
        <v>20</v>
      </c>
      <c r="K259" s="18">
        <f t="shared" si="9"/>
        <v>1982</v>
      </c>
      <c r="L259" s="21">
        <f>IF(ISERROR(VLOOKUP($F259,#REF!,6,0)*G259/1000),0,VLOOKUP($F259,#REF!,6,0)*G259/1000)</f>
        <v>0</v>
      </c>
      <c r="M259" s="21">
        <f>IF(ISERROR(VLOOKUP($F259,#REF!,6,0)*H259/1000),0,VLOOKUP($F259,#REF!,6,0)*H259/1000)</f>
        <v>0</v>
      </c>
      <c r="N259" s="21">
        <f>IF(ISERROR(VLOOKUP($F259,#REF!,6,0)*I259/1000),0,VLOOKUP($F259,#REF!,6,0)*I259/1000)</f>
        <v>0</v>
      </c>
      <c r="O259" s="21">
        <f>IF(ISERROR(VLOOKUP($F259,#REF!,6,0)*J259/1000),0,VLOOKUP($F259,#REF!,6,0)*J259/1000)</f>
        <v>0</v>
      </c>
      <c r="P259" s="21">
        <f>IF(ISERROR(VLOOKUP(F259,#REF!,6,0)*K259/1000),0,VLOOKUP(F259,#REF!,6,0)*K259/1000)</f>
        <v>0</v>
      </c>
      <c r="Q259" s="6">
        <f>IF(ISERROR(VLOOKUP(F259,#REF!,3,0)),0,VLOOKUP(F259,#REF!,3,0))</f>
        <v>0</v>
      </c>
      <c r="R259" s="6">
        <f>IF(ISERROR(VLOOKUP(F259,#REF!,4,0)),0,VLOOKUP(F259,#REF!,4,0))</f>
        <v>0</v>
      </c>
      <c r="S259" s="8">
        <f>IF(ISERROR(VLOOKUP(F259,#REF!,4,0)),0,VLOOKUP(F259,#REF!,10,0)/60*K259)</f>
        <v>0</v>
      </c>
      <c r="T259" s="3"/>
      <c r="U259" s="3"/>
      <c r="V259" s="4"/>
    </row>
    <row r="260" spans="1:22" x14ac:dyDescent="0.3">
      <c r="A260" s="5">
        <f t="shared" si="10"/>
        <v>2019</v>
      </c>
      <c r="B260" s="6" t="str">
        <f t="shared" si="11"/>
        <v>SETEMBRO</v>
      </c>
      <c r="C260" s="13">
        <v>43734</v>
      </c>
      <c r="D260" s="26"/>
      <c r="E260" s="19">
        <v>1</v>
      </c>
      <c r="F260" s="15">
        <v>31</v>
      </c>
      <c r="G260" s="17">
        <v>240</v>
      </c>
      <c r="H260" s="17">
        <v>50</v>
      </c>
      <c r="I260" s="17">
        <v>10</v>
      </c>
      <c r="J260" s="17">
        <v>250</v>
      </c>
      <c r="K260" s="18">
        <f t="shared" ref="K260:K323" si="12">SUM(G260:J260)</f>
        <v>550</v>
      </c>
      <c r="L260" s="21">
        <f>IF(ISERROR(VLOOKUP($F260,#REF!,6,0)*G260/1000),0,VLOOKUP($F260,#REF!,6,0)*G260/1000)</f>
        <v>0</v>
      </c>
      <c r="M260" s="21">
        <f>IF(ISERROR(VLOOKUP($F260,#REF!,6,0)*H260/1000),0,VLOOKUP($F260,#REF!,6,0)*H260/1000)</f>
        <v>0</v>
      </c>
      <c r="N260" s="21">
        <f>IF(ISERROR(VLOOKUP($F260,#REF!,6,0)*I260/1000),0,VLOOKUP($F260,#REF!,6,0)*I260/1000)</f>
        <v>0</v>
      </c>
      <c r="O260" s="21">
        <f>IF(ISERROR(VLOOKUP($F260,#REF!,6,0)*J260/1000),0,VLOOKUP($F260,#REF!,6,0)*J260/1000)</f>
        <v>0</v>
      </c>
      <c r="P260" s="21">
        <f>IF(ISERROR(VLOOKUP(F260,#REF!,6,0)*K260/1000),0,VLOOKUP(F260,#REF!,6,0)*K260/1000)</f>
        <v>0</v>
      </c>
      <c r="Q260" s="6">
        <f>IF(ISERROR(VLOOKUP(F260,#REF!,3,0)),0,VLOOKUP(F260,#REF!,3,0))</f>
        <v>0</v>
      </c>
      <c r="R260" s="6">
        <f>IF(ISERROR(VLOOKUP(F260,#REF!,4,0)),0,VLOOKUP(F260,#REF!,4,0))</f>
        <v>0</v>
      </c>
      <c r="S260" s="8">
        <f>IF(ISERROR(VLOOKUP(F260,#REF!,4,0)),0,VLOOKUP(F260,#REF!,10,0)/60*K260)</f>
        <v>0</v>
      </c>
      <c r="T260" s="3"/>
      <c r="U260" s="3"/>
      <c r="V260" s="4"/>
    </row>
    <row r="261" spans="1:22" x14ac:dyDescent="0.3">
      <c r="A261" s="5">
        <f t="shared" ref="A261:A324" si="13">IF(C261=0,0,YEAR(C261))</f>
        <v>2019</v>
      </c>
      <c r="B261" s="6" t="str">
        <f t="shared" ref="B261:B324" si="14">IF(C261&gt;0,VLOOKUP(MONTH($C261),$AJ$3:$AK$14,2,0),0)</f>
        <v>SETEMBRO</v>
      </c>
      <c r="C261" s="13">
        <v>43734</v>
      </c>
      <c r="D261" s="26"/>
      <c r="E261" s="19">
        <v>1</v>
      </c>
      <c r="F261" s="15">
        <v>31</v>
      </c>
      <c r="G261" s="17">
        <v>1000</v>
      </c>
      <c r="H261" s="17">
        <v>250</v>
      </c>
      <c r="I261" s="17">
        <v>15</v>
      </c>
      <c r="J261" s="17">
        <v>180</v>
      </c>
      <c r="K261" s="18">
        <f t="shared" si="12"/>
        <v>1445</v>
      </c>
      <c r="L261" s="21">
        <f>IF(ISERROR(VLOOKUP($F261,#REF!,6,0)*G261/1000),0,VLOOKUP($F261,#REF!,6,0)*G261/1000)</f>
        <v>0</v>
      </c>
      <c r="M261" s="21">
        <f>IF(ISERROR(VLOOKUP($F261,#REF!,6,0)*H261/1000),0,VLOOKUP($F261,#REF!,6,0)*H261/1000)</f>
        <v>0</v>
      </c>
      <c r="N261" s="21">
        <f>IF(ISERROR(VLOOKUP($F261,#REF!,6,0)*I261/1000),0,VLOOKUP($F261,#REF!,6,0)*I261/1000)</f>
        <v>0</v>
      </c>
      <c r="O261" s="21">
        <f>IF(ISERROR(VLOOKUP($F261,#REF!,6,0)*J261/1000),0,VLOOKUP($F261,#REF!,6,0)*J261/1000)</f>
        <v>0</v>
      </c>
      <c r="P261" s="21">
        <f>IF(ISERROR(VLOOKUP(F261,#REF!,6,0)*K261/1000),0,VLOOKUP(F261,#REF!,6,0)*K261/1000)</f>
        <v>0</v>
      </c>
      <c r="Q261" s="6">
        <f>IF(ISERROR(VLOOKUP(F261,#REF!,3,0)),0,VLOOKUP(F261,#REF!,3,0))</f>
        <v>0</v>
      </c>
      <c r="R261" s="6">
        <f>IF(ISERROR(VLOOKUP(F261,#REF!,4,0)),0,VLOOKUP(F261,#REF!,4,0))</f>
        <v>0</v>
      </c>
      <c r="S261" s="8">
        <f>IF(ISERROR(VLOOKUP(F261,#REF!,4,0)),0,VLOOKUP(F261,#REF!,10,0)/60*K261)</f>
        <v>0</v>
      </c>
      <c r="T261" s="3"/>
      <c r="U261" s="3"/>
      <c r="V261" s="4"/>
    </row>
    <row r="262" spans="1:22" x14ac:dyDescent="0.3">
      <c r="A262" s="5">
        <f t="shared" si="13"/>
        <v>2019</v>
      </c>
      <c r="B262" s="6" t="str">
        <f t="shared" si="14"/>
        <v>SETEMBRO</v>
      </c>
      <c r="C262" s="13">
        <v>43734</v>
      </c>
      <c r="D262" s="26"/>
      <c r="E262" s="19">
        <v>1</v>
      </c>
      <c r="F262" s="15">
        <v>31</v>
      </c>
      <c r="G262" s="17">
        <v>1000</v>
      </c>
      <c r="H262" s="17">
        <v>200</v>
      </c>
      <c r="I262" s="17">
        <v>20</v>
      </c>
      <c r="J262" s="17">
        <v>112</v>
      </c>
      <c r="K262" s="18">
        <f t="shared" si="12"/>
        <v>1332</v>
      </c>
      <c r="L262" s="21">
        <f>IF(ISERROR(VLOOKUP($F262,#REF!,6,0)*G262/1000),0,VLOOKUP($F262,#REF!,6,0)*G262/1000)</f>
        <v>0</v>
      </c>
      <c r="M262" s="21">
        <f>IF(ISERROR(VLOOKUP($F262,#REF!,6,0)*H262/1000),0,VLOOKUP($F262,#REF!,6,0)*H262/1000)</f>
        <v>0</v>
      </c>
      <c r="N262" s="21">
        <f>IF(ISERROR(VLOOKUP($F262,#REF!,6,0)*I262/1000),0,VLOOKUP($F262,#REF!,6,0)*I262/1000)</f>
        <v>0</v>
      </c>
      <c r="O262" s="21">
        <f>IF(ISERROR(VLOOKUP($F262,#REF!,6,0)*J262/1000),0,VLOOKUP($F262,#REF!,6,0)*J262/1000)</f>
        <v>0</v>
      </c>
      <c r="P262" s="21">
        <f>IF(ISERROR(VLOOKUP(F262,#REF!,6,0)*K262/1000),0,VLOOKUP(F262,#REF!,6,0)*K262/1000)</f>
        <v>0</v>
      </c>
      <c r="Q262" s="6">
        <f>IF(ISERROR(VLOOKUP(F262,#REF!,3,0)),0,VLOOKUP(F262,#REF!,3,0))</f>
        <v>0</v>
      </c>
      <c r="R262" s="6">
        <f>IF(ISERROR(VLOOKUP(F262,#REF!,4,0)),0,VLOOKUP(F262,#REF!,4,0))</f>
        <v>0</v>
      </c>
      <c r="S262" s="8">
        <f>IF(ISERROR(VLOOKUP(F262,#REF!,4,0)),0,VLOOKUP(F262,#REF!,10,0)/60*K262)</f>
        <v>0</v>
      </c>
      <c r="T262" s="3"/>
      <c r="U262" s="3"/>
      <c r="V262" s="4"/>
    </row>
    <row r="263" spans="1:22" x14ac:dyDescent="0.3">
      <c r="A263" s="5">
        <f t="shared" si="13"/>
        <v>2019</v>
      </c>
      <c r="B263" s="6" t="str">
        <f t="shared" si="14"/>
        <v>SETEMBRO</v>
      </c>
      <c r="C263" s="13">
        <v>43734</v>
      </c>
      <c r="D263" s="26"/>
      <c r="E263" s="19">
        <v>2</v>
      </c>
      <c r="F263" s="15">
        <v>31</v>
      </c>
      <c r="G263" s="17">
        <v>720</v>
      </c>
      <c r="H263" s="17">
        <v>130</v>
      </c>
      <c r="I263" s="17">
        <v>68</v>
      </c>
      <c r="K263" s="18">
        <f t="shared" si="12"/>
        <v>918</v>
      </c>
      <c r="L263" s="21">
        <f>IF(ISERROR(VLOOKUP($F263,#REF!,6,0)*G263/1000),0,VLOOKUP($F263,#REF!,6,0)*G263/1000)</f>
        <v>0</v>
      </c>
      <c r="M263" s="21">
        <f>IF(ISERROR(VLOOKUP($F263,#REF!,6,0)*H263/1000),0,VLOOKUP($F263,#REF!,6,0)*H263/1000)</f>
        <v>0</v>
      </c>
      <c r="N263" s="21">
        <f>IF(ISERROR(VLOOKUP($F263,#REF!,6,0)*I263/1000),0,VLOOKUP($F263,#REF!,6,0)*I263/1000)</f>
        <v>0</v>
      </c>
      <c r="O263" s="21">
        <f>IF(ISERROR(VLOOKUP($F263,#REF!,6,0)*J263/1000),0,VLOOKUP($F263,#REF!,6,0)*J263/1000)</f>
        <v>0</v>
      </c>
      <c r="P263" s="21">
        <f>IF(ISERROR(VLOOKUP(F263,#REF!,6,0)*K263/1000),0,VLOOKUP(F263,#REF!,6,0)*K263/1000)</f>
        <v>0</v>
      </c>
      <c r="Q263" s="6">
        <f>IF(ISERROR(VLOOKUP(F263,#REF!,3,0)),0,VLOOKUP(F263,#REF!,3,0))</f>
        <v>0</v>
      </c>
      <c r="R263" s="6">
        <f>IF(ISERROR(VLOOKUP(F263,#REF!,4,0)),0,VLOOKUP(F263,#REF!,4,0))</f>
        <v>0</v>
      </c>
      <c r="S263" s="8">
        <f>IF(ISERROR(VLOOKUP(F263,#REF!,4,0)),0,VLOOKUP(F263,#REF!,10,0)/60*K263)</f>
        <v>0</v>
      </c>
      <c r="T263" s="3"/>
      <c r="U263" s="3"/>
      <c r="V263" s="4"/>
    </row>
    <row r="264" spans="1:22" x14ac:dyDescent="0.3">
      <c r="A264" s="5">
        <f t="shared" si="13"/>
        <v>2019</v>
      </c>
      <c r="B264" s="6" t="str">
        <f t="shared" si="14"/>
        <v>SETEMBRO</v>
      </c>
      <c r="C264" s="13">
        <v>43734</v>
      </c>
      <c r="D264" s="26"/>
      <c r="E264" s="19">
        <v>1</v>
      </c>
      <c r="F264" s="15">
        <v>26</v>
      </c>
      <c r="G264" s="17">
        <v>1159</v>
      </c>
      <c r="H264" s="17">
        <v>104</v>
      </c>
      <c r="I264" s="17">
        <v>87</v>
      </c>
      <c r="K264" s="18">
        <f t="shared" si="12"/>
        <v>1350</v>
      </c>
      <c r="L264" s="21">
        <f>IF(ISERROR(VLOOKUP($F264,#REF!,6,0)*G264/1000),0,VLOOKUP($F264,#REF!,6,0)*G264/1000)</f>
        <v>0</v>
      </c>
      <c r="M264" s="21">
        <f>IF(ISERROR(VLOOKUP($F264,#REF!,6,0)*H264/1000),0,VLOOKUP($F264,#REF!,6,0)*H264/1000)</f>
        <v>0</v>
      </c>
      <c r="N264" s="21">
        <f>IF(ISERROR(VLOOKUP($F264,#REF!,6,0)*I264/1000),0,VLOOKUP($F264,#REF!,6,0)*I264/1000)</f>
        <v>0</v>
      </c>
      <c r="O264" s="21">
        <f>IF(ISERROR(VLOOKUP($F264,#REF!,6,0)*J264/1000),0,VLOOKUP($F264,#REF!,6,0)*J264/1000)</f>
        <v>0</v>
      </c>
      <c r="P264" s="21">
        <f>IF(ISERROR(VLOOKUP(F264,#REF!,6,0)*K264/1000),0,VLOOKUP(F264,#REF!,6,0)*K264/1000)</f>
        <v>0</v>
      </c>
      <c r="Q264" s="6">
        <f>IF(ISERROR(VLOOKUP(F264,#REF!,3,0)),0,VLOOKUP(F264,#REF!,3,0))</f>
        <v>0</v>
      </c>
      <c r="R264" s="6">
        <f>IF(ISERROR(VLOOKUP(F264,#REF!,4,0)),0,VLOOKUP(F264,#REF!,4,0))</f>
        <v>0</v>
      </c>
      <c r="S264" s="8">
        <f>IF(ISERROR(VLOOKUP(F264,#REF!,4,0)),0,VLOOKUP(F264,#REF!,10,0)/60*K264)</f>
        <v>0</v>
      </c>
      <c r="T264" s="3"/>
      <c r="U264" s="3"/>
      <c r="V264" s="4"/>
    </row>
    <row r="265" spans="1:22" x14ac:dyDescent="0.3">
      <c r="A265" s="5">
        <f t="shared" si="13"/>
        <v>2019</v>
      </c>
      <c r="B265" s="6" t="str">
        <f t="shared" si="14"/>
        <v>SETEMBRO</v>
      </c>
      <c r="C265" s="13">
        <v>43734</v>
      </c>
      <c r="D265" s="26"/>
      <c r="E265" s="19">
        <v>1</v>
      </c>
      <c r="F265" s="15">
        <v>46</v>
      </c>
      <c r="G265" s="17">
        <v>368</v>
      </c>
      <c r="H265" s="17">
        <v>220</v>
      </c>
      <c r="I265" s="17">
        <v>247</v>
      </c>
      <c r="K265" s="18">
        <f t="shared" si="12"/>
        <v>835</v>
      </c>
      <c r="L265" s="21">
        <f>IF(ISERROR(VLOOKUP($F265,#REF!,6,0)*G265/1000),0,VLOOKUP($F265,#REF!,6,0)*G265/1000)</f>
        <v>0</v>
      </c>
      <c r="M265" s="21">
        <f>IF(ISERROR(VLOOKUP($F265,#REF!,6,0)*H265/1000),0,VLOOKUP($F265,#REF!,6,0)*H265/1000)</f>
        <v>0</v>
      </c>
      <c r="N265" s="21">
        <f>IF(ISERROR(VLOOKUP($F265,#REF!,6,0)*I265/1000),0,VLOOKUP($F265,#REF!,6,0)*I265/1000)</f>
        <v>0</v>
      </c>
      <c r="O265" s="21">
        <f>IF(ISERROR(VLOOKUP($F265,#REF!,6,0)*J265/1000),0,VLOOKUP($F265,#REF!,6,0)*J265/1000)</f>
        <v>0</v>
      </c>
      <c r="P265" s="21">
        <f>IF(ISERROR(VLOOKUP(F265,#REF!,6,0)*K265/1000),0,VLOOKUP(F265,#REF!,6,0)*K265/1000)</f>
        <v>0</v>
      </c>
      <c r="Q265" s="6">
        <f>IF(ISERROR(VLOOKUP(F265,#REF!,3,0)),0,VLOOKUP(F265,#REF!,3,0))</f>
        <v>0</v>
      </c>
      <c r="R265" s="6">
        <f>IF(ISERROR(VLOOKUP(F265,#REF!,4,0)),0,VLOOKUP(F265,#REF!,4,0))</f>
        <v>0</v>
      </c>
      <c r="S265" s="8">
        <f>IF(ISERROR(VLOOKUP(F265,#REF!,4,0)),0,VLOOKUP(F265,#REF!,10,0)/60*K265)</f>
        <v>0</v>
      </c>
      <c r="T265" s="3"/>
      <c r="U265" s="3"/>
      <c r="V265" s="4"/>
    </row>
    <row r="266" spans="1:22" x14ac:dyDescent="0.3">
      <c r="A266" s="5">
        <f t="shared" si="13"/>
        <v>2019</v>
      </c>
      <c r="B266" s="6" t="str">
        <f t="shared" si="14"/>
        <v>SETEMBRO</v>
      </c>
      <c r="C266" s="13">
        <v>43734</v>
      </c>
      <c r="D266" s="26"/>
      <c r="E266" s="19">
        <v>1</v>
      </c>
      <c r="F266" s="15">
        <v>49</v>
      </c>
      <c r="G266" s="17">
        <v>512</v>
      </c>
      <c r="H266" s="17">
        <v>15</v>
      </c>
      <c r="I266" s="17">
        <v>14</v>
      </c>
      <c r="K266" s="18">
        <f t="shared" si="12"/>
        <v>541</v>
      </c>
      <c r="L266" s="21">
        <f>IF(ISERROR(VLOOKUP($F266,#REF!,6,0)*G266/1000),0,VLOOKUP($F266,#REF!,6,0)*G266/1000)</f>
        <v>0</v>
      </c>
      <c r="M266" s="21">
        <f>IF(ISERROR(VLOOKUP($F266,#REF!,6,0)*H266/1000),0,VLOOKUP($F266,#REF!,6,0)*H266/1000)</f>
        <v>0</v>
      </c>
      <c r="N266" s="21">
        <f>IF(ISERROR(VLOOKUP($F266,#REF!,6,0)*I266/1000),0,VLOOKUP($F266,#REF!,6,0)*I266/1000)</f>
        <v>0</v>
      </c>
      <c r="O266" s="21">
        <f>IF(ISERROR(VLOOKUP($F266,#REF!,6,0)*J266/1000),0,VLOOKUP($F266,#REF!,6,0)*J266/1000)</f>
        <v>0</v>
      </c>
      <c r="P266" s="21">
        <f>IF(ISERROR(VLOOKUP(F266,#REF!,6,0)*K266/1000),0,VLOOKUP(F266,#REF!,6,0)*K266/1000)</f>
        <v>0</v>
      </c>
      <c r="Q266" s="6">
        <f>IF(ISERROR(VLOOKUP(F266,#REF!,3,0)),0,VLOOKUP(F266,#REF!,3,0))</f>
        <v>0</v>
      </c>
      <c r="R266" s="6">
        <f>IF(ISERROR(VLOOKUP(F266,#REF!,4,0)),0,VLOOKUP(F266,#REF!,4,0))</f>
        <v>0</v>
      </c>
      <c r="S266" s="8">
        <f>IF(ISERROR(VLOOKUP(F266,#REF!,4,0)),0,VLOOKUP(F266,#REF!,10,0)/60*K266)</f>
        <v>0</v>
      </c>
      <c r="T266" s="3"/>
      <c r="U266" s="3"/>
      <c r="V266" s="4"/>
    </row>
    <row r="267" spans="1:22" x14ac:dyDescent="0.3">
      <c r="A267" s="5">
        <f t="shared" si="13"/>
        <v>2019</v>
      </c>
      <c r="B267" s="6" t="str">
        <f t="shared" si="14"/>
        <v>SETEMBRO</v>
      </c>
      <c r="C267" s="13">
        <v>43734</v>
      </c>
      <c r="D267" s="26"/>
      <c r="E267" s="19">
        <v>1</v>
      </c>
      <c r="F267" s="15">
        <v>48</v>
      </c>
      <c r="G267" s="17">
        <v>528</v>
      </c>
      <c r="H267" s="17">
        <v>40</v>
      </c>
      <c r="I267" s="17">
        <v>70</v>
      </c>
      <c r="K267" s="18">
        <f t="shared" si="12"/>
        <v>638</v>
      </c>
      <c r="L267" s="21">
        <f>IF(ISERROR(VLOOKUP($F267,#REF!,6,0)*G267/1000),0,VLOOKUP($F267,#REF!,6,0)*G267/1000)</f>
        <v>0</v>
      </c>
      <c r="M267" s="21">
        <f>IF(ISERROR(VLOOKUP($F267,#REF!,6,0)*H267/1000),0,VLOOKUP($F267,#REF!,6,0)*H267/1000)</f>
        <v>0</v>
      </c>
      <c r="N267" s="21">
        <f>IF(ISERROR(VLOOKUP($F267,#REF!,6,0)*I267/1000),0,VLOOKUP($F267,#REF!,6,0)*I267/1000)</f>
        <v>0</v>
      </c>
      <c r="O267" s="21">
        <f>IF(ISERROR(VLOOKUP($F267,#REF!,6,0)*J267/1000),0,VLOOKUP($F267,#REF!,6,0)*J267/1000)</f>
        <v>0</v>
      </c>
      <c r="P267" s="21">
        <f>IF(ISERROR(VLOOKUP(F267,#REF!,6,0)*K267/1000),0,VLOOKUP(F267,#REF!,6,0)*K267/1000)</f>
        <v>0</v>
      </c>
      <c r="Q267" s="6">
        <f>IF(ISERROR(VLOOKUP(F267,#REF!,3,0)),0,VLOOKUP(F267,#REF!,3,0))</f>
        <v>0</v>
      </c>
      <c r="R267" s="6">
        <f>IF(ISERROR(VLOOKUP(F267,#REF!,4,0)),0,VLOOKUP(F267,#REF!,4,0))</f>
        <v>0</v>
      </c>
      <c r="S267" s="8">
        <f>IF(ISERROR(VLOOKUP(F267,#REF!,4,0)),0,VLOOKUP(F267,#REF!,10,0)/60*K267)</f>
        <v>0</v>
      </c>
      <c r="T267" s="3"/>
      <c r="U267" s="3"/>
      <c r="V267" s="4"/>
    </row>
    <row r="268" spans="1:22" x14ac:dyDescent="0.3">
      <c r="A268" s="5">
        <f t="shared" si="13"/>
        <v>2019</v>
      </c>
      <c r="B268" s="6" t="str">
        <f t="shared" si="14"/>
        <v>SETEMBRO</v>
      </c>
      <c r="C268" s="13">
        <v>43734</v>
      </c>
      <c r="D268" s="26"/>
      <c r="E268" s="19">
        <v>1</v>
      </c>
      <c r="F268" s="15">
        <v>49</v>
      </c>
      <c r="G268" s="17">
        <v>320</v>
      </c>
      <c r="I268" s="17">
        <v>11</v>
      </c>
      <c r="K268" s="18">
        <f t="shared" si="12"/>
        <v>331</v>
      </c>
      <c r="L268" s="21">
        <f>IF(ISERROR(VLOOKUP($F268,#REF!,6,0)*G268/1000),0,VLOOKUP($F268,#REF!,6,0)*G268/1000)</f>
        <v>0</v>
      </c>
      <c r="M268" s="21">
        <f>IF(ISERROR(VLOOKUP($F268,#REF!,6,0)*H268/1000),0,VLOOKUP($F268,#REF!,6,0)*H268/1000)</f>
        <v>0</v>
      </c>
      <c r="N268" s="21">
        <f>IF(ISERROR(VLOOKUP($F268,#REF!,6,0)*I268/1000),0,VLOOKUP($F268,#REF!,6,0)*I268/1000)</f>
        <v>0</v>
      </c>
      <c r="O268" s="21">
        <f>IF(ISERROR(VLOOKUP($F268,#REF!,6,0)*J268/1000),0,VLOOKUP($F268,#REF!,6,0)*J268/1000)</f>
        <v>0</v>
      </c>
      <c r="P268" s="21">
        <f>IF(ISERROR(VLOOKUP(F268,#REF!,6,0)*K268/1000),0,VLOOKUP(F268,#REF!,6,0)*K268/1000)</f>
        <v>0</v>
      </c>
      <c r="Q268" s="6">
        <f>IF(ISERROR(VLOOKUP(F268,#REF!,3,0)),0,VLOOKUP(F268,#REF!,3,0))</f>
        <v>0</v>
      </c>
      <c r="R268" s="6">
        <f>IF(ISERROR(VLOOKUP(F268,#REF!,4,0)),0,VLOOKUP(F268,#REF!,4,0))</f>
        <v>0</v>
      </c>
      <c r="S268" s="8">
        <f>IF(ISERROR(VLOOKUP(F268,#REF!,4,0)),0,VLOOKUP(F268,#REF!,10,0)/60*K268)</f>
        <v>0</v>
      </c>
      <c r="T268" s="3"/>
      <c r="U268" s="3"/>
      <c r="V268" s="4"/>
    </row>
    <row r="269" spans="1:22" x14ac:dyDescent="0.3">
      <c r="A269" s="5">
        <f t="shared" si="13"/>
        <v>2019</v>
      </c>
      <c r="B269" s="6" t="str">
        <f t="shared" si="14"/>
        <v>SETEMBRO</v>
      </c>
      <c r="C269" s="13">
        <v>43734</v>
      </c>
      <c r="D269" s="26"/>
      <c r="E269" s="19">
        <v>2</v>
      </c>
      <c r="F269" s="15">
        <v>46</v>
      </c>
      <c r="G269" s="17">
        <v>1086</v>
      </c>
      <c r="H269" s="17">
        <v>182</v>
      </c>
      <c r="I269" s="17">
        <v>43</v>
      </c>
      <c r="K269" s="18">
        <f t="shared" si="12"/>
        <v>1311</v>
      </c>
      <c r="L269" s="21">
        <f>IF(ISERROR(VLOOKUP($F269,#REF!,6,0)*G269/1000),0,VLOOKUP($F269,#REF!,6,0)*G269/1000)</f>
        <v>0</v>
      </c>
      <c r="M269" s="21">
        <f>IF(ISERROR(VLOOKUP($F269,#REF!,6,0)*H269/1000),0,VLOOKUP($F269,#REF!,6,0)*H269/1000)</f>
        <v>0</v>
      </c>
      <c r="N269" s="21">
        <f>IF(ISERROR(VLOOKUP($F269,#REF!,6,0)*I269/1000),0,VLOOKUP($F269,#REF!,6,0)*I269/1000)</f>
        <v>0</v>
      </c>
      <c r="O269" s="21">
        <f>IF(ISERROR(VLOOKUP($F269,#REF!,6,0)*J269/1000),0,VLOOKUP($F269,#REF!,6,0)*J269/1000)</f>
        <v>0</v>
      </c>
      <c r="P269" s="21">
        <f>IF(ISERROR(VLOOKUP(F269,#REF!,6,0)*K269/1000),0,VLOOKUP(F269,#REF!,6,0)*K269/1000)</f>
        <v>0</v>
      </c>
      <c r="Q269" s="6">
        <f>IF(ISERROR(VLOOKUP(F269,#REF!,3,0)),0,VLOOKUP(F269,#REF!,3,0))</f>
        <v>0</v>
      </c>
      <c r="R269" s="6">
        <f>IF(ISERROR(VLOOKUP(F269,#REF!,4,0)),0,VLOOKUP(F269,#REF!,4,0))</f>
        <v>0</v>
      </c>
      <c r="S269" s="8">
        <f>IF(ISERROR(VLOOKUP(F269,#REF!,4,0)),0,VLOOKUP(F269,#REF!,10,0)/60*K269)</f>
        <v>0</v>
      </c>
      <c r="T269" s="3"/>
      <c r="U269" s="3"/>
      <c r="V269" s="4"/>
    </row>
    <row r="270" spans="1:22" x14ac:dyDescent="0.3">
      <c r="A270" s="5">
        <f t="shared" si="13"/>
        <v>2019</v>
      </c>
      <c r="B270" s="6" t="str">
        <f t="shared" si="14"/>
        <v>SETEMBRO</v>
      </c>
      <c r="C270" s="13">
        <v>43734</v>
      </c>
      <c r="D270" s="26"/>
      <c r="E270" s="19">
        <v>2</v>
      </c>
      <c r="F270" s="15">
        <v>24</v>
      </c>
      <c r="G270" s="17">
        <v>705</v>
      </c>
      <c r="H270" s="17">
        <v>97</v>
      </c>
      <c r="I270" s="17">
        <v>155</v>
      </c>
      <c r="K270" s="18">
        <f t="shared" si="12"/>
        <v>957</v>
      </c>
      <c r="L270" s="21">
        <f>IF(ISERROR(VLOOKUP($F270,#REF!,6,0)*G270/1000),0,VLOOKUP($F270,#REF!,6,0)*G270/1000)</f>
        <v>0</v>
      </c>
      <c r="M270" s="21">
        <f>IF(ISERROR(VLOOKUP($F270,#REF!,6,0)*H270/1000),0,VLOOKUP($F270,#REF!,6,0)*H270/1000)</f>
        <v>0</v>
      </c>
      <c r="N270" s="21">
        <f>IF(ISERROR(VLOOKUP($F270,#REF!,6,0)*I270/1000),0,VLOOKUP($F270,#REF!,6,0)*I270/1000)</f>
        <v>0</v>
      </c>
      <c r="O270" s="21">
        <f>IF(ISERROR(VLOOKUP($F270,#REF!,6,0)*J270/1000),0,VLOOKUP($F270,#REF!,6,0)*J270/1000)</f>
        <v>0</v>
      </c>
      <c r="P270" s="21">
        <f>IF(ISERROR(VLOOKUP(F270,#REF!,6,0)*K270/1000),0,VLOOKUP(F270,#REF!,6,0)*K270/1000)</f>
        <v>0</v>
      </c>
      <c r="Q270" s="6">
        <f>IF(ISERROR(VLOOKUP(F270,#REF!,3,0)),0,VLOOKUP(F270,#REF!,3,0))</f>
        <v>0</v>
      </c>
      <c r="R270" s="6">
        <f>IF(ISERROR(VLOOKUP(F270,#REF!,4,0)),0,VLOOKUP(F270,#REF!,4,0))</f>
        <v>0</v>
      </c>
      <c r="S270" s="8">
        <f>IF(ISERROR(VLOOKUP(F270,#REF!,4,0)),0,VLOOKUP(F270,#REF!,10,0)/60*K270)</f>
        <v>0</v>
      </c>
      <c r="T270" s="3"/>
      <c r="U270" s="3"/>
      <c r="V270" s="4"/>
    </row>
    <row r="271" spans="1:22" x14ac:dyDescent="0.3">
      <c r="A271" s="5">
        <f t="shared" si="13"/>
        <v>2019</v>
      </c>
      <c r="B271" s="6" t="str">
        <f t="shared" si="14"/>
        <v>SETEMBRO</v>
      </c>
      <c r="C271" s="13">
        <v>43734</v>
      </c>
      <c r="D271" s="26"/>
      <c r="E271" s="19">
        <v>2</v>
      </c>
      <c r="F271" s="15">
        <v>46</v>
      </c>
      <c r="G271" s="17">
        <v>1062</v>
      </c>
      <c r="H271" s="17">
        <v>136</v>
      </c>
      <c r="I271" s="17">
        <v>28</v>
      </c>
      <c r="K271" s="18">
        <f t="shared" si="12"/>
        <v>1226</v>
      </c>
      <c r="L271" s="21">
        <f>IF(ISERROR(VLOOKUP($F271,#REF!,6,0)*G271/1000),0,VLOOKUP($F271,#REF!,6,0)*G271/1000)</f>
        <v>0</v>
      </c>
      <c r="M271" s="21">
        <f>IF(ISERROR(VLOOKUP($F271,#REF!,6,0)*H271/1000),0,VLOOKUP($F271,#REF!,6,0)*H271/1000)</f>
        <v>0</v>
      </c>
      <c r="N271" s="21">
        <f>IF(ISERROR(VLOOKUP($F271,#REF!,6,0)*I271/1000),0,VLOOKUP($F271,#REF!,6,0)*I271/1000)</f>
        <v>0</v>
      </c>
      <c r="O271" s="21">
        <f>IF(ISERROR(VLOOKUP($F271,#REF!,6,0)*J271/1000),0,VLOOKUP($F271,#REF!,6,0)*J271/1000)</f>
        <v>0</v>
      </c>
      <c r="P271" s="21">
        <f>IF(ISERROR(VLOOKUP(F271,#REF!,6,0)*K271/1000),0,VLOOKUP(F271,#REF!,6,0)*K271/1000)</f>
        <v>0</v>
      </c>
      <c r="Q271" s="6">
        <f>IF(ISERROR(VLOOKUP(F271,#REF!,3,0)),0,VLOOKUP(F271,#REF!,3,0))</f>
        <v>0</v>
      </c>
      <c r="R271" s="6">
        <f>IF(ISERROR(VLOOKUP(F271,#REF!,4,0)),0,VLOOKUP(F271,#REF!,4,0))</f>
        <v>0</v>
      </c>
      <c r="S271" s="8">
        <f>IF(ISERROR(VLOOKUP(F271,#REF!,4,0)),0,VLOOKUP(F271,#REF!,10,0)/60*K271)</f>
        <v>0</v>
      </c>
      <c r="T271" s="3"/>
      <c r="U271" s="3"/>
      <c r="V271" s="4"/>
    </row>
    <row r="272" spans="1:22" x14ac:dyDescent="0.3">
      <c r="A272" s="5">
        <f t="shared" si="13"/>
        <v>2019</v>
      </c>
      <c r="B272" s="6" t="str">
        <f t="shared" si="14"/>
        <v>SETEMBRO</v>
      </c>
      <c r="C272" s="13">
        <v>43734</v>
      </c>
      <c r="D272" s="26"/>
      <c r="E272" s="19">
        <v>2</v>
      </c>
      <c r="F272" s="15">
        <v>24</v>
      </c>
      <c r="G272" s="17">
        <v>77</v>
      </c>
      <c r="K272" s="18">
        <f t="shared" si="12"/>
        <v>77</v>
      </c>
      <c r="L272" s="21">
        <f>IF(ISERROR(VLOOKUP($F272,#REF!,6,0)*G272/1000),0,VLOOKUP($F272,#REF!,6,0)*G272/1000)</f>
        <v>0</v>
      </c>
      <c r="M272" s="21">
        <f>IF(ISERROR(VLOOKUP($F272,#REF!,6,0)*H272/1000),0,VLOOKUP($F272,#REF!,6,0)*H272/1000)</f>
        <v>0</v>
      </c>
      <c r="N272" s="21">
        <f>IF(ISERROR(VLOOKUP($F272,#REF!,6,0)*I272/1000),0,VLOOKUP($F272,#REF!,6,0)*I272/1000)</f>
        <v>0</v>
      </c>
      <c r="O272" s="21">
        <f>IF(ISERROR(VLOOKUP($F272,#REF!,6,0)*J272/1000),0,VLOOKUP($F272,#REF!,6,0)*J272/1000)</f>
        <v>0</v>
      </c>
      <c r="P272" s="21">
        <f>IF(ISERROR(VLOOKUP(F272,#REF!,6,0)*K272/1000),0,VLOOKUP(F272,#REF!,6,0)*K272/1000)</f>
        <v>0</v>
      </c>
      <c r="Q272" s="6">
        <f>IF(ISERROR(VLOOKUP(F272,#REF!,3,0)),0,VLOOKUP(F272,#REF!,3,0))</f>
        <v>0</v>
      </c>
      <c r="R272" s="6">
        <f>IF(ISERROR(VLOOKUP(F272,#REF!,4,0)),0,VLOOKUP(F272,#REF!,4,0))</f>
        <v>0</v>
      </c>
      <c r="S272" s="8">
        <f>IF(ISERROR(VLOOKUP(F272,#REF!,4,0)),0,VLOOKUP(F272,#REF!,10,0)/60*K272)</f>
        <v>0</v>
      </c>
      <c r="T272" s="3"/>
      <c r="U272" s="3"/>
      <c r="V272" s="4"/>
    </row>
    <row r="273" spans="1:22" x14ac:dyDescent="0.3">
      <c r="A273" s="5">
        <f t="shared" si="13"/>
        <v>2019</v>
      </c>
      <c r="B273" s="6" t="str">
        <f t="shared" si="14"/>
        <v>SETEMBRO</v>
      </c>
      <c r="C273" s="13">
        <v>43734</v>
      </c>
      <c r="D273" s="26"/>
      <c r="E273" s="19">
        <v>3</v>
      </c>
      <c r="F273" s="15">
        <v>9</v>
      </c>
      <c r="G273" s="17">
        <v>23</v>
      </c>
      <c r="H273" s="17">
        <v>160</v>
      </c>
      <c r="K273" s="18">
        <f t="shared" si="12"/>
        <v>183</v>
      </c>
      <c r="L273" s="21">
        <f>IF(ISERROR(VLOOKUP($F273,#REF!,6,0)*G273/1000),0,VLOOKUP($F273,#REF!,6,0)*G273/1000)</f>
        <v>0</v>
      </c>
      <c r="M273" s="21">
        <f>IF(ISERROR(VLOOKUP($F273,#REF!,6,0)*H273/1000),0,VLOOKUP($F273,#REF!,6,0)*H273/1000)</f>
        <v>0</v>
      </c>
      <c r="N273" s="21">
        <f>IF(ISERROR(VLOOKUP($F273,#REF!,6,0)*I273/1000),0,VLOOKUP($F273,#REF!,6,0)*I273/1000)</f>
        <v>0</v>
      </c>
      <c r="O273" s="21">
        <f>IF(ISERROR(VLOOKUP($F273,#REF!,6,0)*J273/1000),0,VLOOKUP($F273,#REF!,6,0)*J273/1000)</f>
        <v>0</v>
      </c>
      <c r="P273" s="21">
        <f>IF(ISERROR(VLOOKUP(F273,#REF!,6,0)*K273/1000),0,VLOOKUP(F273,#REF!,6,0)*K273/1000)</f>
        <v>0</v>
      </c>
      <c r="Q273" s="6">
        <f>IF(ISERROR(VLOOKUP(F273,#REF!,3,0)),0,VLOOKUP(F273,#REF!,3,0))</f>
        <v>0</v>
      </c>
      <c r="R273" s="6">
        <f>IF(ISERROR(VLOOKUP(F273,#REF!,4,0)),0,VLOOKUP(F273,#REF!,4,0))</f>
        <v>0</v>
      </c>
      <c r="S273" s="8">
        <f>IF(ISERROR(VLOOKUP(F273,#REF!,4,0)),0,VLOOKUP(F273,#REF!,10,0)/60*K273)</f>
        <v>0</v>
      </c>
      <c r="T273" s="3"/>
      <c r="U273" s="3"/>
      <c r="V273" s="4"/>
    </row>
    <row r="274" spans="1:22" x14ac:dyDescent="0.3">
      <c r="A274" s="5">
        <f t="shared" si="13"/>
        <v>2019</v>
      </c>
      <c r="B274" s="6" t="str">
        <f t="shared" si="14"/>
        <v>SETEMBRO</v>
      </c>
      <c r="C274" s="13">
        <v>43734</v>
      </c>
      <c r="D274" s="26"/>
      <c r="E274" s="19">
        <v>3</v>
      </c>
      <c r="F274" s="15">
        <v>31</v>
      </c>
      <c r="G274" s="17">
        <v>520</v>
      </c>
      <c r="K274" s="18">
        <f t="shared" si="12"/>
        <v>520</v>
      </c>
      <c r="L274" s="21">
        <f>IF(ISERROR(VLOOKUP($F274,#REF!,6,0)*G274/1000),0,VLOOKUP($F274,#REF!,6,0)*G274/1000)</f>
        <v>0</v>
      </c>
      <c r="M274" s="21">
        <f>IF(ISERROR(VLOOKUP($F274,#REF!,6,0)*H274/1000),0,VLOOKUP($F274,#REF!,6,0)*H274/1000)</f>
        <v>0</v>
      </c>
      <c r="N274" s="21">
        <f>IF(ISERROR(VLOOKUP($F274,#REF!,6,0)*I274/1000),0,VLOOKUP($F274,#REF!,6,0)*I274/1000)</f>
        <v>0</v>
      </c>
      <c r="O274" s="21">
        <f>IF(ISERROR(VLOOKUP($F274,#REF!,6,0)*J274/1000),0,VLOOKUP($F274,#REF!,6,0)*J274/1000)</f>
        <v>0</v>
      </c>
      <c r="P274" s="21">
        <f>IF(ISERROR(VLOOKUP(F274,#REF!,6,0)*K274/1000),0,VLOOKUP(F274,#REF!,6,0)*K274/1000)</f>
        <v>0</v>
      </c>
      <c r="Q274" s="6">
        <f>IF(ISERROR(VLOOKUP(F274,#REF!,3,0)),0,VLOOKUP(F274,#REF!,3,0))</f>
        <v>0</v>
      </c>
      <c r="R274" s="6">
        <f>IF(ISERROR(VLOOKUP(F274,#REF!,4,0)),0,VLOOKUP(F274,#REF!,4,0))</f>
        <v>0</v>
      </c>
      <c r="S274" s="8">
        <f>IF(ISERROR(VLOOKUP(F274,#REF!,4,0)),0,VLOOKUP(F274,#REF!,10,0)/60*K274)</f>
        <v>0</v>
      </c>
      <c r="T274" s="3"/>
      <c r="U274" s="3"/>
      <c r="V274" s="4"/>
    </row>
    <row r="275" spans="1:22" x14ac:dyDescent="0.3">
      <c r="A275" s="5">
        <f t="shared" si="13"/>
        <v>2019</v>
      </c>
      <c r="B275" s="6" t="str">
        <f t="shared" si="14"/>
        <v>SETEMBRO</v>
      </c>
      <c r="C275" s="13">
        <v>43734</v>
      </c>
      <c r="D275" s="26"/>
      <c r="E275" s="19">
        <v>3</v>
      </c>
      <c r="F275" s="15">
        <v>31</v>
      </c>
      <c r="G275" s="17">
        <v>200</v>
      </c>
      <c r="K275" s="18">
        <f t="shared" si="12"/>
        <v>200</v>
      </c>
      <c r="L275" s="21">
        <f>IF(ISERROR(VLOOKUP($F275,#REF!,6,0)*G275/1000),0,VLOOKUP($F275,#REF!,6,0)*G275/1000)</f>
        <v>0</v>
      </c>
      <c r="M275" s="21">
        <f>IF(ISERROR(VLOOKUP($F275,#REF!,6,0)*H275/1000),0,VLOOKUP($F275,#REF!,6,0)*H275/1000)</f>
        <v>0</v>
      </c>
      <c r="N275" s="21">
        <f>IF(ISERROR(VLOOKUP($F275,#REF!,6,0)*I275/1000),0,VLOOKUP($F275,#REF!,6,0)*I275/1000)</f>
        <v>0</v>
      </c>
      <c r="O275" s="21">
        <f>IF(ISERROR(VLOOKUP($F275,#REF!,6,0)*J275/1000),0,VLOOKUP($F275,#REF!,6,0)*J275/1000)</f>
        <v>0</v>
      </c>
      <c r="P275" s="21">
        <f>IF(ISERROR(VLOOKUP(F275,#REF!,6,0)*K275/1000),0,VLOOKUP(F275,#REF!,6,0)*K275/1000)</f>
        <v>0</v>
      </c>
      <c r="Q275" s="6">
        <f>IF(ISERROR(VLOOKUP(F275,#REF!,3,0)),0,VLOOKUP(F275,#REF!,3,0))</f>
        <v>0</v>
      </c>
      <c r="R275" s="6">
        <f>IF(ISERROR(VLOOKUP(F275,#REF!,4,0)),0,VLOOKUP(F275,#REF!,4,0))</f>
        <v>0</v>
      </c>
      <c r="S275" s="8">
        <f>IF(ISERROR(VLOOKUP(F275,#REF!,4,0)),0,VLOOKUP(F275,#REF!,10,0)/60*K275)</f>
        <v>0</v>
      </c>
      <c r="T275" s="3"/>
      <c r="U275" s="3"/>
      <c r="V275" s="4"/>
    </row>
    <row r="276" spans="1:22" x14ac:dyDescent="0.3">
      <c r="A276" s="5">
        <f t="shared" si="13"/>
        <v>2019</v>
      </c>
      <c r="B276" s="6" t="str">
        <f t="shared" si="14"/>
        <v>SETEMBRO</v>
      </c>
      <c r="C276" s="13">
        <v>43734</v>
      </c>
      <c r="D276" s="26"/>
      <c r="E276" s="19">
        <v>3</v>
      </c>
      <c r="F276" s="15">
        <v>31</v>
      </c>
      <c r="G276" s="17">
        <v>40</v>
      </c>
      <c r="K276" s="18">
        <f t="shared" si="12"/>
        <v>40</v>
      </c>
      <c r="L276" s="21">
        <f>IF(ISERROR(VLOOKUP($F276,#REF!,6,0)*G276/1000),0,VLOOKUP($F276,#REF!,6,0)*G276/1000)</f>
        <v>0</v>
      </c>
      <c r="M276" s="21">
        <f>IF(ISERROR(VLOOKUP($F276,#REF!,6,0)*H276/1000),0,VLOOKUP($F276,#REF!,6,0)*H276/1000)</f>
        <v>0</v>
      </c>
      <c r="N276" s="21">
        <f>IF(ISERROR(VLOOKUP($F276,#REF!,6,0)*I276/1000),0,VLOOKUP($F276,#REF!,6,0)*I276/1000)</f>
        <v>0</v>
      </c>
      <c r="O276" s="21">
        <f>IF(ISERROR(VLOOKUP($F276,#REF!,6,0)*J276/1000),0,VLOOKUP($F276,#REF!,6,0)*J276/1000)</f>
        <v>0</v>
      </c>
      <c r="P276" s="21">
        <f>IF(ISERROR(VLOOKUP(F276,#REF!,6,0)*K276/1000),0,VLOOKUP(F276,#REF!,6,0)*K276/1000)</f>
        <v>0</v>
      </c>
      <c r="Q276" s="6">
        <f>IF(ISERROR(VLOOKUP(F276,#REF!,3,0)),0,VLOOKUP(F276,#REF!,3,0))</f>
        <v>0</v>
      </c>
      <c r="R276" s="6">
        <f>IF(ISERROR(VLOOKUP(F276,#REF!,4,0)),0,VLOOKUP(F276,#REF!,4,0))</f>
        <v>0</v>
      </c>
      <c r="S276" s="8">
        <f>IF(ISERROR(VLOOKUP(F276,#REF!,4,0)),0,VLOOKUP(F276,#REF!,10,0)/60*K276)</f>
        <v>0</v>
      </c>
      <c r="T276" s="3"/>
      <c r="U276" s="3"/>
      <c r="V276" s="4"/>
    </row>
    <row r="277" spans="1:22" x14ac:dyDescent="0.3">
      <c r="A277" s="5">
        <f t="shared" si="13"/>
        <v>2019</v>
      </c>
      <c r="B277" s="6" t="str">
        <f t="shared" si="14"/>
        <v>SETEMBRO</v>
      </c>
      <c r="C277" s="13">
        <v>43734</v>
      </c>
      <c r="D277" s="26"/>
      <c r="E277" s="19">
        <v>3</v>
      </c>
      <c r="F277" s="15">
        <v>47</v>
      </c>
      <c r="G277" s="17">
        <v>770</v>
      </c>
      <c r="H277" s="17">
        <v>45</v>
      </c>
      <c r="K277" s="18">
        <f t="shared" si="12"/>
        <v>815</v>
      </c>
      <c r="L277" s="21">
        <f>IF(ISERROR(VLOOKUP($F277,#REF!,6,0)*G277/1000),0,VLOOKUP($F277,#REF!,6,0)*G277/1000)</f>
        <v>0</v>
      </c>
      <c r="M277" s="21">
        <f>IF(ISERROR(VLOOKUP($F277,#REF!,6,0)*H277/1000),0,VLOOKUP($F277,#REF!,6,0)*H277/1000)</f>
        <v>0</v>
      </c>
      <c r="N277" s="21">
        <f>IF(ISERROR(VLOOKUP($F277,#REF!,6,0)*I277/1000),0,VLOOKUP($F277,#REF!,6,0)*I277/1000)</f>
        <v>0</v>
      </c>
      <c r="O277" s="21">
        <f>IF(ISERROR(VLOOKUP($F277,#REF!,6,0)*J277/1000),0,VLOOKUP($F277,#REF!,6,0)*J277/1000)</f>
        <v>0</v>
      </c>
      <c r="P277" s="21">
        <f>IF(ISERROR(VLOOKUP(F277,#REF!,6,0)*K277/1000),0,VLOOKUP(F277,#REF!,6,0)*K277/1000)</f>
        <v>0</v>
      </c>
      <c r="Q277" s="6">
        <f>IF(ISERROR(VLOOKUP(F277,#REF!,3,0)),0,VLOOKUP(F277,#REF!,3,0))</f>
        <v>0</v>
      </c>
      <c r="R277" s="6">
        <f>IF(ISERROR(VLOOKUP(F277,#REF!,4,0)),0,VLOOKUP(F277,#REF!,4,0))</f>
        <v>0</v>
      </c>
      <c r="S277" s="8">
        <f>IF(ISERROR(VLOOKUP(F277,#REF!,4,0)),0,VLOOKUP(F277,#REF!,10,0)/60*K277)</f>
        <v>0</v>
      </c>
      <c r="T277" s="3"/>
      <c r="U277" s="3"/>
      <c r="V277" s="4"/>
    </row>
    <row r="278" spans="1:22" x14ac:dyDescent="0.3">
      <c r="A278" s="5">
        <f t="shared" si="13"/>
        <v>2019</v>
      </c>
      <c r="B278" s="6" t="str">
        <f t="shared" si="14"/>
        <v>SETEMBRO</v>
      </c>
      <c r="C278" s="13">
        <v>43734</v>
      </c>
      <c r="D278" s="26"/>
      <c r="E278" s="19">
        <v>3</v>
      </c>
      <c r="F278" s="15">
        <v>47</v>
      </c>
      <c r="G278" s="17">
        <v>60</v>
      </c>
      <c r="H278" s="17">
        <v>15</v>
      </c>
      <c r="K278" s="18">
        <f t="shared" si="12"/>
        <v>75</v>
      </c>
      <c r="L278" s="21">
        <f>IF(ISERROR(VLOOKUP($F278,#REF!,6,0)*G278/1000),0,VLOOKUP($F278,#REF!,6,0)*G278/1000)</f>
        <v>0</v>
      </c>
      <c r="M278" s="21">
        <f>IF(ISERROR(VLOOKUP($F278,#REF!,6,0)*H278/1000),0,VLOOKUP($F278,#REF!,6,0)*H278/1000)</f>
        <v>0</v>
      </c>
      <c r="N278" s="21">
        <f>IF(ISERROR(VLOOKUP($F278,#REF!,6,0)*I278/1000),0,VLOOKUP($F278,#REF!,6,0)*I278/1000)</f>
        <v>0</v>
      </c>
      <c r="O278" s="21">
        <f>IF(ISERROR(VLOOKUP($F278,#REF!,6,0)*J278/1000),0,VLOOKUP($F278,#REF!,6,0)*J278/1000)</f>
        <v>0</v>
      </c>
      <c r="P278" s="21">
        <f>IF(ISERROR(VLOOKUP(F278,#REF!,6,0)*K278/1000),0,VLOOKUP(F278,#REF!,6,0)*K278/1000)</f>
        <v>0</v>
      </c>
      <c r="Q278" s="6">
        <f>IF(ISERROR(VLOOKUP(F278,#REF!,3,0)),0,VLOOKUP(F278,#REF!,3,0))</f>
        <v>0</v>
      </c>
      <c r="R278" s="6">
        <f>IF(ISERROR(VLOOKUP(F278,#REF!,4,0)),0,VLOOKUP(F278,#REF!,4,0))</f>
        <v>0</v>
      </c>
      <c r="S278" s="8">
        <f>IF(ISERROR(VLOOKUP(F278,#REF!,4,0)),0,VLOOKUP(F278,#REF!,10,0)/60*K278)</f>
        <v>0</v>
      </c>
      <c r="T278" s="3"/>
      <c r="U278" s="3"/>
      <c r="V278" s="4"/>
    </row>
    <row r="279" spans="1:22" x14ac:dyDescent="0.3">
      <c r="A279" s="5">
        <f t="shared" si="13"/>
        <v>2019</v>
      </c>
      <c r="B279" s="6" t="str">
        <f t="shared" si="14"/>
        <v>SETEMBRO</v>
      </c>
      <c r="C279" s="13">
        <v>43735</v>
      </c>
      <c r="D279" s="26"/>
      <c r="E279" s="19">
        <v>2</v>
      </c>
      <c r="F279" s="15">
        <v>9</v>
      </c>
      <c r="G279" s="17">
        <v>320</v>
      </c>
      <c r="H279" s="17">
        <v>90</v>
      </c>
      <c r="I279" s="17">
        <v>80</v>
      </c>
      <c r="J279" s="17">
        <v>50</v>
      </c>
      <c r="K279" s="18">
        <f t="shared" si="12"/>
        <v>540</v>
      </c>
      <c r="L279" s="21">
        <f>IF(ISERROR(VLOOKUP($F279,#REF!,6,0)*G279/1000),0,VLOOKUP($F279,#REF!,6,0)*G279/1000)</f>
        <v>0</v>
      </c>
      <c r="M279" s="21">
        <f>IF(ISERROR(VLOOKUP($F279,#REF!,6,0)*H279/1000),0,VLOOKUP($F279,#REF!,6,0)*H279/1000)</f>
        <v>0</v>
      </c>
      <c r="N279" s="21">
        <f>IF(ISERROR(VLOOKUP($F279,#REF!,6,0)*I279/1000),0,VLOOKUP($F279,#REF!,6,0)*I279/1000)</f>
        <v>0</v>
      </c>
      <c r="O279" s="21">
        <f>IF(ISERROR(VLOOKUP($F279,#REF!,6,0)*J279/1000),0,VLOOKUP($F279,#REF!,6,0)*J279/1000)</f>
        <v>0</v>
      </c>
      <c r="P279" s="21">
        <f>IF(ISERROR(VLOOKUP(F279,#REF!,6,0)*K279/1000),0,VLOOKUP(F279,#REF!,6,0)*K279/1000)</f>
        <v>0</v>
      </c>
      <c r="Q279" s="6">
        <f>IF(ISERROR(VLOOKUP(F279,#REF!,3,0)),0,VLOOKUP(F279,#REF!,3,0))</f>
        <v>0</v>
      </c>
      <c r="R279" s="6">
        <f>IF(ISERROR(VLOOKUP(F279,#REF!,4,0)),0,VLOOKUP(F279,#REF!,4,0))</f>
        <v>0</v>
      </c>
      <c r="S279" s="8">
        <f>IF(ISERROR(VLOOKUP(F279,#REF!,4,0)),0,VLOOKUP(F279,#REF!,10,0)/60*K279)</f>
        <v>0</v>
      </c>
      <c r="T279" s="3"/>
      <c r="U279" s="3"/>
      <c r="V279" s="4"/>
    </row>
    <row r="280" spans="1:22" x14ac:dyDescent="0.3">
      <c r="A280" s="5">
        <f t="shared" si="13"/>
        <v>2019</v>
      </c>
      <c r="B280" s="6" t="str">
        <f t="shared" si="14"/>
        <v>SETEMBRO</v>
      </c>
      <c r="C280" s="13">
        <v>43735</v>
      </c>
      <c r="D280" s="26"/>
      <c r="E280" s="19">
        <v>1</v>
      </c>
      <c r="F280" s="15">
        <v>48</v>
      </c>
      <c r="G280" s="17">
        <v>1564</v>
      </c>
      <c r="H280" s="17">
        <v>175</v>
      </c>
      <c r="I280" s="17">
        <v>165</v>
      </c>
      <c r="K280" s="18">
        <f t="shared" si="12"/>
        <v>1904</v>
      </c>
      <c r="L280" s="21">
        <f>IF(ISERROR(VLOOKUP($F280,#REF!,6,0)*G280/1000),0,VLOOKUP($F280,#REF!,6,0)*G280/1000)</f>
        <v>0</v>
      </c>
      <c r="M280" s="21">
        <f>IF(ISERROR(VLOOKUP($F280,#REF!,6,0)*H280/1000),0,VLOOKUP($F280,#REF!,6,0)*H280/1000)</f>
        <v>0</v>
      </c>
      <c r="N280" s="21">
        <f>IF(ISERROR(VLOOKUP($F280,#REF!,6,0)*I280/1000),0,VLOOKUP($F280,#REF!,6,0)*I280/1000)</f>
        <v>0</v>
      </c>
      <c r="O280" s="21">
        <f>IF(ISERROR(VLOOKUP($F280,#REF!,6,0)*J280/1000),0,VLOOKUP($F280,#REF!,6,0)*J280/1000)</f>
        <v>0</v>
      </c>
      <c r="P280" s="21">
        <f>IF(ISERROR(VLOOKUP(F280,#REF!,6,0)*K280/1000),0,VLOOKUP(F280,#REF!,6,0)*K280/1000)</f>
        <v>0</v>
      </c>
      <c r="Q280" s="6">
        <f>IF(ISERROR(VLOOKUP(F280,#REF!,3,0)),0,VLOOKUP(F280,#REF!,3,0))</f>
        <v>0</v>
      </c>
      <c r="R280" s="6">
        <f>IF(ISERROR(VLOOKUP(F280,#REF!,4,0)),0,VLOOKUP(F280,#REF!,4,0))</f>
        <v>0</v>
      </c>
      <c r="S280" s="8">
        <f>IF(ISERROR(VLOOKUP(F280,#REF!,4,0)),0,VLOOKUP(F280,#REF!,10,0)/60*K280)</f>
        <v>0</v>
      </c>
      <c r="T280" s="3"/>
      <c r="U280" s="3"/>
      <c r="V280" s="4"/>
    </row>
    <row r="281" spans="1:22" x14ac:dyDescent="0.3">
      <c r="A281" s="5">
        <f t="shared" si="13"/>
        <v>2019</v>
      </c>
      <c r="B281" s="6" t="str">
        <f t="shared" si="14"/>
        <v>SETEMBRO</v>
      </c>
      <c r="C281" s="13">
        <v>43735</v>
      </c>
      <c r="D281" s="26"/>
      <c r="E281" s="19">
        <v>1</v>
      </c>
      <c r="F281" s="15">
        <v>49</v>
      </c>
      <c r="G281" s="17">
        <v>304</v>
      </c>
      <c r="H281" s="17">
        <v>20</v>
      </c>
      <c r="I281" s="17">
        <v>45</v>
      </c>
      <c r="K281" s="18">
        <f t="shared" si="12"/>
        <v>369</v>
      </c>
      <c r="L281" s="21">
        <f>IF(ISERROR(VLOOKUP($F281,#REF!,6,0)*G281/1000),0,VLOOKUP($F281,#REF!,6,0)*G281/1000)</f>
        <v>0</v>
      </c>
      <c r="M281" s="21">
        <f>IF(ISERROR(VLOOKUP($F281,#REF!,6,0)*H281/1000),0,VLOOKUP($F281,#REF!,6,0)*H281/1000)</f>
        <v>0</v>
      </c>
      <c r="N281" s="21">
        <f>IF(ISERROR(VLOOKUP($F281,#REF!,6,0)*I281/1000),0,VLOOKUP($F281,#REF!,6,0)*I281/1000)</f>
        <v>0</v>
      </c>
      <c r="O281" s="21">
        <f>IF(ISERROR(VLOOKUP($F281,#REF!,6,0)*J281/1000),0,VLOOKUP($F281,#REF!,6,0)*J281/1000)</f>
        <v>0</v>
      </c>
      <c r="P281" s="21">
        <f>IF(ISERROR(VLOOKUP(F281,#REF!,6,0)*K281/1000),0,VLOOKUP(F281,#REF!,6,0)*K281/1000)</f>
        <v>0</v>
      </c>
      <c r="Q281" s="6">
        <f>IF(ISERROR(VLOOKUP(F281,#REF!,3,0)),0,VLOOKUP(F281,#REF!,3,0))</f>
        <v>0</v>
      </c>
      <c r="R281" s="6">
        <f>IF(ISERROR(VLOOKUP(F281,#REF!,4,0)),0,VLOOKUP(F281,#REF!,4,0))</f>
        <v>0</v>
      </c>
      <c r="S281" s="8">
        <f>IF(ISERROR(VLOOKUP(F281,#REF!,4,0)),0,VLOOKUP(F281,#REF!,10,0)/60*K281)</f>
        <v>0</v>
      </c>
      <c r="T281" s="3"/>
      <c r="U281" s="3"/>
      <c r="V281" s="4"/>
    </row>
    <row r="282" spans="1:22" x14ac:dyDescent="0.3">
      <c r="A282" s="5">
        <f t="shared" si="13"/>
        <v>2019</v>
      </c>
      <c r="B282" s="6" t="str">
        <f t="shared" si="14"/>
        <v>SETEMBRO</v>
      </c>
      <c r="C282" s="13">
        <v>43735</v>
      </c>
      <c r="D282" s="26"/>
      <c r="E282" s="19">
        <v>1</v>
      </c>
      <c r="F282" s="15">
        <v>24</v>
      </c>
      <c r="G282" s="17">
        <v>532</v>
      </c>
      <c r="H282" s="17">
        <v>114</v>
      </c>
      <c r="I282" s="17">
        <v>110</v>
      </c>
      <c r="J282" s="17">
        <v>25</v>
      </c>
      <c r="K282" s="18">
        <f t="shared" si="12"/>
        <v>781</v>
      </c>
      <c r="L282" s="21">
        <f>IF(ISERROR(VLOOKUP($F282,#REF!,6,0)*G282/1000),0,VLOOKUP($F282,#REF!,6,0)*G282/1000)</f>
        <v>0</v>
      </c>
      <c r="M282" s="21">
        <f>IF(ISERROR(VLOOKUP($F282,#REF!,6,0)*H282/1000),0,VLOOKUP($F282,#REF!,6,0)*H282/1000)</f>
        <v>0</v>
      </c>
      <c r="N282" s="21">
        <f>IF(ISERROR(VLOOKUP($F282,#REF!,6,0)*I282/1000),0,VLOOKUP($F282,#REF!,6,0)*I282/1000)</f>
        <v>0</v>
      </c>
      <c r="O282" s="21">
        <f>IF(ISERROR(VLOOKUP($F282,#REF!,6,0)*J282/1000),0,VLOOKUP($F282,#REF!,6,0)*J282/1000)</f>
        <v>0</v>
      </c>
      <c r="P282" s="21">
        <f>IF(ISERROR(VLOOKUP(F282,#REF!,6,0)*K282/1000),0,VLOOKUP(F282,#REF!,6,0)*K282/1000)</f>
        <v>0</v>
      </c>
      <c r="Q282" s="6">
        <f>IF(ISERROR(VLOOKUP(F282,#REF!,3,0)),0,VLOOKUP(F282,#REF!,3,0))</f>
        <v>0</v>
      </c>
      <c r="R282" s="6">
        <f>IF(ISERROR(VLOOKUP(F282,#REF!,4,0)),0,VLOOKUP(F282,#REF!,4,0))</f>
        <v>0</v>
      </c>
      <c r="S282" s="8">
        <f>IF(ISERROR(VLOOKUP(F282,#REF!,4,0)),0,VLOOKUP(F282,#REF!,10,0)/60*K282)</f>
        <v>0</v>
      </c>
      <c r="T282" s="3"/>
      <c r="U282" s="3"/>
      <c r="V282" s="4"/>
    </row>
    <row r="283" spans="1:22" x14ac:dyDescent="0.3">
      <c r="A283" s="5">
        <f t="shared" si="13"/>
        <v>2019</v>
      </c>
      <c r="B283" s="6" t="str">
        <f t="shared" si="14"/>
        <v>SETEMBRO</v>
      </c>
      <c r="C283" s="13">
        <v>43735</v>
      </c>
      <c r="D283" s="26"/>
      <c r="E283" s="19">
        <v>1</v>
      </c>
      <c r="F283" s="15">
        <v>48</v>
      </c>
      <c r="G283" s="17">
        <v>55</v>
      </c>
      <c r="K283" s="18">
        <f t="shared" si="12"/>
        <v>55</v>
      </c>
      <c r="L283" s="21">
        <f>IF(ISERROR(VLOOKUP($F283,#REF!,6,0)*G283/1000),0,VLOOKUP($F283,#REF!,6,0)*G283/1000)</f>
        <v>0</v>
      </c>
      <c r="M283" s="21">
        <f>IF(ISERROR(VLOOKUP($F283,#REF!,6,0)*H283/1000),0,VLOOKUP($F283,#REF!,6,0)*H283/1000)</f>
        <v>0</v>
      </c>
      <c r="N283" s="21">
        <f>IF(ISERROR(VLOOKUP($F283,#REF!,6,0)*I283/1000),0,VLOOKUP($F283,#REF!,6,0)*I283/1000)</f>
        <v>0</v>
      </c>
      <c r="O283" s="21">
        <f>IF(ISERROR(VLOOKUP($F283,#REF!,6,0)*J283/1000),0,VLOOKUP($F283,#REF!,6,0)*J283/1000)</f>
        <v>0</v>
      </c>
      <c r="P283" s="21">
        <f>IF(ISERROR(VLOOKUP(F283,#REF!,6,0)*K283/1000),0,VLOOKUP(F283,#REF!,6,0)*K283/1000)</f>
        <v>0</v>
      </c>
      <c r="Q283" s="6">
        <f>IF(ISERROR(VLOOKUP(F283,#REF!,3,0)),0,VLOOKUP(F283,#REF!,3,0))</f>
        <v>0</v>
      </c>
      <c r="R283" s="6">
        <f>IF(ISERROR(VLOOKUP(F283,#REF!,4,0)),0,VLOOKUP(F283,#REF!,4,0))</f>
        <v>0</v>
      </c>
      <c r="S283" s="8">
        <f>IF(ISERROR(VLOOKUP(F283,#REF!,4,0)),0,VLOOKUP(F283,#REF!,10,0)/60*K283)</f>
        <v>0</v>
      </c>
      <c r="T283" s="3"/>
      <c r="U283" s="3"/>
      <c r="V283" s="4"/>
    </row>
    <row r="284" spans="1:22" x14ac:dyDescent="0.3">
      <c r="A284" s="5">
        <f t="shared" si="13"/>
        <v>2019</v>
      </c>
      <c r="B284" s="6" t="str">
        <f t="shared" si="14"/>
        <v>SETEMBRO</v>
      </c>
      <c r="C284" s="13">
        <v>43735</v>
      </c>
      <c r="D284" s="26"/>
      <c r="E284" s="19">
        <v>2</v>
      </c>
      <c r="F284" s="15">
        <v>48</v>
      </c>
      <c r="G284" s="17">
        <v>1473</v>
      </c>
      <c r="H284" s="17">
        <v>733</v>
      </c>
      <c r="I284" s="17">
        <v>410</v>
      </c>
      <c r="K284" s="18">
        <f t="shared" si="12"/>
        <v>2616</v>
      </c>
      <c r="L284" s="21">
        <f>IF(ISERROR(VLOOKUP($F284,#REF!,6,0)*G284/1000),0,VLOOKUP($F284,#REF!,6,0)*G284/1000)</f>
        <v>0</v>
      </c>
      <c r="M284" s="21">
        <f>IF(ISERROR(VLOOKUP($F284,#REF!,6,0)*H284/1000),0,VLOOKUP($F284,#REF!,6,0)*H284/1000)</f>
        <v>0</v>
      </c>
      <c r="N284" s="21">
        <f>IF(ISERROR(VLOOKUP($F284,#REF!,6,0)*I284/1000),0,VLOOKUP($F284,#REF!,6,0)*I284/1000)</f>
        <v>0</v>
      </c>
      <c r="O284" s="21">
        <f>IF(ISERROR(VLOOKUP($F284,#REF!,6,0)*J284/1000),0,VLOOKUP($F284,#REF!,6,0)*J284/1000)</f>
        <v>0</v>
      </c>
      <c r="P284" s="21">
        <f>IF(ISERROR(VLOOKUP(F284,#REF!,6,0)*K284/1000),0,VLOOKUP(F284,#REF!,6,0)*K284/1000)</f>
        <v>0</v>
      </c>
      <c r="Q284" s="6">
        <f>IF(ISERROR(VLOOKUP(F284,#REF!,3,0)),0,VLOOKUP(F284,#REF!,3,0))</f>
        <v>0</v>
      </c>
      <c r="R284" s="6">
        <f>IF(ISERROR(VLOOKUP(F284,#REF!,4,0)),0,VLOOKUP(F284,#REF!,4,0))</f>
        <v>0</v>
      </c>
      <c r="S284" s="8">
        <f>IF(ISERROR(VLOOKUP(F284,#REF!,4,0)),0,VLOOKUP(F284,#REF!,10,0)/60*K284)</f>
        <v>0</v>
      </c>
      <c r="T284" s="3"/>
      <c r="U284" s="3"/>
      <c r="V284" s="4"/>
    </row>
    <row r="285" spans="1:22" x14ac:dyDescent="0.3">
      <c r="A285" s="5">
        <f t="shared" si="13"/>
        <v>2019</v>
      </c>
      <c r="B285" s="6" t="str">
        <f t="shared" si="14"/>
        <v>SETEMBRO</v>
      </c>
      <c r="C285" s="13">
        <v>43735</v>
      </c>
      <c r="D285" s="26"/>
      <c r="E285" s="19">
        <v>2</v>
      </c>
      <c r="F285" s="15">
        <v>24</v>
      </c>
      <c r="G285" s="17">
        <v>964</v>
      </c>
      <c r="H285" s="17">
        <v>13</v>
      </c>
      <c r="I285" s="17">
        <v>118</v>
      </c>
      <c r="K285" s="18">
        <f t="shared" si="12"/>
        <v>1095</v>
      </c>
      <c r="L285" s="21">
        <f>IF(ISERROR(VLOOKUP($F285,#REF!,6,0)*G285/1000),0,VLOOKUP($F285,#REF!,6,0)*G285/1000)</f>
        <v>0</v>
      </c>
      <c r="M285" s="21">
        <f>IF(ISERROR(VLOOKUP($F285,#REF!,6,0)*H285/1000),0,VLOOKUP($F285,#REF!,6,0)*H285/1000)</f>
        <v>0</v>
      </c>
      <c r="N285" s="21">
        <f>IF(ISERROR(VLOOKUP($F285,#REF!,6,0)*I285/1000),0,VLOOKUP($F285,#REF!,6,0)*I285/1000)</f>
        <v>0</v>
      </c>
      <c r="O285" s="21">
        <f>IF(ISERROR(VLOOKUP($F285,#REF!,6,0)*J285/1000),0,VLOOKUP($F285,#REF!,6,0)*J285/1000)</f>
        <v>0</v>
      </c>
      <c r="P285" s="21">
        <f>IF(ISERROR(VLOOKUP(F285,#REF!,6,0)*K285/1000),0,VLOOKUP(F285,#REF!,6,0)*K285/1000)</f>
        <v>0</v>
      </c>
      <c r="Q285" s="6">
        <f>IF(ISERROR(VLOOKUP(F285,#REF!,3,0)),0,VLOOKUP(F285,#REF!,3,0))</f>
        <v>0</v>
      </c>
      <c r="R285" s="6">
        <f>IF(ISERROR(VLOOKUP(F285,#REF!,4,0)),0,VLOOKUP(F285,#REF!,4,0))</f>
        <v>0</v>
      </c>
      <c r="S285" s="8">
        <f>IF(ISERROR(VLOOKUP(F285,#REF!,4,0)),0,VLOOKUP(F285,#REF!,10,0)/60*K285)</f>
        <v>0</v>
      </c>
      <c r="T285" s="3"/>
      <c r="U285" s="3"/>
      <c r="V285" s="4"/>
    </row>
    <row r="286" spans="1:22" x14ac:dyDescent="0.3">
      <c r="A286" s="5">
        <f t="shared" si="13"/>
        <v>2019</v>
      </c>
      <c r="B286" s="6" t="str">
        <f t="shared" si="14"/>
        <v>SETEMBRO</v>
      </c>
      <c r="C286" s="13">
        <v>43735</v>
      </c>
      <c r="D286" s="26"/>
      <c r="E286" s="19">
        <v>2</v>
      </c>
      <c r="F286" s="15">
        <v>48</v>
      </c>
      <c r="G286" s="17">
        <v>71</v>
      </c>
      <c r="K286" s="18">
        <f t="shared" si="12"/>
        <v>71</v>
      </c>
      <c r="L286" s="21">
        <f>IF(ISERROR(VLOOKUP($F286,#REF!,6,0)*G286/1000),0,VLOOKUP($F286,#REF!,6,0)*G286/1000)</f>
        <v>0</v>
      </c>
      <c r="M286" s="21">
        <f>IF(ISERROR(VLOOKUP($F286,#REF!,6,0)*H286/1000),0,VLOOKUP($F286,#REF!,6,0)*H286/1000)</f>
        <v>0</v>
      </c>
      <c r="N286" s="21">
        <f>IF(ISERROR(VLOOKUP($F286,#REF!,6,0)*I286/1000),0,VLOOKUP($F286,#REF!,6,0)*I286/1000)</f>
        <v>0</v>
      </c>
      <c r="O286" s="21">
        <f>IF(ISERROR(VLOOKUP($F286,#REF!,6,0)*J286/1000),0,VLOOKUP($F286,#REF!,6,0)*J286/1000)</f>
        <v>0</v>
      </c>
      <c r="P286" s="21">
        <f>IF(ISERROR(VLOOKUP(F286,#REF!,6,0)*K286/1000),0,VLOOKUP(F286,#REF!,6,0)*K286/1000)</f>
        <v>0</v>
      </c>
      <c r="Q286" s="6">
        <f>IF(ISERROR(VLOOKUP(F286,#REF!,3,0)),0,VLOOKUP(F286,#REF!,3,0))</f>
        <v>0</v>
      </c>
      <c r="R286" s="6">
        <f>IF(ISERROR(VLOOKUP(F286,#REF!,4,0)),0,VLOOKUP(F286,#REF!,4,0))</f>
        <v>0</v>
      </c>
      <c r="S286" s="8">
        <f>IF(ISERROR(VLOOKUP(F286,#REF!,4,0)),0,VLOOKUP(F286,#REF!,10,0)/60*K286)</f>
        <v>0</v>
      </c>
      <c r="T286" s="3"/>
      <c r="U286" s="3"/>
      <c r="V286" s="4"/>
    </row>
    <row r="287" spans="1:22" x14ac:dyDescent="0.3">
      <c r="A287" s="5">
        <f t="shared" si="13"/>
        <v>2019</v>
      </c>
      <c r="B287" s="6" t="str">
        <f t="shared" si="14"/>
        <v>SETEMBRO</v>
      </c>
      <c r="C287" s="13">
        <v>43735</v>
      </c>
      <c r="D287" s="26"/>
      <c r="E287" s="19">
        <v>2</v>
      </c>
      <c r="F287" s="15">
        <v>49</v>
      </c>
      <c r="G287" s="17">
        <v>1131</v>
      </c>
      <c r="H287" s="17">
        <v>30</v>
      </c>
      <c r="I287" s="17">
        <v>180</v>
      </c>
      <c r="K287" s="18">
        <f t="shared" si="12"/>
        <v>1341</v>
      </c>
      <c r="L287" s="21">
        <f>IF(ISERROR(VLOOKUP($F287,#REF!,6,0)*G287/1000),0,VLOOKUP($F287,#REF!,6,0)*G287/1000)</f>
        <v>0</v>
      </c>
      <c r="M287" s="21">
        <f>IF(ISERROR(VLOOKUP($F287,#REF!,6,0)*H287/1000),0,VLOOKUP($F287,#REF!,6,0)*H287/1000)</f>
        <v>0</v>
      </c>
      <c r="N287" s="21">
        <f>IF(ISERROR(VLOOKUP($F287,#REF!,6,0)*I287/1000),0,VLOOKUP($F287,#REF!,6,0)*I287/1000)</f>
        <v>0</v>
      </c>
      <c r="O287" s="21">
        <f>IF(ISERROR(VLOOKUP($F287,#REF!,6,0)*J287/1000),0,VLOOKUP($F287,#REF!,6,0)*J287/1000)</f>
        <v>0</v>
      </c>
      <c r="P287" s="21">
        <f>IF(ISERROR(VLOOKUP(F287,#REF!,6,0)*K287/1000),0,VLOOKUP(F287,#REF!,6,0)*K287/1000)</f>
        <v>0</v>
      </c>
      <c r="Q287" s="6">
        <f>IF(ISERROR(VLOOKUP(F287,#REF!,3,0)),0,VLOOKUP(F287,#REF!,3,0))</f>
        <v>0</v>
      </c>
      <c r="R287" s="6">
        <f>IF(ISERROR(VLOOKUP(F287,#REF!,4,0)),0,VLOOKUP(F287,#REF!,4,0))</f>
        <v>0</v>
      </c>
      <c r="S287" s="8">
        <f>IF(ISERROR(VLOOKUP(F287,#REF!,4,0)),0,VLOOKUP(F287,#REF!,10,0)/60*K287)</f>
        <v>0</v>
      </c>
      <c r="T287" s="3"/>
      <c r="U287" s="3"/>
      <c r="V287" s="4"/>
    </row>
    <row r="288" spans="1:22" x14ac:dyDescent="0.3">
      <c r="A288" s="5">
        <f t="shared" si="13"/>
        <v>2019</v>
      </c>
      <c r="B288" s="6" t="str">
        <f t="shared" si="14"/>
        <v>SETEMBRO</v>
      </c>
      <c r="C288" s="13">
        <v>43735</v>
      </c>
      <c r="D288" s="26"/>
      <c r="E288" s="19">
        <v>3</v>
      </c>
      <c r="F288" s="15">
        <v>47</v>
      </c>
      <c r="G288" s="17">
        <v>1111</v>
      </c>
      <c r="H288" s="17">
        <v>643</v>
      </c>
      <c r="I288" s="17">
        <v>215</v>
      </c>
      <c r="K288" s="18">
        <f t="shared" si="12"/>
        <v>1969</v>
      </c>
      <c r="L288" s="21">
        <f>IF(ISERROR(VLOOKUP($F288,#REF!,6,0)*G288/1000),0,VLOOKUP($F288,#REF!,6,0)*G288/1000)</f>
        <v>0</v>
      </c>
      <c r="M288" s="21">
        <f>IF(ISERROR(VLOOKUP($F288,#REF!,6,0)*H288/1000),0,VLOOKUP($F288,#REF!,6,0)*H288/1000)</f>
        <v>0</v>
      </c>
      <c r="N288" s="21">
        <f>IF(ISERROR(VLOOKUP($F288,#REF!,6,0)*I288/1000),0,VLOOKUP($F288,#REF!,6,0)*I288/1000)</f>
        <v>0</v>
      </c>
      <c r="O288" s="21">
        <f>IF(ISERROR(VLOOKUP($F288,#REF!,6,0)*J288/1000),0,VLOOKUP($F288,#REF!,6,0)*J288/1000)</f>
        <v>0</v>
      </c>
      <c r="P288" s="21">
        <f>IF(ISERROR(VLOOKUP(F288,#REF!,6,0)*K288/1000),0,VLOOKUP(F288,#REF!,6,0)*K288/1000)</f>
        <v>0</v>
      </c>
      <c r="Q288" s="6">
        <f>IF(ISERROR(VLOOKUP(F288,#REF!,3,0)),0,VLOOKUP(F288,#REF!,3,0))</f>
        <v>0</v>
      </c>
      <c r="R288" s="6">
        <f>IF(ISERROR(VLOOKUP(F288,#REF!,4,0)),0,VLOOKUP(F288,#REF!,4,0))</f>
        <v>0</v>
      </c>
      <c r="S288" s="8">
        <f>IF(ISERROR(VLOOKUP(F288,#REF!,4,0)),0,VLOOKUP(F288,#REF!,10,0)/60*K288)</f>
        <v>0</v>
      </c>
      <c r="T288" s="3"/>
      <c r="U288" s="3"/>
      <c r="V288" s="4"/>
    </row>
    <row r="289" spans="1:22" x14ac:dyDescent="0.3">
      <c r="A289" s="5">
        <f t="shared" si="13"/>
        <v>2019</v>
      </c>
      <c r="B289" s="6" t="str">
        <f t="shared" si="14"/>
        <v>SETEMBRO</v>
      </c>
      <c r="C289" s="13">
        <v>43736</v>
      </c>
      <c r="D289" s="26"/>
      <c r="E289" s="19">
        <v>2</v>
      </c>
      <c r="F289" s="15">
        <v>9</v>
      </c>
      <c r="G289" s="17">
        <v>93</v>
      </c>
      <c r="H289" s="17">
        <v>23</v>
      </c>
      <c r="I289" s="17">
        <v>22</v>
      </c>
      <c r="J289" s="17">
        <v>20</v>
      </c>
      <c r="K289" s="18">
        <f t="shared" si="12"/>
        <v>158</v>
      </c>
      <c r="L289" s="21">
        <f>IF(ISERROR(VLOOKUP($F289,#REF!,6,0)*G289/1000),0,VLOOKUP($F289,#REF!,6,0)*G289/1000)</f>
        <v>0</v>
      </c>
      <c r="M289" s="21">
        <f>IF(ISERROR(VLOOKUP($F289,#REF!,6,0)*H289/1000),0,VLOOKUP($F289,#REF!,6,0)*H289/1000)</f>
        <v>0</v>
      </c>
      <c r="N289" s="21">
        <f>IF(ISERROR(VLOOKUP($F289,#REF!,6,0)*I289/1000),0,VLOOKUP($F289,#REF!,6,0)*I289/1000)</f>
        <v>0</v>
      </c>
      <c r="O289" s="21">
        <f>IF(ISERROR(VLOOKUP($F289,#REF!,6,0)*J289/1000),0,VLOOKUP($F289,#REF!,6,0)*J289/1000)</f>
        <v>0</v>
      </c>
      <c r="P289" s="21">
        <f>IF(ISERROR(VLOOKUP(F289,#REF!,6,0)*K289/1000),0,VLOOKUP(F289,#REF!,6,0)*K289/1000)</f>
        <v>0</v>
      </c>
      <c r="Q289" s="6">
        <f>IF(ISERROR(VLOOKUP(F289,#REF!,3,0)),0,VLOOKUP(F289,#REF!,3,0))</f>
        <v>0</v>
      </c>
      <c r="R289" s="6">
        <f>IF(ISERROR(VLOOKUP(F289,#REF!,4,0)),0,VLOOKUP(F289,#REF!,4,0))</f>
        <v>0</v>
      </c>
      <c r="S289" s="8">
        <f>IF(ISERROR(VLOOKUP(F289,#REF!,4,0)),0,VLOOKUP(F289,#REF!,10,0)/60*K289)</f>
        <v>0</v>
      </c>
      <c r="T289" s="3"/>
      <c r="U289" s="3"/>
      <c r="V289" s="4"/>
    </row>
    <row r="290" spans="1:22" x14ac:dyDescent="0.3">
      <c r="A290" s="5">
        <f t="shared" si="13"/>
        <v>2019</v>
      </c>
      <c r="B290" s="6" t="str">
        <f t="shared" si="14"/>
        <v>SETEMBRO</v>
      </c>
      <c r="C290" s="13">
        <v>43736</v>
      </c>
      <c r="D290" s="26"/>
      <c r="E290" s="19">
        <v>2</v>
      </c>
      <c r="F290" s="15">
        <v>33</v>
      </c>
      <c r="G290" s="17">
        <v>3648</v>
      </c>
      <c r="H290" s="17">
        <v>2760</v>
      </c>
      <c r="I290" s="17">
        <v>130</v>
      </c>
      <c r="J290" s="17">
        <v>460</v>
      </c>
      <c r="K290" s="18">
        <f t="shared" si="12"/>
        <v>6998</v>
      </c>
      <c r="L290" s="21">
        <f>IF(ISERROR(VLOOKUP($F290,#REF!,6,0)*G290/1000),0,VLOOKUP($F290,#REF!,6,0)*G290/1000)</f>
        <v>0</v>
      </c>
      <c r="M290" s="21">
        <f>IF(ISERROR(VLOOKUP($F290,#REF!,6,0)*H290/1000),0,VLOOKUP($F290,#REF!,6,0)*H290/1000)</f>
        <v>0</v>
      </c>
      <c r="N290" s="21">
        <f>IF(ISERROR(VLOOKUP($F290,#REF!,6,0)*I290/1000),0,VLOOKUP($F290,#REF!,6,0)*I290/1000)</f>
        <v>0</v>
      </c>
      <c r="O290" s="21">
        <f>IF(ISERROR(VLOOKUP($F290,#REF!,6,0)*J290/1000),0,VLOOKUP($F290,#REF!,6,0)*J290/1000)</f>
        <v>0</v>
      </c>
      <c r="P290" s="21">
        <f>IF(ISERROR(VLOOKUP(F290,#REF!,6,0)*K290/1000),0,VLOOKUP(F290,#REF!,6,0)*K290/1000)</f>
        <v>0</v>
      </c>
      <c r="Q290" s="6">
        <f>IF(ISERROR(VLOOKUP(F290,#REF!,3,0)),0,VLOOKUP(F290,#REF!,3,0))</f>
        <v>0</v>
      </c>
      <c r="R290" s="6">
        <f>IF(ISERROR(VLOOKUP(F290,#REF!,4,0)),0,VLOOKUP(F290,#REF!,4,0))</f>
        <v>0</v>
      </c>
      <c r="S290" s="8">
        <f>IF(ISERROR(VLOOKUP(F290,#REF!,4,0)),0,VLOOKUP(F290,#REF!,10,0)/60*K290)</f>
        <v>0</v>
      </c>
      <c r="T290" s="3"/>
      <c r="U290" s="3"/>
      <c r="V290" s="4"/>
    </row>
    <row r="291" spans="1:22" x14ac:dyDescent="0.3">
      <c r="A291" s="5">
        <f t="shared" si="13"/>
        <v>2019</v>
      </c>
      <c r="B291" s="6" t="str">
        <f t="shared" si="14"/>
        <v>SETEMBRO</v>
      </c>
      <c r="C291" s="13">
        <v>43736</v>
      </c>
      <c r="D291" s="26"/>
      <c r="E291" s="19">
        <v>2</v>
      </c>
      <c r="F291" s="15">
        <v>48</v>
      </c>
      <c r="G291" s="17">
        <v>351</v>
      </c>
      <c r="H291" s="17">
        <v>34</v>
      </c>
      <c r="I291" s="17">
        <v>25</v>
      </c>
      <c r="J291" s="17">
        <v>55</v>
      </c>
      <c r="K291" s="18">
        <f t="shared" si="12"/>
        <v>465</v>
      </c>
      <c r="L291" s="21">
        <f>IF(ISERROR(VLOOKUP($F291,#REF!,6,0)*G291/1000),0,VLOOKUP($F291,#REF!,6,0)*G291/1000)</f>
        <v>0</v>
      </c>
      <c r="M291" s="21">
        <f>IF(ISERROR(VLOOKUP($F291,#REF!,6,0)*H291/1000),0,VLOOKUP($F291,#REF!,6,0)*H291/1000)</f>
        <v>0</v>
      </c>
      <c r="N291" s="21">
        <f>IF(ISERROR(VLOOKUP($F291,#REF!,6,0)*I291/1000),0,VLOOKUP($F291,#REF!,6,0)*I291/1000)</f>
        <v>0</v>
      </c>
      <c r="O291" s="21">
        <f>IF(ISERROR(VLOOKUP($F291,#REF!,6,0)*J291/1000),0,VLOOKUP($F291,#REF!,6,0)*J291/1000)</f>
        <v>0</v>
      </c>
      <c r="P291" s="21">
        <f>IF(ISERROR(VLOOKUP(F291,#REF!,6,0)*K291/1000),0,VLOOKUP(F291,#REF!,6,0)*K291/1000)</f>
        <v>0</v>
      </c>
      <c r="Q291" s="6">
        <f>IF(ISERROR(VLOOKUP(F291,#REF!,3,0)),0,VLOOKUP(F291,#REF!,3,0))</f>
        <v>0</v>
      </c>
      <c r="R291" s="6">
        <f>IF(ISERROR(VLOOKUP(F291,#REF!,4,0)),0,VLOOKUP(F291,#REF!,4,0))</f>
        <v>0</v>
      </c>
      <c r="S291" s="8">
        <f>IF(ISERROR(VLOOKUP(F291,#REF!,4,0)),0,VLOOKUP(F291,#REF!,10,0)/60*K291)</f>
        <v>0</v>
      </c>
      <c r="T291" s="3"/>
      <c r="U291" s="3"/>
      <c r="V291" s="4"/>
    </row>
    <row r="292" spans="1:22" x14ac:dyDescent="0.3">
      <c r="A292" s="5">
        <f t="shared" si="13"/>
        <v>2019</v>
      </c>
      <c r="B292" s="6" t="str">
        <f t="shared" si="14"/>
        <v>SETEMBRO</v>
      </c>
      <c r="C292" s="13">
        <v>43736</v>
      </c>
      <c r="D292" s="26"/>
      <c r="E292" s="19">
        <v>2</v>
      </c>
      <c r="F292" s="15">
        <v>26</v>
      </c>
      <c r="G292" s="17">
        <v>2710</v>
      </c>
      <c r="H292" s="17">
        <v>342</v>
      </c>
      <c r="I292" s="17">
        <v>681</v>
      </c>
      <c r="J292" s="17">
        <v>39</v>
      </c>
      <c r="K292" s="18">
        <f t="shared" si="12"/>
        <v>3772</v>
      </c>
      <c r="L292" s="21">
        <f>IF(ISERROR(VLOOKUP($F292,#REF!,6,0)*G292/1000),0,VLOOKUP($F292,#REF!,6,0)*G292/1000)</f>
        <v>0</v>
      </c>
      <c r="M292" s="21">
        <f>IF(ISERROR(VLOOKUP($F292,#REF!,6,0)*H292/1000),0,VLOOKUP($F292,#REF!,6,0)*H292/1000)</f>
        <v>0</v>
      </c>
      <c r="N292" s="21">
        <f>IF(ISERROR(VLOOKUP($F292,#REF!,6,0)*I292/1000),0,VLOOKUP($F292,#REF!,6,0)*I292/1000)</f>
        <v>0</v>
      </c>
      <c r="O292" s="21">
        <f>IF(ISERROR(VLOOKUP($F292,#REF!,6,0)*J292/1000),0,VLOOKUP($F292,#REF!,6,0)*J292/1000)</f>
        <v>0</v>
      </c>
      <c r="P292" s="21">
        <f>IF(ISERROR(VLOOKUP(F292,#REF!,6,0)*K292/1000),0,VLOOKUP(F292,#REF!,6,0)*K292/1000)</f>
        <v>0</v>
      </c>
      <c r="Q292" s="6">
        <f>IF(ISERROR(VLOOKUP(F292,#REF!,3,0)),0,VLOOKUP(F292,#REF!,3,0))</f>
        <v>0</v>
      </c>
      <c r="R292" s="6">
        <f>IF(ISERROR(VLOOKUP(F292,#REF!,4,0)),0,VLOOKUP(F292,#REF!,4,0))</f>
        <v>0</v>
      </c>
      <c r="S292" s="8">
        <f>IF(ISERROR(VLOOKUP(F292,#REF!,4,0)),0,VLOOKUP(F292,#REF!,10,0)/60*K292)</f>
        <v>0</v>
      </c>
      <c r="T292" s="3"/>
      <c r="U292" s="3"/>
      <c r="V292" s="4"/>
    </row>
    <row r="293" spans="1:22" x14ac:dyDescent="0.3">
      <c r="A293" s="5">
        <f t="shared" si="13"/>
        <v>2019</v>
      </c>
      <c r="B293" s="6" t="str">
        <f t="shared" si="14"/>
        <v>SETEMBRO</v>
      </c>
      <c r="C293" s="13">
        <v>43736</v>
      </c>
      <c r="D293" s="26"/>
      <c r="E293" s="19">
        <v>2</v>
      </c>
      <c r="F293" s="15">
        <v>48</v>
      </c>
      <c r="G293" s="17">
        <v>892</v>
      </c>
      <c r="H293" s="17">
        <v>291</v>
      </c>
      <c r="I293" s="17">
        <v>63</v>
      </c>
      <c r="J293" s="17">
        <v>0</v>
      </c>
      <c r="K293" s="18">
        <f t="shared" si="12"/>
        <v>1246</v>
      </c>
      <c r="L293" s="21">
        <f>IF(ISERROR(VLOOKUP($F293,#REF!,6,0)*G293/1000),0,VLOOKUP($F293,#REF!,6,0)*G293/1000)</f>
        <v>0</v>
      </c>
      <c r="M293" s="21">
        <f>IF(ISERROR(VLOOKUP($F293,#REF!,6,0)*H293/1000),0,VLOOKUP($F293,#REF!,6,0)*H293/1000)</f>
        <v>0</v>
      </c>
      <c r="N293" s="21">
        <f>IF(ISERROR(VLOOKUP($F293,#REF!,6,0)*I293/1000),0,VLOOKUP($F293,#REF!,6,0)*I293/1000)</f>
        <v>0</v>
      </c>
      <c r="O293" s="21">
        <f>IF(ISERROR(VLOOKUP($F293,#REF!,6,0)*J293/1000),0,VLOOKUP($F293,#REF!,6,0)*J293/1000)</f>
        <v>0</v>
      </c>
      <c r="P293" s="21">
        <f>IF(ISERROR(VLOOKUP(F293,#REF!,6,0)*K293/1000),0,VLOOKUP(F293,#REF!,6,0)*K293/1000)</f>
        <v>0</v>
      </c>
      <c r="Q293" s="6">
        <f>IF(ISERROR(VLOOKUP(F293,#REF!,3,0)),0,VLOOKUP(F293,#REF!,3,0))</f>
        <v>0</v>
      </c>
      <c r="R293" s="6">
        <f>IF(ISERROR(VLOOKUP(F293,#REF!,4,0)),0,VLOOKUP(F293,#REF!,4,0))</f>
        <v>0</v>
      </c>
      <c r="S293" s="8">
        <f>IF(ISERROR(VLOOKUP(F293,#REF!,4,0)),0,VLOOKUP(F293,#REF!,10,0)/60*K293)</f>
        <v>0</v>
      </c>
      <c r="T293" s="3"/>
      <c r="U293" s="3"/>
      <c r="V293" s="4"/>
    </row>
    <row r="294" spans="1:22" x14ac:dyDescent="0.3">
      <c r="A294" s="5">
        <f t="shared" si="13"/>
        <v>2019</v>
      </c>
      <c r="B294" s="6" t="str">
        <f t="shared" si="14"/>
        <v>SETEMBRO</v>
      </c>
      <c r="C294" s="13">
        <v>43737</v>
      </c>
      <c r="D294" s="26"/>
      <c r="E294" s="19">
        <v>1</v>
      </c>
      <c r="F294" s="15">
        <v>26</v>
      </c>
      <c r="G294" s="17">
        <v>1993</v>
      </c>
      <c r="H294" s="17">
        <v>238</v>
      </c>
      <c r="I294" s="17">
        <v>285</v>
      </c>
      <c r="J294" s="17">
        <v>31</v>
      </c>
      <c r="K294" s="18">
        <f t="shared" si="12"/>
        <v>2547</v>
      </c>
      <c r="L294" s="21">
        <f>IF(ISERROR(VLOOKUP($F294,#REF!,6,0)*G294/1000),0,VLOOKUP($F294,#REF!,6,0)*G294/1000)</f>
        <v>0</v>
      </c>
      <c r="M294" s="21">
        <f>IF(ISERROR(VLOOKUP($F294,#REF!,6,0)*H294/1000),0,VLOOKUP($F294,#REF!,6,0)*H294/1000)</f>
        <v>0</v>
      </c>
      <c r="N294" s="21">
        <f>IF(ISERROR(VLOOKUP($F294,#REF!,6,0)*I294/1000),0,VLOOKUP($F294,#REF!,6,0)*I294/1000)</f>
        <v>0</v>
      </c>
      <c r="O294" s="21">
        <f>IF(ISERROR(VLOOKUP($F294,#REF!,6,0)*J294/1000),0,VLOOKUP($F294,#REF!,6,0)*J294/1000)</f>
        <v>0</v>
      </c>
      <c r="P294" s="21">
        <f>IF(ISERROR(VLOOKUP(F294,#REF!,6,0)*K294/1000),0,VLOOKUP(F294,#REF!,6,0)*K294/1000)</f>
        <v>0</v>
      </c>
      <c r="Q294" s="6">
        <f>IF(ISERROR(VLOOKUP(F294,#REF!,3,0)),0,VLOOKUP(F294,#REF!,3,0))</f>
        <v>0</v>
      </c>
      <c r="R294" s="6">
        <f>IF(ISERROR(VLOOKUP(F294,#REF!,4,0)),0,VLOOKUP(F294,#REF!,4,0))</f>
        <v>0</v>
      </c>
      <c r="S294" s="8">
        <f>IF(ISERROR(VLOOKUP(F294,#REF!,4,0)),0,VLOOKUP(F294,#REF!,10,0)/60*K294)</f>
        <v>0</v>
      </c>
      <c r="T294" s="3"/>
      <c r="U294" s="3"/>
      <c r="V294" s="4"/>
    </row>
    <row r="295" spans="1:22" x14ac:dyDescent="0.3">
      <c r="A295" s="5">
        <f t="shared" si="13"/>
        <v>2019</v>
      </c>
      <c r="B295" s="6" t="str">
        <f t="shared" si="14"/>
        <v>SETEMBRO</v>
      </c>
      <c r="C295" s="13">
        <v>43737</v>
      </c>
      <c r="D295" s="26"/>
      <c r="E295" s="19">
        <v>1</v>
      </c>
      <c r="F295" s="15">
        <v>24</v>
      </c>
      <c r="G295" s="17">
        <v>643</v>
      </c>
      <c r="H295" s="17">
        <v>103</v>
      </c>
      <c r="I295" s="17">
        <v>157</v>
      </c>
      <c r="J295" s="17">
        <v>0</v>
      </c>
      <c r="K295" s="18">
        <f t="shared" si="12"/>
        <v>903</v>
      </c>
      <c r="L295" s="21">
        <f>IF(ISERROR(VLOOKUP($F295,#REF!,6,0)*G295/1000),0,VLOOKUP($F295,#REF!,6,0)*G295/1000)</f>
        <v>0</v>
      </c>
      <c r="M295" s="21">
        <f>IF(ISERROR(VLOOKUP($F295,#REF!,6,0)*H295/1000),0,VLOOKUP($F295,#REF!,6,0)*H295/1000)</f>
        <v>0</v>
      </c>
      <c r="N295" s="21">
        <f>IF(ISERROR(VLOOKUP($F295,#REF!,6,0)*I295/1000),0,VLOOKUP($F295,#REF!,6,0)*I295/1000)</f>
        <v>0</v>
      </c>
      <c r="O295" s="21">
        <f>IF(ISERROR(VLOOKUP($F295,#REF!,6,0)*J295/1000),0,VLOOKUP($F295,#REF!,6,0)*J295/1000)</f>
        <v>0</v>
      </c>
      <c r="P295" s="21">
        <f>IF(ISERROR(VLOOKUP(F295,#REF!,6,0)*K295/1000),0,VLOOKUP(F295,#REF!,6,0)*K295/1000)</f>
        <v>0</v>
      </c>
      <c r="Q295" s="6">
        <f>IF(ISERROR(VLOOKUP(F295,#REF!,3,0)),0,VLOOKUP(F295,#REF!,3,0))</f>
        <v>0</v>
      </c>
      <c r="R295" s="6">
        <f>IF(ISERROR(VLOOKUP(F295,#REF!,4,0)),0,VLOOKUP(F295,#REF!,4,0))</f>
        <v>0</v>
      </c>
      <c r="S295" s="8">
        <f>IF(ISERROR(VLOOKUP(F295,#REF!,4,0)),0,VLOOKUP(F295,#REF!,10,0)/60*K295)</f>
        <v>0</v>
      </c>
      <c r="T295" s="3"/>
      <c r="U295" s="3"/>
      <c r="V295" s="4"/>
    </row>
    <row r="296" spans="1:22" x14ac:dyDescent="0.3">
      <c r="A296" s="5">
        <f t="shared" si="13"/>
        <v>0</v>
      </c>
      <c r="B296" s="6">
        <f t="shared" si="14"/>
        <v>0</v>
      </c>
      <c r="K296" s="18">
        <f t="shared" si="12"/>
        <v>0</v>
      </c>
      <c r="L296" s="21">
        <f>IF(ISERROR(VLOOKUP($F296,#REF!,6,0)*G296/1000),0,VLOOKUP($F296,#REF!,6,0)*G296/1000)</f>
        <v>0</v>
      </c>
      <c r="M296" s="21">
        <f>IF(ISERROR(VLOOKUP($F296,#REF!,6,0)*H296/1000),0,VLOOKUP($F296,#REF!,6,0)*H296/1000)</f>
        <v>0</v>
      </c>
      <c r="N296" s="21">
        <f>IF(ISERROR(VLOOKUP($F296,#REF!,6,0)*I296/1000),0,VLOOKUP($F296,#REF!,6,0)*I296/1000)</f>
        <v>0</v>
      </c>
      <c r="O296" s="21">
        <f>IF(ISERROR(VLOOKUP($F296,#REF!,6,0)*J296/1000),0,VLOOKUP($F296,#REF!,6,0)*J296/1000)</f>
        <v>0</v>
      </c>
      <c r="P296" s="21">
        <f>IF(ISERROR(VLOOKUP(F296,#REF!,6,0)*K296/1000),0,VLOOKUP(F296,#REF!,6,0)*K296/1000)</f>
        <v>0</v>
      </c>
      <c r="Q296" s="6">
        <f>IF(ISERROR(VLOOKUP(F296,#REF!,3,0)),0,VLOOKUP(F296,#REF!,3,0))</f>
        <v>0</v>
      </c>
      <c r="R296" s="6">
        <f>IF(ISERROR(VLOOKUP(F296,#REF!,4,0)),0,VLOOKUP(F296,#REF!,4,0))</f>
        <v>0</v>
      </c>
      <c r="S296" s="8">
        <f>IF(ISERROR(VLOOKUP(F296,#REF!,4,0)),0,VLOOKUP(F296,#REF!,10,0)/60*K296)</f>
        <v>0</v>
      </c>
      <c r="T296" s="3"/>
      <c r="U296" s="3"/>
      <c r="V296" s="4"/>
    </row>
    <row r="297" spans="1:22" x14ac:dyDescent="0.3">
      <c r="A297" s="5">
        <f t="shared" si="13"/>
        <v>0</v>
      </c>
      <c r="B297" s="6">
        <f t="shared" si="14"/>
        <v>0</v>
      </c>
      <c r="K297" s="18">
        <f t="shared" si="12"/>
        <v>0</v>
      </c>
      <c r="L297" s="21">
        <f>IF(ISERROR(VLOOKUP($F297,#REF!,6,0)*G297/1000),0,VLOOKUP($F297,#REF!,6,0)*G297/1000)</f>
        <v>0</v>
      </c>
      <c r="M297" s="21">
        <f>IF(ISERROR(VLOOKUP($F297,#REF!,6,0)*H297/1000),0,VLOOKUP($F297,#REF!,6,0)*H297/1000)</f>
        <v>0</v>
      </c>
      <c r="N297" s="21">
        <f>IF(ISERROR(VLOOKUP($F297,#REF!,6,0)*I297/1000),0,VLOOKUP($F297,#REF!,6,0)*I297/1000)</f>
        <v>0</v>
      </c>
      <c r="O297" s="21">
        <f>IF(ISERROR(VLOOKUP($F297,#REF!,6,0)*J297/1000),0,VLOOKUP($F297,#REF!,6,0)*J297/1000)</f>
        <v>0</v>
      </c>
      <c r="P297" s="21">
        <f>IF(ISERROR(VLOOKUP(F297,#REF!,6,0)*K297/1000),0,VLOOKUP(F297,#REF!,6,0)*K297/1000)</f>
        <v>0</v>
      </c>
      <c r="Q297" s="6">
        <f>IF(ISERROR(VLOOKUP(F297,#REF!,3,0)),0,VLOOKUP(F297,#REF!,3,0))</f>
        <v>0</v>
      </c>
      <c r="R297" s="6">
        <f>IF(ISERROR(VLOOKUP(F297,#REF!,4,0)),0,VLOOKUP(F297,#REF!,4,0))</f>
        <v>0</v>
      </c>
      <c r="S297" s="8">
        <f>IF(ISERROR(VLOOKUP(F297,#REF!,4,0)),0,VLOOKUP(F297,#REF!,10,0)/60*K297)</f>
        <v>0</v>
      </c>
      <c r="T297" s="3"/>
      <c r="U297" s="3"/>
      <c r="V297" s="4"/>
    </row>
    <row r="298" spans="1:22" x14ac:dyDescent="0.3">
      <c r="A298" s="5">
        <f t="shared" si="13"/>
        <v>0</v>
      </c>
      <c r="B298" s="6">
        <f t="shared" si="14"/>
        <v>0</v>
      </c>
      <c r="K298" s="18">
        <f t="shared" si="12"/>
        <v>0</v>
      </c>
      <c r="L298" s="21">
        <f>IF(ISERROR(VLOOKUP($F298,#REF!,6,0)*G298/1000),0,VLOOKUP($F298,#REF!,6,0)*G298/1000)</f>
        <v>0</v>
      </c>
      <c r="M298" s="21">
        <f>IF(ISERROR(VLOOKUP($F298,#REF!,6,0)*H298/1000),0,VLOOKUP($F298,#REF!,6,0)*H298/1000)</f>
        <v>0</v>
      </c>
      <c r="N298" s="21">
        <f>IF(ISERROR(VLOOKUP($F298,#REF!,6,0)*I298/1000),0,VLOOKUP($F298,#REF!,6,0)*I298/1000)</f>
        <v>0</v>
      </c>
      <c r="O298" s="21">
        <f>IF(ISERROR(VLOOKUP($F298,#REF!,6,0)*J298/1000),0,VLOOKUP($F298,#REF!,6,0)*J298/1000)</f>
        <v>0</v>
      </c>
      <c r="P298" s="21">
        <f>IF(ISERROR(VLOOKUP(F298,#REF!,6,0)*K298/1000),0,VLOOKUP(F298,#REF!,6,0)*K298/1000)</f>
        <v>0</v>
      </c>
      <c r="Q298" s="6">
        <f>IF(ISERROR(VLOOKUP(F298,#REF!,3,0)),0,VLOOKUP(F298,#REF!,3,0))</f>
        <v>0</v>
      </c>
      <c r="R298" s="6">
        <f>IF(ISERROR(VLOOKUP(F298,#REF!,4,0)),0,VLOOKUP(F298,#REF!,4,0))</f>
        <v>0</v>
      </c>
      <c r="S298" s="8">
        <f>IF(ISERROR(VLOOKUP(F298,#REF!,4,0)),0,VLOOKUP(F298,#REF!,10,0)/60*K298)</f>
        <v>0</v>
      </c>
      <c r="T298" s="3"/>
      <c r="U298" s="3"/>
      <c r="V298" s="4"/>
    </row>
    <row r="299" spans="1:22" x14ac:dyDescent="0.3">
      <c r="A299" s="5">
        <f t="shared" si="13"/>
        <v>0</v>
      </c>
      <c r="B299" s="6">
        <f t="shared" si="14"/>
        <v>0</v>
      </c>
      <c r="K299" s="18">
        <f t="shared" si="12"/>
        <v>0</v>
      </c>
      <c r="L299" s="21">
        <f>IF(ISERROR(VLOOKUP($F299,#REF!,6,0)*G299/1000),0,VLOOKUP($F299,#REF!,6,0)*G299/1000)</f>
        <v>0</v>
      </c>
      <c r="M299" s="21">
        <f>IF(ISERROR(VLOOKUP($F299,#REF!,6,0)*H299/1000),0,VLOOKUP($F299,#REF!,6,0)*H299/1000)</f>
        <v>0</v>
      </c>
      <c r="N299" s="21">
        <f>IF(ISERROR(VLOOKUP($F299,#REF!,6,0)*I299/1000),0,VLOOKUP($F299,#REF!,6,0)*I299/1000)</f>
        <v>0</v>
      </c>
      <c r="O299" s="21">
        <f>IF(ISERROR(VLOOKUP($F299,#REF!,6,0)*J299/1000),0,VLOOKUP($F299,#REF!,6,0)*J299/1000)</f>
        <v>0</v>
      </c>
      <c r="P299" s="21">
        <f>IF(ISERROR(VLOOKUP(F299,#REF!,6,0)*K299/1000),0,VLOOKUP(F299,#REF!,6,0)*K299/1000)</f>
        <v>0</v>
      </c>
      <c r="Q299" s="6">
        <f>IF(ISERROR(VLOOKUP(F299,#REF!,3,0)),0,VLOOKUP(F299,#REF!,3,0))</f>
        <v>0</v>
      </c>
      <c r="R299" s="6">
        <f>IF(ISERROR(VLOOKUP(F299,#REF!,4,0)),0,VLOOKUP(F299,#REF!,4,0))</f>
        <v>0</v>
      </c>
      <c r="S299" s="8">
        <f>IF(ISERROR(VLOOKUP(F299,#REF!,4,0)),0,VLOOKUP(F299,#REF!,10,0)/60*K299)</f>
        <v>0</v>
      </c>
      <c r="T299" s="3"/>
      <c r="U299" s="3"/>
      <c r="V299" s="4"/>
    </row>
    <row r="300" spans="1:22" x14ac:dyDescent="0.3">
      <c r="A300" s="5">
        <f t="shared" si="13"/>
        <v>0</v>
      </c>
      <c r="B300" s="6">
        <f t="shared" si="14"/>
        <v>0</v>
      </c>
      <c r="K300" s="18">
        <f t="shared" si="12"/>
        <v>0</v>
      </c>
      <c r="L300" s="21">
        <f>IF(ISERROR(VLOOKUP($F300,#REF!,6,0)*G300/1000),0,VLOOKUP($F300,#REF!,6,0)*G300/1000)</f>
        <v>0</v>
      </c>
      <c r="M300" s="21">
        <f>IF(ISERROR(VLOOKUP($F300,#REF!,6,0)*H300/1000),0,VLOOKUP($F300,#REF!,6,0)*H300/1000)</f>
        <v>0</v>
      </c>
      <c r="N300" s="21">
        <f>IF(ISERROR(VLOOKUP($F300,#REF!,6,0)*I300/1000),0,VLOOKUP($F300,#REF!,6,0)*I300/1000)</f>
        <v>0</v>
      </c>
      <c r="O300" s="21">
        <f>IF(ISERROR(VLOOKUP($F300,#REF!,6,0)*J300/1000),0,VLOOKUP($F300,#REF!,6,0)*J300/1000)</f>
        <v>0</v>
      </c>
      <c r="P300" s="21">
        <f>IF(ISERROR(VLOOKUP(F300,#REF!,6,0)*K300/1000),0,VLOOKUP(F300,#REF!,6,0)*K300/1000)</f>
        <v>0</v>
      </c>
      <c r="Q300" s="6">
        <f>IF(ISERROR(VLOOKUP(F300,#REF!,3,0)),0,VLOOKUP(F300,#REF!,3,0))</f>
        <v>0</v>
      </c>
      <c r="R300" s="6">
        <f>IF(ISERROR(VLOOKUP(F300,#REF!,4,0)),0,VLOOKUP(F300,#REF!,4,0))</f>
        <v>0</v>
      </c>
      <c r="S300" s="8">
        <f>IF(ISERROR(VLOOKUP(F300,#REF!,4,0)),0,VLOOKUP(F300,#REF!,10,0)/60*K300)</f>
        <v>0</v>
      </c>
      <c r="T300" s="3"/>
      <c r="U300" s="3"/>
      <c r="V300" s="4"/>
    </row>
    <row r="301" spans="1:22" x14ac:dyDescent="0.3">
      <c r="A301" s="5">
        <f t="shared" si="13"/>
        <v>0</v>
      </c>
      <c r="B301" s="6">
        <f t="shared" si="14"/>
        <v>0</v>
      </c>
      <c r="K301" s="18">
        <f t="shared" si="12"/>
        <v>0</v>
      </c>
      <c r="L301" s="21">
        <f>IF(ISERROR(VLOOKUP($F301,#REF!,6,0)*G301/1000),0,VLOOKUP($F301,#REF!,6,0)*G301/1000)</f>
        <v>0</v>
      </c>
      <c r="M301" s="21">
        <f>IF(ISERROR(VLOOKUP($F301,#REF!,6,0)*H301/1000),0,VLOOKUP($F301,#REF!,6,0)*H301/1000)</f>
        <v>0</v>
      </c>
      <c r="N301" s="21">
        <f>IF(ISERROR(VLOOKUP($F301,#REF!,6,0)*I301/1000),0,VLOOKUP($F301,#REF!,6,0)*I301/1000)</f>
        <v>0</v>
      </c>
      <c r="O301" s="21">
        <f>IF(ISERROR(VLOOKUP($F301,#REF!,6,0)*J301/1000),0,VLOOKUP($F301,#REF!,6,0)*J301/1000)</f>
        <v>0</v>
      </c>
      <c r="P301" s="21">
        <f>IF(ISERROR(VLOOKUP(F301,#REF!,6,0)*K301/1000),0,VLOOKUP(F301,#REF!,6,0)*K301/1000)</f>
        <v>0</v>
      </c>
      <c r="Q301" s="6">
        <f>IF(ISERROR(VLOOKUP(F301,#REF!,3,0)),0,VLOOKUP(F301,#REF!,3,0))</f>
        <v>0</v>
      </c>
      <c r="R301" s="6">
        <f>IF(ISERROR(VLOOKUP(F301,#REF!,4,0)),0,VLOOKUP(F301,#REF!,4,0))</f>
        <v>0</v>
      </c>
      <c r="S301" s="8">
        <f>IF(ISERROR(VLOOKUP(F301,#REF!,4,0)),0,VLOOKUP(F301,#REF!,10,0)/60*K301)</f>
        <v>0</v>
      </c>
      <c r="T301" s="3"/>
      <c r="U301" s="3"/>
      <c r="V301" s="4"/>
    </row>
    <row r="302" spans="1:22" x14ac:dyDescent="0.3">
      <c r="A302" s="5">
        <f t="shared" si="13"/>
        <v>0</v>
      </c>
      <c r="B302" s="6">
        <f t="shared" si="14"/>
        <v>0</v>
      </c>
      <c r="K302" s="18">
        <f t="shared" si="12"/>
        <v>0</v>
      </c>
      <c r="L302" s="21">
        <f>IF(ISERROR(VLOOKUP($F302,#REF!,6,0)*G302/1000),0,VLOOKUP($F302,#REF!,6,0)*G302/1000)</f>
        <v>0</v>
      </c>
      <c r="M302" s="21">
        <f>IF(ISERROR(VLOOKUP($F302,#REF!,6,0)*H302/1000),0,VLOOKUP($F302,#REF!,6,0)*H302/1000)</f>
        <v>0</v>
      </c>
      <c r="N302" s="21">
        <f>IF(ISERROR(VLOOKUP($F302,#REF!,6,0)*I302/1000),0,VLOOKUP($F302,#REF!,6,0)*I302/1000)</f>
        <v>0</v>
      </c>
      <c r="O302" s="21">
        <f>IF(ISERROR(VLOOKUP($F302,#REF!,6,0)*J302/1000),0,VLOOKUP($F302,#REF!,6,0)*J302/1000)</f>
        <v>0</v>
      </c>
      <c r="P302" s="21">
        <f>IF(ISERROR(VLOOKUP(F302,#REF!,6,0)*K302/1000),0,VLOOKUP(F302,#REF!,6,0)*K302/1000)</f>
        <v>0</v>
      </c>
      <c r="Q302" s="6">
        <f>IF(ISERROR(VLOOKUP(F302,#REF!,3,0)),0,VLOOKUP(F302,#REF!,3,0))</f>
        <v>0</v>
      </c>
      <c r="R302" s="6">
        <f>IF(ISERROR(VLOOKUP(F302,#REF!,4,0)),0,VLOOKUP(F302,#REF!,4,0))</f>
        <v>0</v>
      </c>
      <c r="S302" s="8">
        <f>IF(ISERROR(VLOOKUP(F302,#REF!,4,0)),0,VLOOKUP(F302,#REF!,10,0)/60*K302)</f>
        <v>0</v>
      </c>
      <c r="T302" s="3"/>
      <c r="U302" s="3"/>
      <c r="V302" s="4"/>
    </row>
    <row r="303" spans="1:22" x14ac:dyDescent="0.3">
      <c r="A303" s="5">
        <f t="shared" si="13"/>
        <v>0</v>
      </c>
      <c r="B303" s="6">
        <f t="shared" si="14"/>
        <v>0</v>
      </c>
      <c r="K303" s="18">
        <f t="shared" si="12"/>
        <v>0</v>
      </c>
      <c r="L303" s="21">
        <f>IF(ISERROR(VLOOKUP($F303,#REF!,6,0)*G303/1000),0,VLOOKUP($F303,#REF!,6,0)*G303/1000)</f>
        <v>0</v>
      </c>
      <c r="M303" s="21">
        <f>IF(ISERROR(VLOOKUP($F303,#REF!,6,0)*H303/1000),0,VLOOKUP($F303,#REF!,6,0)*H303/1000)</f>
        <v>0</v>
      </c>
      <c r="N303" s="21">
        <f>IF(ISERROR(VLOOKUP($F303,#REF!,6,0)*I303/1000),0,VLOOKUP($F303,#REF!,6,0)*I303/1000)</f>
        <v>0</v>
      </c>
      <c r="O303" s="21">
        <f>IF(ISERROR(VLOOKUP($F303,#REF!,6,0)*J303/1000),0,VLOOKUP($F303,#REF!,6,0)*J303/1000)</f>
        <v>0</v>
      </c>
      <c r="P303" s="21">
        <f>IF(ISERROR(VLOOKUP(F303,#REF!,6,0)*K303/1000),0,VLOOKUP(F303,#REF!,6,0)*K303/1000)</f>
        <v>0</v>
      </c>
      <c r="Q303" s="6">
        <f>IF(ISERROR(VLOOKUP(F303,#REF!,3,0)),0,VLOOKUP(F303,#REF!,3,0))</f>
        <v>0</v>
      </c>
      <c r="R303" s="6">
        <f>IF(ISERROR(VLOOKUP(F303,#REF!,4,0)),0,VLOOKUP(F303,#REF!,4,0))</f>
        <v>0</v>
      </c>
      <c r="S303" s="8">
        <f>IF(ISERROR(VLOOKUP(F303,#REF!,4,0)),0,VLOOKUP(F303,#REF!,10,0)/60*K303)</f>
        <v>0</v>
      </c>
      <c r="T303" s="3"/>
      <c r="U303" s="3"/>
      <c r="V303" s="4"/>
    </row>
    <row r="304" spans="1:22" x14ac:dyDescent="0.3">
      <c r="A304" s="5">
        <f t="shared" si="13"/>
        <v>0</v>
      </c>
      <c r="B304" s="6">
        <f t="shared" si="14"/>
        <v>0</v>
      </c>
      <c r="K304" s="18">
        <f t="shared" si="12"/>
        <v>0</v>
      </c>
      <c r="L304" s="21">
        <f>IF(ISERROR(VLOOKUP($F304,#REF!,6,0)*G304/1000),0,VLOOKUP($F304,#REF!,6,0)*G304/1000)</f>
        <v>0</v>
      </c>
      <c r="M304" s="21">
        <f>IF(ISERROR(VLOOKUP($F304,#REF!,6,0)*H304/1000),0,VLOOKUP($F304,#REF!,6,0)*H304/1000)</f>
        <v>0</v>
      </c>
      <c r="N304" s="21">
        <f>IF(ISERROR(VLOOKUP($F304,#REF!,6,0)*I304/1000),0,VLOOKUP($F304,#REF!,6,0)*I304/1000)</f>
        <v>0</v>
      </c>
      <c r="O304" s="21">
        <f>IF(ISERROR(VLOOKUP($F304,#REF!,6,0)*J304/1000),0,VLOOKUP($F304,#REF!,6,0)*J304/1000)</f>
        <v>0</v>
      </c>
      <c r="P304" s="21">
        <f>IF(ISERROR(VLOOKUP(F304,#REF!,6,0)*K304/1000),0,VLOOKUP(F304,#REF!,6,0)*K304/1000)</f>
        <v>0</v>
      </c>
      <c r="Q304" s="6">
        <f>IF(ISERROR(VLOOKUP(F304,#REF!,3,0)),0,VLOOKUP(F304,#REF!,3,0))</f>
        <v>0</v>
      </c>
      <c r="R304" s="6">
        <f>IF(ISERROR(VLOOKUP(F304,#REF!,4,0)),0,VLOOKUP(F304,#REF!,4,0))</f>
        <v>0</v>
      </c>
      <c r="S304" s="8">
        <f>IF(ISERROR(VLOOKUP(F304,#REF!,4,0)),0,VLOOKUP(F304,#REF!,10,0)/60*K304)</f>
        <v>0</v>
      </c>
      <c r="T304" s="3"/>
      <c r="U304" s="3"/>
      <c r="V304" s="4"/>
    </row>
    <row r="305" spans="1:22" x14ac:dyDescent="0.3">
      <c r="A305" s="5">
        <f t="shared" si="13"/>
        <v>0</v>
      </c>
      <c r="B305" s="6">
        <f t="shared" si="14"/>
        <v>0</v>
      </c>
      <c r="K305" s="18">
        <f t="shared" si="12"/>
        <v>0</v>
      </c>
      <c r="L305" s="21">
        <f>IF(ISERROR(VLOOKUP($F305,#REF!,6,0)*G305/1000),0,VLOOKUP($F305,#REF!,6,0)*G305/1000)</f>
        <v>0</v>
      </c>
      <c r="M305" s="21">
        <f>IF(ISERROR(VLOOKUP($F305,#REF!,6,0)*H305/1000),0,VLOOKUP($F305,#REF!,6,0)*H305/1000)</f>
        <v>0</v>
      </c>
      <c r="N305" s="21">
        <f>IF(ISERROR(VLOOKUP($F305,#REF!,6,0)*I305/1000),0,VLOOKUP($F305,#REF!,6,0)*I305/1000)</f>
        <v>0</v>
      </c>
      <c r="O305" s="21">
        <f>IF(ISERROR(VLOOKUP($F305,#REF!,6,0)*J305/1000),0,VLOOKUP($F305,#REF!,6,0)*J305/1000)</f>
        <v>0</v>
      </c>
      <c r="P305" s="21">
        <f>IF(ISERROR(VLOOKUP(F305,#REF!,6,0)*K305/1000),0,VLOOKUP(F305,#REF!,6,0)*K305/1000)</f>
        <v>0</v>
      </c>
      <c r="Q305" s="6">
        <f>IF(ISERROR(VLOOKUP(F305,#REF!,3,0)),0,VLOOKUP(F305,#REF!,3,0))</f>
        <v>0</v>
      </c>
      <c r="R305" s="6">
        <f>IF(ISERROR(VLOOKUP(F305,#REF!,4,0)),0,VLOOKUP(F305,#REF!,4,0))</f>
        <v>0</v>
      </c>
      <c r="S305" s="8">
        <f>IF(ISERROR(VLOOKUP(F305,#REF!,4,0)),0,VLOOKUP(F305,#REF!,10,0)/60*K305)</f>
        <v>0</v>
      </c>
      <c r="T305" s="3"/>
      <c r="U305" s="3"/>
      <c r="V305" s="4"/>
    </row>
    <row r="306" spans="1:22" x14ac:dyDescent="0.3">
      <c r="A306" s="5">
        <f t="shared" si="13"/>
        <v>0</v>
      </c>
      <c r="B306" s="6">
        <f t="shared" si="14"/>
        <v>0</v>
      </c>
      <c r="K306" s="18">
        <f t="shared" si="12"/>
        <v>0</v>
      </c>
      <c r="L306" s="21">
        <f>IF(ISERROR(VLOOKUP($F306,#REF!,6,0)*G306/1000),0,VLOOKUP($F306,#REF!,6,0)*G306/1000)</f>
        <v>0</v>
      </c>
      <c r="M306" s="21">
        <f>IF(ISERROR(VLOOKUP($F306,#REF!,6,0)*H306/1000),0,VLOOKUP($F306,#REF!,6,0)*H306/1000)</f>
        <v>0</v>
      </c>
      <c r="N306" s="21">
        <f>IF(ISERROR(VLOOKUP($F306,#REF!,6,0)*I306/1000),0,VLOOKUP($F306,#REF!,6,0)*I306/1000)</f>
        <v>0</v>
      </c>
      <c r="O306" s="21">
        <f>IF(ISERROR(VLOOKUP($F306,#REF!,6,0)*J306/1000),0,VLOOKUP($F306,#REF!,6,0)*J306/1000)</f>
        <v>0</v>
      </c>
      <c r="P306" s="21">
        <f>IF(ISERROR(VLOOKUP(F306,#REF!,6,0)*K306/1000),0,VLOOKUP(F306,#REF!,6,0)*K306/1000)</f>
        <v>0</v>
      </c>
      <c r="Q306" s="6">
        <f>IF(ISERROR(VLOOKUP(F306,#REF!,3,0)),0,VLOOKUP(F306,#REF!,3,0))</f>
        <v>0</v>
      </c>
      <c r="R306" s="6">
        <f>IF(ISERROR(VLOOKUP(F306,#REF!,4,0)),0,VLOOKUP(F306,#REF!,4,0))</f>
        <v>0</v>
      </c>
      <c r="S306" s="8">
        <f>IF(ISERROR(VLOOKUP(F306,#REF!,4,0)),0,VLOOKUP(F306,#REF!,10,0)/60*K306)</f>
        <v>0</v>
      </c>
      <c r="T306" s="3"/>
      <c r="U306" s="3"/>
      <c r="V306" s="4"/>
    </row>
    <row r="307" spans="1:22" x14ac:dyDescent="0.3">
      <c r="A307" s="5">
        <f t="shared" si="13"/>
        <v>0</v>
      </c>
      <c r="B307" s="6">
        <f t="shared" si="14"/>
        <v>0</v>
      </c>
      <c r="K307" s="18">
        <f t="shared" si="12"/>
        <v>0</v>
      </c>
      <c r="L307" s="21">
        <f>IF(ISERROR(VLOOKUP($F307,#REF!,6,0)*G307/1000),0,VLOOKUP($F307,#REF!,6,0)*G307/1000)</f>
        <v>0</v>
      </c>
      <c r="M307" s="21">
        <f>IF(ISERROR(VLOOKUP($F307,#REF!,6,0)*H307/1000),0,VLOOKUP($F307,#REF!,6,0)*H307/1000)</f>
        <v>0</v>
      </c>
      <c r="N307" s="21">
        <f>IF(ISERROR(VLOOKUP($F307,#REF!,6,0)*I307/1000),0,VLOOKUP($F307,#REF!,6,0)*I307/1000)</f>
        <v>0</v>
      </c>
      <c r="O307" s="21">
        <f>IF(ISERROR(VLOOKUP($F307,#REF!,6,0)*J307/1000),0,VLOOKUP($F307,#REF!,6,0)*J307/1000)</f>
        <v>0</v>
      </c>
      <c r="P307" s="21">
        <f>IF(ISERROR(VLOOKUP(F307,#REF!,6,0)*K307/1000),0,VLOOKUP(F307,#REF!,6,0)*K307/1000)</f>
        <v>0</v>
      </c>
      <c r="Q307" s="6">
        <f>IF(ISERROR(VLOOKUP(F307,#REF!,3,0)),0,VLOOKUP(F307,#REF!,3,0))</f>
        <v>0</v>
      </c>
      <c r="R307" s="6">
        <f>IF(ISERROR(VLOOKUP(F307,#REF!,4,0)),0,VLOOKUP(F307,#REF!,4,0))</f>
        <v>0</v>
      </c>
      <c r="S307" s="8">
        <f>IF(ISERROR(VLOOKUP(F307,#REF!,4,0)),0,VLOOKUP(F307,#REF!,10,0)/60*K307)</f>
        <v>0</v>
      </c>
      <c r="T307" s="3"/>
      <c r="U307" s="3"/>
      <c r="V307" s="4"/>
    </row>
    <row r="308" spans="1:22" x14ac:dyDescent="0.3">
      <c r="A308" s="5">
        <f t="shared" si="13"/>
        <v>0</v>
      </c>
      <c r="B308" s="6">
        <f t="shared" si="14"/>
        <v>0</v>
      </c>
      <c r="K308" s="18">
        <f t="shared" si="12"/>
        <v>0</v>
      </c>
      <c r="L308" s="21">
        <f>IF(ISERROR(VLOOKUP($F308,#REF!,6,0)*G308/1000),0,VLOOKUP($F308,#REF!,6,0)*G308/1000)</f>
        <v>0</v>
      </c>
      <c r="M308" s="21">
        <f>IF(ISERROR(VLOOKUP($F308,#REF!,6,0)*H308/1000),0,VLOOKUP($F308,#REF!,6,0)*H308/1000)</f>
        <v>0</v>
      </c>
      <c r="N308" s="21">
        <f>IF(ISERROR(VLOOKUP($F308,#REF!,6,0)*I308/1000),0,VLOOKUP($F308,#REF!,6,0)*I308/1000)</f>
        <v>0</v>
      </c>
      <c r="O308" s="21">
        <f>IF(ISERROR(VLOOKUP($F308,#REF!,6,0)*J308/1000),0,VLOOKUP($F308,#REF!,6,0)*J308/1000)</f>
        <v>0</v>
      </c>
      <c r="P308" s="21">
        <f>IF(ISERROR(VLOOKUP(F308,#REF!,6,0)*K308/1000),0,VLOOKUP(F308,#REF!,6,0)*K308/1000)</f>
        <v>0</v>
      </c>
      <c r="Q308" s="6">
        <f>IF(ISERROR(VLOOKUP(F308,#REF!,3,0)),0,VLOOKUP(F308,#REF!,3,0))</f>
        <v>0</v>
      </c>
      <c r="R308" s="6">
        <f>IF(ISERROR(VLOOKUP(F308,#REF!,4,0)),0,VLOOKUP(F308,#REF!,4,0))</f>
        <v>0</v>
      </c>
      <c r="S308" s="8">
        <f>IF(ISERROR(VLOOKUP(F308,#REF!,4,0)),0,VLOOKUP(F308,#REF!,10,0)/60*K308)</f>
        <v>0</v>
      </c>
      <c r="T308" s="3"/>
      <c r="U308" s="3"/>
      <c r="V308" s="4"/>
    </row>
    <row r="309" spans="1:22" x14ac:dyDescent="0.3">
      <c r="A309" s="5">
        <f t="shared" si="13"/>
        <v>0</v>
      </c>
      <c r="B309" s="6">
        <f t="shared" si="14"/>
        <v>0</v>
      </c>
      <c r="K309" s="18">
        <f t="shared" si="12"/>
        <v>0</v>
      </c>
      <c r="L309" s="21">
        <f>IF(ISERROR(VLOOKUP($F309,#REF!,6,0)*G309/1000),0,VLOOKUP($F309,#REF!,6,0)*G309/1000)</f>
        <v>0</v>
      </c>
      <c r="M309" s="21">
        <f>IF(ISERROR(VLOOKUP($F309,#REF!,6,0)*H309/1000),0,VLOOKUP($F309,#REF!,6,0)*H309/1000)</f>
        <v>0</v>
      </c>
      <c r="N309" s="21">
        <f>IF(ISERROR(VLOOKUP($F309,#REF!,6,0)*I309/1000),0,VLOOKUP($F309,#REF!,6,0)*I309/1000)</f>
        <v>0</v>
      </c>
      <c r="O309" s="21">
        <f>IF(ISERROR(VLOOKUP($F309,#REF!,6,0)*J309/1000),0,VLOOKUP($F309,#REF!,6,0)*J309/1000)</f>
        <v>0</v>
      </c>
      <c r="P309" s="21">
        <f>IF(ISERROR(VLOOKUP(F309,#REF!,6,0)*K309/1000),0,VLOOKUP(F309,#REF!,6,0)*K309/1000)</f>
        <v>0</v>
      </c>
      <c r="Q309" s="6">
        <f>IF(ISERROR(VLOOKUP(F309,#REF!,3,0)),0,VLOOKUP(F309,#REF!,3,0))</f>
        <v>0</v>
      </c>
      <c r="R309" s="6">
        <f>IF(ISERROR(VLOOKUP(F309,#REF!,4,0)),0,VLOOKUP(F309,#REF!,4,0))</f>
        <v>0</v>
      </c>
      <c r="S309" s="8">
        <f>IF(ISERROR(VLOOKUP(F309,#REF!,4,0)),0,VLOOKUP(F309,#REF!,10,0)/60*K309)</f>
        <v>0</v>
      </c>
      <c r="T309" s="3"/>
      <c r="U309" s="3"/>
      <c r="V309" s="4"/>
    </row>
    <row r="310" spans="1:22" x14ac:dyDescent="0.3">
      <c r="A310" s="5">
        <f t="shared" si="13"/>
        <v>0</v>
      </c>
      <c r="B310" s="6">
        <f t="shared" si="14"/>
        <v>0</v>
      </c>
      <c r="K310" s="18">
        <f t="shared" si="12"/>
        <v>0</v>
      </c>
      <c r="L310" s="21">
        <f>IF(ISERROR(VLOOKUP($F310,#REF!,6,0)*G310/1000),0,VLOOKUP($F310,#REF!,6,0)*G310/1000)</f>
        <v>0</v>
      </c>
      <c r="M310" s="21">
        <f>IF(ISERROR(VLOOKUP($F310,#REF!,6,0)*H310/1000),0,VLOOKUP($F310,#REF!,6,0)*H310/1000)</f>
        <v>0</v>
      </c>
      <c r="N310" s="21">
        <f>IF(ISERROR(VLOOKUP($F310,#REF!,6,0)*I310/1000),0,VLOOKUP($F310,#REF!,6,0)*I310/1000)</f>
        <v>0</v>
      </c>
      <c r="O310" s="21">
        <f>IF(ISERROR(VLOOKUP($F310,#REF!,6,0)*J310/1000),0,VLOOKUP($F310,#REF!,6,0)*J310/1000)</f>
        <v>0</v>
      </c>
      <c r="P310" s="21">
        <f>IF(ISERROR(VLOOKUP(F310,#REF!,6,0)*K310/1000),0,VLOOKUP(F310,#REF!,6,0)*K310/1000)</f>
        <v>0</v>
      </c>
      <c r="Q310" s="6">
        <f>IF(ISERROR(VLOOKUP(F310,#REF!,3,0)),0,VLOOKUP(F310,#REF!,3,0))</f>
        <v>0</v>
      </c>
      <c r="R310" s="6">
        <f>IF(ISERROR(VLOOKUP(F310,#REF!,4,0)),0,VLOOKUP(F310,#REF!,4,0))</f>
        <v>0</v>
      </c>
      <c r="S310" s="8">
        <f>IF(ISERROR(VLOOKUP(F310,#REF!,4,0)),0,VLOOKUP(F310,#REF!,10,0)/60*K310)</f>
        <v>0</v>
      </c>
      <c r="T310" s="3"/>
      <c r="U310" s="3"/>
      <c r="V310" s="4"/>
    </row>
    <row r="311" spans="1:22" x14ac:dyDescent="0.3">
      <c r="A311" s="5">
        <f t="shared" si="13"/>
        <v>0</v>
      </c>
      <c r="B311" s="6">
        <f t="shared" si="14"/>
        <v>0</v>
      </c>
      <c r="K311" s="18">
        <f t="shared" si="12"/>
        <v>0</v>
      </c>
      <c r="L311" s="21">
        <f>IF(ISERROR(VLOOKUP($F311,#REF!,6,0)*G311/1000),0,VLOOKUP($F311,#REF!,6,0)*G311/1000)</f>
        <v>0</v>
      </c>
      <c r="M311" s="21">
        <f>IF(ISERROR(VLOOKUP($F311,#REF!,6,0)*H311/1000),0,VLOOKUP($F311,#REF!,6,0)*H311/1000)</f>
        <v>0</v>
      </c>
      <c r="N311" s="21">
        <f>IF(ISERROR(VLOOKUP($F311,#REF!,6,0)*I311/1000),0,VLOOKUP($F311,#REF!,6,0)*I311/1000)</f>
        <v>0</v>
      </c>
      <c r="O311" s="21">
        <f>IF(ISERROR(VLOOKUP($F311,#REF!,6,0)*J311/1000),0,VLOOKUP($F311,#REF!,6,0)*J311/1000)</f>
        <v>0</v>
      </c>
      <c r="P311" s="21">
        <f>IF(ISERROR(VLOOKUP(F311,#REF!,6,0)*K311/1000),0,VLOOKUP(F311,#REF!,6,0)*K311/1000)</f>
        <v>0</v>
      </c>
      <c r="Q311" s="6">
        <f>IF(ISERROR(VLOOKUP(F311,#REF!,3,0)),0,VLOOKUP(F311,#REF!,3,0))</f>
        <v>0</v>
      </c>
      <c r="R311" s="6">
        <f>IF(ISERROR(VLOOKUP(F311,#REF!,4,0)),0,VLOOKUP(F311,#REF!,4,0))</f>
        <v>0</v>
      </c>
      <c r="S311" s="8">
        <f>IF(ISERROR(VLOOKUP(F311,#REF!,4,0)),0,VLOOKUP(F311,#REF!,10,0)/60*K311)</f>
        <v>0</v>
      </c>
      <c r="T311" s="3"/>
      <c r="U311" s="3"/>
      <c r="V311" s="4"/>
    </row>
    <row r="312" spans="1:22" x14ac:dyDescent="0.3">
      <c r="A312" s="5">
        <f t="shared" si="13"/>
        <v>0</v>
      </c>
      <c r="B312" s="6">
        <f t="shared" si="14"/>
        <v>0</v>
      </c>
      <c r="K312" s="18">
        <f t="shared" si="12"/>
        <v>0</v>
      </c>
      <c r="L312" s="21">
        <f>IF(ISERROR(VLOOKUP($F312,#REF!,6,0)*G312/1000),0,VLOOKUP($F312,#REF!,6,0)*G312/1000)</f>
        <v>0</v>
      </c>
      <c r="M312" s="21">
        <f>IF(ISERROR(VLOOKUP($F312,#REF!,6,0)*H312/1000),0,VLOOKUP($F312,#REF!,6,0)*H312/1000)</f>
        <v>0</v>
      </c>
      <c r="N312" s="21">
        <f>IF(ISERROR(VLOOKUP($F312,#REF!,6,0)*I312/1000),0,VLOOKUP($F312,#REF!,6,0)*I312/1000)</f>
        <v>0</v>
      </c>
      <c r="O312" s="21">
        <f>IF(ISERROR(VLOOKUP($F312,#REF!,6,0)*J312/1000),0,VLOOKUP($F312,#REF!,6,0)*J312/1000)</f>
        <v>0</v>
      </c>
      <c r="P312" s="21">
        <f>IF(ISERROR(VLOOKUP(F312,#REF!,6,0)*K312/1000),0,VLOOKUP(F312,#REF!,6,0)*K312/1000)</f>
        <v>0</v>
      </c>
      <c r="Q312" s="6">
        <f>IF(ISERROR(VLOOKUP(F312,#REF!,3,0)),0,VLOOKUP(F312,#REF!,3,0))</f>
        <v>0</v>
      </c>
      <c r="R312" s="6">
        <f>IF(ISERROR(VLOOKUP(F312,#REF!,4,0)),0,VLOOKUP(F312,#REF!,4,0))</f>
        <v>0</v>
      </c>
      <c r="S312" s="8">
        <f>IF(ISERROR(VLOOKUP(F312,#REF!,4,0)),0,VLOOKUP(F312,#REF!,10,0)/60*K312)</f>
        <v>0</v>
      </c>
      <c r="T312" s="3"/>
      <c r="U312" s="3"/>
      <c r="V312" s="4"/>
    </row>
    <row r="313" spans="1:22" x14ac:dyDescent="0.3">
      <c r="A313" s="5">
        <f t="shared" si="13"/>
        <v>0</v>
      </c>
      <c r="B313" s="6">
        <f t="shared" si="14"/>
        <v>0</v>
      </c>
      <c r="K313" s="18">
        <f t="shared" si="12"/>
        <v>0</v>
      </c>
      <c r="L313" s="21">
        <f>IF(ISERROR(VLOOKUP($F313,#REF!,6,0)*G313/1000),0,VLOOKUP($F313,#REF!,6,0)*G313/1000)</f>
        <v>0</v>
      </c>
      <c r="M313" s="21">
        <f>IF(ISERROR(VLOOKUP($F313,#REF!,6,0)*H313/1000),0,VLOOKUP($F313,#REF!,6,0)*H313/1000)</f>
        <v>0</v>
      </c>
      <c r="N313" s="21">
        <f>IF(ISERROR(VLOOKUP($F313,#REF!,6,0)*I313/1000),0,VLOOKUP($F313,#REF!,6,0)*I313/1000)</f>
        <v>0</v>
      </c>
      <c r="O313" s="21">
        <f>IF(ISERROR(VLOOKUP($F313,#REF!,6,0)*J313/1000),0,VLOOKUP($F313,#REF!,6,0)*J313/1000)</f>
        <v>0</v>
      </c>
      <c r="P313" s="21">
        <f>IF(ISERROR(VLOOKUP(F313,#REF!,6,0)*K313/1000),0,VLOOKUP(F313,#REF!,6,0)*K313/1000)</f>
        <v>0</v>
      </c>
      <c r="Q313" s="6">
        <f>IF(ISERROR(VLOOKUP(F313,#REF!,3,0)),0,VLOOKUP(F313,#REF!,3,0))</f>
        <v>0</v>
      </c>
      <c r="R313" s="6">
        <f>IF(ISERROR(VLOOKUP(F313,#REF!,4,0)),0,VLOOKUP(F313,#REF!,4,0))</f>
        <v>0</v>
      </c>
      <c r="S313" s="8">
        <f>IF(ISERROR(VLOOKUP(F313,#REF!,4,0)),0,VLOOKUP(F313,#REF!,10,0)/60*K313)</f>
        <v>0</v>
      </c>
      <c r="T313" s="3"/>
      <c r="U313" s="3"/>
      <c r="V313" s="4"/>
    </row>
    <row r="314" spans="1:22" x14ac:dyDescent="0.3">
      <c r="A314" s="5">
        <f t="shared" si="13"/>
        <v>0</v>
      </c>
      <c r="B314" s="6">
        <f t="shared" si="14"/>
        <v>0</v>
      </c>
      <c r="K314" s="18">
        <f t="shared" si="12"/>
        <v>0</v>
      </c>
      <c r="L314" s="21">
        <f>IF(ISERROR(VLOOKUP($F314,#REF!,6,0)*G314/1000),0,VLOOKUP($F314,#REF!,6,0)*G314/1000)</f>
        <v>0</v>
      </c>
      <c r="M314" s="21">
        <f>IF(ISERROR(VLOOKUP($F314,#REF!,6,0)*H314/1000),0,VLOOKUP($F314,#REF!,6,0)*H314/1000)</f>
        <v>0</v>
      </c>
      <c r="N314" s="21">
        <f>IF(ISERROR(VLOOKUP($F314,#REF!,6,0)*I314/1000),0,VLOOKUP($F314,#REF!,6,0)*I314/1000)</f>
        <v>0</v>
      </c>
      <c r="O314" s="21">
        <f>IF(ISERROR(VLOOKUP($F314,#REF!,6,0)*J314/1000),0,VLOOKUP($F314,#REF!,6,0)*J314/1000)</f>
        <v>0</v>
      </c>
      <c r="P314" s="21">
        <f>IF(ISERROR(VLOOKUP(F314,#REF!,6,0)*K314/1000),0,VLOOKUP(F314,#REF!,6,0)*K314/1000)</f>
        <v>0</v>
      </c>
      <c r="Q314" s="6">
        <f>IF(ISERROR(VLOOKUP(F314,#REF!,3,0)),0,VLOOKUP(F314,#REF!,3,0))</f>
        <v>0</v>
      </c>
      <c r="R314" s="6">
        <f>IF(ISERROR(VLOOKUP(F314,#REF!,4,0)),0,VLOOKUP(F314,#REF!,4,0))</f>
        <v>0</v>
      </c>
      <c r="S314" s="8">
        <f>IF(ISERROR(VLOOKUP(F314,#REF!,4,0)),0,VLOOKUP(F314,#REF!,10,0)/60*K314)</f>
        <v>0</v>
      </c>
      <c r="T314" s="3"/>
      <c r="U314" s="3"/>
      <c r="V314" s="4"/>
    </row>
    <row r="315" spans="1:22" x14ac:dyDescent="0.3">
      <c r="A315" s="5">
        <f t="shared" si="13"/>
        <v>0</v>
      </c>
      <c r="B315" s="6">
        <f t="shared" si="14"/>
        <v>0</v>
      </c>
      <c r="K315" s="18">
        <f t="shared" si="12"/>
        <v>0</v>
      </c>
      <c r="L315" s="21">
        <f>IF(ISERROR(VLOOKUP($F315,#REF!,6,0)*G315/1000),0,VLOOKUP($F315,#REF!,6,0)*G315/1000)</f>
        <v>0</v>
      </c>
      <c r="M315" s="21">
        <f>IF(ISERROR(VLOOKUP($F315,#REF!,6,0)*H315/1000),0,VLOOKUP($F315,#REF!,6,0)*H315/1000)</f>
        <v>0</v>
      </c>
      <c r="N315" s="21">
        <f>IF(ISERROR(VLOOKUP($F315,#REF!,6,0)*I315/1000),0,VLOOKUP($F315,#REF!,6,0)*I315/1000)</f>
        <v>0</v>
      </c>
      <c r="O315" s="21">
        <f>IF(ISERROR(VLOOKUP($F315,#REF!,6,0)*J315/1000),0,VLOOKUP($F315,#REF!,6,0)*J315/1000)</f>
        <v>0</v>
      </c>
      <c r="P315" s="21">
        <f>IF(ISERROR(VLOOKUP(F315,#REF!,6,0)*K315/1000),0,VLOOKUP(F315,#REF!,6,0)*K315/1000)</f>
        <v>0</v>
      </c>
      <c r="Q315" s="6">
        <f>IF(ISERROR(VLOOKUP(F315,#REF!,3,0)),0,VLOOKUP(F315,#REF!,3,0))</f>
        <v>0</v>
      </c>
      <c r="R315" s="6">
        <f>IF(ISERROR(VLOOKUP(F315,#REF!,4,0)),0,VLOOKUP(F315,#REF!,4,0))</f>
        <v>0</v>
      </c>
      <c r="S315" s="8">
        <f>IF(ISERROR(VLOOKUP(F315,#REF!,4,0)),0,VLOOKUP(F315,#REF!,10,0)/60*K315)</f>
        <v>0</v>
      </c>
      <c r="T315" s="3"/>
      <c r="U315" s="3"/>
      <c r="V315" s="4"/>
    </row>
    <row r="316" spans="1:22" x14ac:dyDescent="0.3">
      <c r="A316" s="5">
        <f t="shared" si="13"/>
        <v>0</v>
      </c>
      <c r="B316" s="6">
        <f t="shared" si="14"/>
        <v>0</v>
      </c>
      <c r="K316" s="18">
        <f t="shared" si="12"/>
        <v>0</v>
      </c>
      <c r="L316" s="21">
        <f>IF(ISERROR(VLOOKUP($F316,#REF!,6,0)*G316/1000),0,VLOOKUP($F316,#REF!,6,0)*G316/1000)</f>
        <v>0</v>
      </c>
      <c r="M316" s="21">
        <f>IF(ISERROR(VLOOKUP($F316,#REF!,6,0)*H316/1000),0,VLOOKUP($F316,#REF!,6,0)*H316/1000)</f>
        <v>0</v>
      </c>
      <c r="N316" s="21">
        <f>IF(ISERROR(VLOOKUP($F316,#REF!,6,0)*I316/1000),0,VLOOKUP($F316,#REF!,6,0)*I316/1000)</f>
        <v>0</v>
      </c>
      <c r="O316" s="21">
        <f>IF(ISERROR(VLOOKUP($F316,#REF!,6,0)*J316/1000),0,VLOOKUP($F316,#REF!,6,0)*J316/1000)</f>
        <v>0</v>
      </c>
      <c r="P316" s="21">
        <f>IF(ISERROR(VLOOKUP(F316,#REF!,6,0)*K316/1000),0,VLOOKUP(F316,#REF!,6,0)*K316/1000)</f>
        <v>0</v>
      </c>
      <c r="Q316" s="6">
        <f>IF(ISERROR(VLOOKUP(F316,#REF!,3,0)),0,VLOOKUP(F316,#REF!,3,0))</f>
        <v>0</v>
      </c>
      <c r="R316" s="6">
        <f>IF(ISERROR(VLOOKUP(F316,#REF!,4,0)),0,VLOOKUP(F316,#REF!,4,0))</f>
        <v>0</v>
      </c>
      <c r="S316" s="8">
        <f>IF(ISERROR(VLOOKUP(F316,#REF!,4,0)),0,VLOOKUP(F316,#REF!,10,0)/60*K316)</f>
        <v>0</v>
      </c>
      <c r="T316" s="3"/>
      <c r="U316" s="3"/>
      <c r="V316" s="4"/>
    </row>
    <row r="317" spans="1:22" x14ac:dyDescent="0.3">
      <c r="A317" s="5">
        <f t="shared" si="13"/>
        <v>0</v>
      </c>
      <c r="B317" s="6">
        <f t="shared" si="14"/>
        <v>0</v>
      </c>
      <c r="K317" s="18">
        <f t="shared" si="12"/>
        <v>0</v>
      </c>
      <c r="L317" s="21">
        <f>IF(ISERROR(VLOOKUP($F317,#REF!,6,0)*G317/1000),0,VLOOKUP($F317,#REF!,6,0)*G317/1000)</f>
        <v>0</v>
      </c>
      <c r="M317" s="21">
        <f>IF(ISERROR(VLOOKUP($F317,#REF!,6,0)*H317/1000),0,VLOOKUP($F317,#REF!,6,0)*H317/1000)</f>
        <v>0</v>
      </c>
      <c r="N317" s="21">
        <f>IF(ISERROR(VLOOKUP($F317,#REF!,6,0)*I317/1000),0,VLOOKUP($F317,#REF!,6,0)*I317/1000)</f>
        <v>0</v>
      </c>
      <c r="O317" s="21">
        <f>IF(ISERROR(VLOOKUP($F317,#REF!,6,0)*J317/1000),0,VLOOKUP($F317,#REF!,6,0)*J317/1000)</f>
        <v>0</v>
      </c>
      <c r="P317" s="21">
        <f>IF(ISERROR(VLOOKUP(F317,#REF!,6,0)*K317/1000),0,VLOOKUP(F317,#REF!,6,0)*K317/1000)</f>
        <v>0</v>
      </c>
      <c r="Q317" s="6">
        <f>IF(ISERROR(VLOOKUP(F317,#REF!,3,0)),0,VLOOKUP(F317,#REF!,3,0))</f>
        <v>0</v>
      </c>
      <c r="R317" s="6">
        <f>IF(ISERROR(VLOOKUP(F317,#REF!,4,0)),0,VLOOKUP(F317,#REF!,4,0))</f>
        <v>0</v>
      </c>
      <c r="S317" s="8">
        <f>IF(ISERROR(VLOOKUP(F317,#REF!,4,0)),0,VLOOKUP(F317,#REF!,10,0)/60*K317)</f>
        <v>0</v>
      </c>
      <c r="T317" s="3"/>
      <c r="U317" s="3"/>
      <c r="V317" s="4"/>
    </row>
    <row r="318" spans="1:22" x14ac:dyDescent="0.3">
      <c r="A318" s="5">
        <f t="shared" si="13"/>
        <v>0</v>
      </c>
      <c r="B318" s="6">
        <f t="shared" si="14"/>
        <v>0</v>
      </c>
      <c r="K318" s="18">
        <f t="shared" si="12"/>
        <v>0</v>
      </c>
      <c r="L318" s="21">
        <f>IF(ISERROR(VLOOKUP($F318,#REF!,6,0)*G318/1000),0,VLOOKUP($F318,#REF!,6,0)*G318/1000)</f>
        <v>0</v>
      </c>
      <c r="M318" s="21">
        <f>IF(ISERROR(VLOOKUP($F318,#REF!,6,0)*H318/1000),0,VLOOKUP($F318,#REF!,6,0)*H318/1000)</f>
        <v>0</v>
      </c>
      <c r="N318" s="21">
        <f>IF(ISERROR(VLOOKUP($F318,#REF!,6,0)*I318/1000),0,VLOOKUP($F318,#REF!,6,0)*I318/1000)</f>
        <v>0</v>
      </c>
      <c r="O318" s="21">
        <f>IF(ISERROR(VLOOKUP($F318,#REF!,6,0)*J318/1000),0,VLOOKUP($F318,#REF!,6,0)*J318/1000)</f>
        <v>0</v>
      </c>
      <c r="P318" s="21">
        <f>IF(ISERROR(VLOOKUP(F318,#REF!,6,0)*K318/1000),0,VLOOKUP(F318,#REF!,6,0)*K318/1000)</f>
        <v>0</v>
      </c>
      <c r="Q318" s="6">
        <f>IF(ISERROR(VLOOKUP(F318,#REF!,3,0)),0,VLOOKUP(F318,#REF!,3,0))</f>
        <v>0</v>
      </c>
      <c r="R318" s="6">
        <f>IF(ISERROR(VLOOKUP(F318,#REF!,4,0)),0,VLOOKUP(F318,#REF!,4,0))</f>
        <v>0</v>
      </c>
      <c r="S318" s="8">
        <f>IF(ISERROR(VLOOKUP(F318,#REF!,4,0)),0,VLOOKUP(F318,#REF!,10,0)/60*K318)</f>
        <v>0</v>
      </c>
      <c r="T318" s="3"/>
      <c r="U318" s="3"/>
      <c r="V318" s="4"/>
    </row>
    <row r="319" spans="1:22" x14ac:dyDescent="0.3">
      <c r="A319" s="5">
        <f t="shared" si="13"/>
        <v>0</v>
      </c>
      <c r="B319" s="6">
        <f t="shared" si="14"/>
        <v>0</v>
      </c>
      <c r="K319" s="18">
        <f t="shared" si="12"/>
        <v>0</v>
      </c>
      <c r="L319" s="21">
        <f>IF(ISERROR(VLOOKUP($F319,#REF!,6,0)*G319/1000),0,VLOOKUP($F319,#REF!,6,0)*G319/1000)</f>
        <v>0</v>
      </c>
      <c r="M319" s="21">
        <f>IF(ISERROR(VLOOKUP($F319,#REF!,6,0)*H319/1000),0,VLOOKUP($F319,#REF!,6,0)*H319/1000)</f>
        <v>0</v>
      </c>
      <c r="N319" s="21">
        <f>IF(ISERROR(VLOOKUP($F319,#REF!,6,0)*I319/1000),0,VLOOKUP($F319,#REF!,6,0)*I319/1000)</f>
        <v>0</v>
      </c>
      <c r="O319" s="21">
        <f>IF(ISERROR(VLOOKUP($F319,#REF!,6,0)*J319/1000),0,VLOOKUP($F319,#REF!,6,0)*J319/1000)</f>
        <v>0</v>
      </c>
      <c r="P319" s="21">
        <f>IF(ISERROR(VLOOKUP(F319,#REF!,6,0)*K319/1000),0,VLOOKUP(F319,#REF!,6,0)*K319/1000)</f>
        <v>0</v>
      </c>
      <c r="Q319" s="6">
        <f>IF(ISERROR(VLOOKUP(F319,#REF!,3,0)),0,VLOOKUP(F319,#REF!,3,0))</f>
        <v>0</v>
      </c>
      <c r="R319" s="6">
        <f>IF(ISERROR(VLOOKUP(F319,#REF!,4,0)),0,VLOOKUP(F319,#REF!,4,0))</f>
        <v>0</v>
      </c>
      <c r="S319" s="8">
        <f>IF(ISERROR(VLOOKUP(F319,#REF!,4,0)),0,VLOOKUP(F319,#REF!,10,0)/60*K319)</f>
        <v>0</v>
      </c>
      <c r="T319" s="3"/>
      <c r="U319" s="3"/>
      <c r="V319" s="4"/>
    </row>
    <row r="320" spans="1:22" x14ac:dyDescent="0.3">
      <c r="A320" s="5">
        <f t="shared" si="13"/>
        <v>0</v>
      </c>
      <c r="B320" s="6">
        <f t="shared" si="14"/>
        <v>0</v>
      </c>
      <c r="K320" s="18">
        <f t="shared" si="12"/>
        <v>0</v>
      </c>
      <c r="L320" s="21">
        <f>IF(ISERROR(VLOOKUP($F320,#REF!,6,0)*G320/1000),0,VLOOKUP($F320,#REF!,6,0)*G320/1000)</f>
        <v>0</v>
      </c>
      <c r="M320" s="21">
        <f>IF(ISERROR(VLOOKUP($F320,#REF!,6,0)*H320/1000),0,VLOOKUP($F320,#REF!,6,0)*H320/1000)</f>
        <v>0</v>
      </c>
      <c r="N320" s="21">
        <f>IF(ISERROR(VLOOKUP($F320,#REF!,6,0)*I320/1000),0,VLOOKUP($F320,#REF!,6,0)*I320/1000)</f>
        <v>0</v>
      </c>
      <c r="O320" s="21">
        <f>IF(ISERROR(VLOOKUP($F320,#REF!,6,0)*J320/1000),0,VLOOKUP($F320,#REF!,6,0)*J320/1000)</f>
        <v>0</v>
      </c>
      <c r="P320" s="21">
        <f>IF(ISERROR(VLOOKUP(F320,#REF!,6,0)*K320/1000),0,VLOOKUP(F320,#REF!,6,0)*K320/1000)</f>
        <v>0</v>
      </c>
      <c r="Q320" s="6">
        <f>IF(ISERROR(VLOOKUP(F320,#REF!,3,0)),0,VLOOKUP(F320,#REF!,3,0))</f>
        <v>0</v>
      </c>
      <c r="R320" s="6">
        <f>IF(ISERROR(VLOOKUP(F320,#REF!,4,0)),0,VLOOKUP(F320,#REF!,4,0))</f>
        <v>0</v>
      </c>
      <c r="S320" s="8">
        <f>IF(ISERROR(VLOOKUP(F320,#REF!,4,0)),0,VLOOKUP(F320,#REF!,10,0)/60*K320)</f>
        <v>0</v>
      </c>
      <c r="T320" s="3"/>
      <c r="U320" s="3"/>
      <c r="V320" s="4"/>
    </row>
    <row r="321" spans="1:22" x14ac:dyDescent="0.3">
      <c r="A321" s="5">
        <f t="shared" si="13"/>
        <v>0</v>
      </c>
      <c r="B321" s="6">
        <f t="shared" si="14"/>
        <v>0</v>
      </c>
      <c r="K321" s="18">
        <f t="shared" si="12"/>
        <v>0</v>
      </c>
      <c r="L321" s="21">
        <f>IF(ISERROR(VLOOKUP($F321,#REF!,6,0)*G321/1000),0,VLOOKUP($F321,#REF!,6,0)*G321/1000)</f>
        <v>0</v>
      </c>
      <c r="M321" s="21">
        <f>IF(ISERROR(VLOOKUP($F321,#REF!,6,0)*H321/1000),0,VLOOKUP($F321,#REF!,6,0)*H321/1000)</f>
        <v>0</v>
      </c>
      <c r="N321" s="21">
        <f>IF(ISERROR(VLOOKUP($F321,#REF!,6,0)*I321/1000),0,VLOOKUP($F321,#REF!,6,0)*I321/1000)</f>
        <v>0</v>
      </c>
      <c r="O321" s="21">
        <f>IF(ISERROR(VLOOKUP($F321,#REF!,6,0)*J321/1000),0,VLOOKUP($F321,#REF!,6,0)*J321/1000)</f>
        <v>0</v>
      </c>
      <c r="P321" s="21">
        <f>IF(ISERROR(VLOOKUP(F321,#REF!,6,0)*K321/1000),0,VLOOKUP(F321,#REF!,6,0)*K321/1000)</f>
        <v>0</v>
      </c>
      <c r="Q321" s="6">
        <f>IF(ISERROR(VLOOKUP(F321,#REF!,3,0)),0,VLOOKUP(F321,#REF!,3,0))</f>
        <v>0</v>
      </c>
      <c r="R321" s="6">
        <f>IF(ISERROR(VLOOKUP(F321,#REF!,4,0)),0,VLOOKUP(F321,#REF!,4,0))</f>
        <v>0</v>
      </c>
      <c r="S321" s="8">
        <f>IF(ISERROR(VLOOKUP(F321,#REF!,4,0)),0,VLOOKUP(F321,#REF!,10,0)/60*K321)</f>
        <v>0</v>
      </c>
      <c r="T321" s="3"/>
      <c r="U321" s="3"/>
      <c r="V321" s="4"/>
    </row>
    <row r="322" spans="1:22" x14ac:dyDescent="0.3">
      <c r="A322" s="5">
        <f t="shared" si="13"/>
        <v>0</v>
      </c>
      <c r="B322" s="6">
        <f t="shared" si="14"/>
        <v>0</v>
      </c>
      <c r="K322" s="18">
        <f t="shared" si="12"/>
        <v>0</v>
      </c>
      <c r="L322" s="21">
        <f>IF(ISERROR(VLOOKUP($F322,#REF!,6,0)*G322/1000),0,VLOOKUP($F322,#REF!,6,0)*G322/1000)</f>
        <v>0</v>
      </c>
      <c r="M322" s="21">
        <f>IF(ISERROR(VLOOKUP($F322,#REF!,6,0)*H322/1000),0,VLOOKUP($F322,#REF!,6,0)*H322/1000)</f>
        <v>0</v>
      </c>
      <c r="N322" s="21">
        <f>IF(ISERROR(VLOOKUP($F322,#REF!,6,0)*I322/1000),0,VLOOKUP($F322,#REF!,6,0)*I322/1000)</f>
        <v>0</v>
      </c>
      <c r="O322" s="21">
        <f>IF(ISERROR(VLOOKUP($F322,#REF!,6,0)*J322/1000),0,VLOOKUP($F322,#REF!,6,0)*J322/1000)</f>
        <v>0</v>
      </c>
      <c r="P322" s="21">
        <f>IF(ISERROR(VLOOKUP(F322,#REF!,6,0)*K322/1000),0,VLOOKUP(F322,#REF!,6,0)*K322/1000)</f>
        <v>0</v>
      </c>
      <c r="Q322" s="6">
        <f>IF(ISERROR(VLOOKUP(F322,#REF!,3,0)),0,VLOOKUP(F322,#REF!,3,0))</f>
        <v>0</v>
      </c>
      <c r="R322" s="6">
        <f>IF(ISERROR(VLOOKUP(F322,#REF!,4,0)),0,VLOOKUP(F322,#REF!,4,0))</f>
        <v>0</v>
      </c>
      <c r="S322" s="8">
        <f>IF(ISERROR(VLOOKUP(F322,#REF!,4,0)),0,VLOOKUP(F322,#REF!,10,0)/60*K322)</f>
        <v>0</v>
      </c>
      <c r="T322" s="3"/>
      <c r="U322" s="3"/>
      <c r="V322" s="4"/>
    </row>
    <row r="323" spans="1:22" x14ac:dyDescent="0.3">
      <c r="A323" s="5">
        <f t="shared" si="13"/>
        <v>0</v>
      </c>
      <c r="B323" s="6">
        <f t="shared" si="14"/>
        <v>0</v>
      </c>
      <c r="K323" s="18">
        <f t="shared" si="12"/>
        <v>0</v>
      </c>
      <c r="L323" s="21">
        <f>IF(ISERROR(VLOOKUP($F323,#REF!,6,0)*G323/1000),0,VLOOKUP($F323,#REF!,6,0)*G323/1000)</f>
        <v>0</v>
      </c>
      <c r="M323" s="21">
        <f>IF(ISERROR(VLOOKUP($F323,#REF!,6,0)*H323/1000),0,VLOOKUP($F323,#REF!,6,0)*H323/1000)</f>
        <v>0</v>
      </c>
      <c r="N323" s="21">
        <f>IF(ISERROR(VLOOKUP($F323,#REF!,6,0)*I323/1000),0,VLOOKUP($F323,#REF!,6,0)*I323/1000)</f>
        <v>0</v>
      </c>
      <c r="O323" s="21">
        <f>IF(ISERROR(VLOOKUP($F323,#REF!,6,0)*J323/1000),0,VLOOKUP($F323,#REF!,6,0)*J323/1000)</f>
        <v>0</v>
      </c>
      <c r="P323" s="21">
        <f>IF(ISERROR(VLOOKUP(F323,#REF!,6,0)*K323/1000),0,VLOOKUP(F323,#REF!,6,0)*K323/1000)</f>
        <v>0</v>
      </c>
      <c r="Q323" s="6">
        <f>IF(ISERROR(VLOOKUP(F323,#REF!,3,0)),0,VLOOKUP(F323,#REF!,3,0))</f>
        <v>0</v>
      </c>
      <c r="R323" s="6">
        <f>IF(ISERROR(VLOOKUP(F323,#REF!,4,0)),0,VLOOKUP(F323,#REF!,4,0))</f>
        <v>0</v>
      </c>
      <c r="S323" s="8">
        <f>IF(ISERROR(VLOOKUP(F323,#REF!,4,0)),0,VLOOKUP(F323,#REF!,10,0)/60*K323)</f>
        <v>0</v>
      </c>
      <c r="T323" s="3"/>
      <c r="U323" s="3"/>
      <c r="V323" s="4"/>
    </row>
    <row r="324" spans="1:22" x14ac:dyDescent="0.3">
      <c r="A324" s="5">
        <f t="shared" si="13"/>
        <v>0</v>
      </c>
      <c r="B324" s="6">
        <f t="shared" si="14"/>
        <v>0</v>
      </c>
      <c r="K324" s="18">
        <f t="shared" ref="K324:K387" si="15">SUM(G324:J324)</f>
        <v>0</v>
      </c>
      <c r="L324" s="21">
        <f>IF(ISERROR(VLOOKUP($F324,#REF!,6,0)*G324/1000),0,VLOOKUP($F324,#REF!,6,0)*G324/1000)</f>
        <v>0</v>
      </c>
      <c r="M324" s="21">
        <f>IF(ISERROR(VLOOKUP($F324,#REF!,6,0)*H324/1000),0,VLOOKUP($F324,#REF!,6,0)*H324/1000)</f>
        <v>0</v>
      </c>
      <c r="N324" s="21">
        <f>IF(ISERROR(VLOOKUP($F324,#REF!,6,0)*I324/1000),0,VLOOKUP($F324,#REF!,6,0)*I324/1000)</f>
        <v>0</v>
      </c>
      <c r="O324" s="21">
        <f>IF(ISERROR(VLOOKUP($F324,#REF!,6,0)*J324/1000),0,VLOOKUP($F324,#REF!,6,0)*J324/1000)</f>
        <v>0</v>
      </c>
      <c r="P324" s="21">
        <f>IF(ISERROR(VLOOKUP(F324,#REF!,6,0)*K324/1000),0,VLOOKUP(F324,#REF!,6,0)*K324/1000)</f>
        <v>0</v>
      </c>
      <c r="Q324" s="6">
        <f>IF(ISERROR(VLOOKUP(F324,#REF!,3,0)),0,VLOOKUP(F324,#REF!,3,0))</f>
        <v>0</v>
      </c>
      <c r="R324" s="6">
        <f>IF(ISERROR(VLOOKUP(F324,#REF!,4,0)),0,VLOOKUP(F324,#REF!,4,0))</f>
        <v>0</v>
      </c>
      <c r="S324" s="8">
        <f>IF(ISERROR(VLOOKUP(F324,#REF!,4,0)),0,VLOOKUP(F324,#REF!,10,0)/60*K324)</f>
        <v>0</v>
      </c>
      <c r="T324" s="3"/>
      <c r="U324" s="3"/>
      <c r="V324" s="4"/>
    </row>
    <row r="325" spans="1:22" x14ac:dyDescent="0.3">
      <c r="A325" s="5">
        <f t="shared" ref="A325:A388" si="16">IF(C325=0,0,YEAR(C325))</f>
        <v>0</v>
      </c>
      <c r="B325" s="6">
        <f t="shared" ref="B325:B388" si="17">IF(C325&gt;0,VLOOKUP(MONTH($C325),$AJ$3:$AK$14,2,0),0)</f>
        <v>0</v>
      </c>
      <c r="K325" s="18">
        <f t="shared" si="15"/>
        <v>0</v>
      </c>
      <c r="L325" s="21">
        <f>IF(ISERROR(VLOOKUP($F325,#REF!,6,0)*G325/1000),0,VLOOKUP($F325,#REF!,6,0)*G325/1000)</f>
        <v>0</v>
      </c>
      <c r="M325" s="21">
        <f>IF(ISERROR(VLOOKUP($F325,#REF!,6,0)*H325/1000),0,VLOOKUP($F325,#REF!,6,0)*H325/1000)</f>
        <v>0</v>
      </c>
      <c r="N325" s="21">
        <f>IF(ISERROR(VLOOKUP($F325,#REF!,6,0)*I325/1000),0,VLOOKUP($F325,#REF!,6,0)*I325/1000)</f>
        <v>0</v>
      </c>
      <c r="O325" s="21">
        <f>IF(ISERROR(VLOOKUP($F325,#REF!,6,0)*J325/1000),0,VLOOKUP($F325,#REF!,6,0)*J325/1000)</f>
        <v>0</v>
      </c>
      <c r="P325" s="21">
        <f>IF(ISERROR(VLOOKUP(F325,#REF!,6,0)*K325/1000),0,VLOOKUP(F325,#REF!,6,0)*K325/1000)</f>
        <v>0</v>
      </c>
      <c r="Q325" s="6">
        <f>IF(ISERROR(VLOOKUP(F325,#REF!,3,0)),0,VLOOKUP(F325,#REF!,3,0))</f>
        <v>0</v>
      </c>
      <c r="R325" s="6">
        <f>IF(ISERROR(VLOOKUP(F325,#REF!,4,0)),0,VLOOKUP(F325,#REF!,4,0))</f>
        <v>0</v>
      </c>
      <c r="S325" s="8">
        <f>IF(ISERROR(VLOOKUP(F325,#REF!,4,0)),0,VLOOKUP(F325,#REF!,10,0)/60*K325)</f>
        <v>0</v>
      </c>
      <c r="T325" s="3"/>
      <c r="U325" s="3"/>
      <c r="V325" s="4"/>
    </row>
    <row r="326" spans="1:22" x14ac:dyDescent="0.3">
      <c r="A326" s="5">
        <f t="shared" si="16"/>
        <v>0</v>
      </c>
      <c r="B326" s="6">
        <f t="shared" si="17"/>
        <v>0</v>
      </c>
      <c r="K326" s="18">
        <f t="shared" si="15"/>
        <v>0</v>
      </c>
      <c r="L326" s="21">
        <f>IF(ISERROR(VLOOKUP($F326,#REF!,6,0)*G326/1000),0,VLOOKUP($F326,#REF!,6,0)*G326/1000)</f>
        <v>0</v>
      </c>
      <c r="M326" s="21">
        <f>IF(ISERROR(VLOOKUP($F326,#REF!,6,0)*H326/1000),0,VLOOKUP($F326,#REF!,6,0)*H326/1000)</f>
        <v>0</v>
      </c>
      <c r="N326" s="21">
        <f>IF(ISERROR(VLOOKUP($F326,#REF!,6,0)*I326/1000),0,VLOOKUP($F326,#REF!,6,0)*I326/1000)</f>
        <v>0</v>
      </c>
      <c r="O326" s="21">
        <f>IF(ISERROR(VLOOKUP($F326,#REF!,6,0)*J326/1000),0,VLOOKUP($F326,#REF!,6,0)*J326/1000)</f>
        <v>0</v>
      </c>
      <c r="P326" s="21">
        <f>IF(ISERROR(VLOOKUP(F326,#REF!,6,0)*K326/1000),0,VLOOKUP(F326,#REF!,6,0)*K326/1000)</f>
        <v>0</v>
      </c>
      <c r="Q326" s="6">
        <f>IF(ISERROR(VLOOKUP(F326,#REF!,3,0)),0,VLOOKUP(F326,#REF!,3,0))</f>
        <v>0</v>
      </c>
      <c r="R326" s="6">
        <f>IF(ISERROR(VLOOKUP(F326,#REF!,4,0)),0,VLOOKUP(F326,#REF!,4,0))</f>
        <v>0</v>
      </c>
      <c r="S326" s="8">
        <f>IF(ISERROR(VLOOKUP(F326,#REF!,4,0)),0,VLOOKUP(F326,#REF!,10,0)/60*K326)</f>
        <v>0</v>
      </c>
      <c r="T326" s="3"/>
      <c r="U326" s="3"/>
      <c r="V326" s="4"/>
    </row>
    <row r="327" spans="1:22" x14ac:dyDescent="0.3">
      <c r="A327" s="5">
        <f t="shared" si="16"/>
        <v>0</v>
      </c>
      <c r="B327" s="6">
        <f t="shared" si="17"/>
        <v>0</v>
      </c>
      <c r="K327" s="18">
        <f t="shared" si="15"/>
        <v>0</v>
      </c>
      <c r="L327" s="21">
        <f>IF(ISERROR(VLOOKUP($F327,#REF!,6,0)*G327/1000),0,VLOOKUP($F327,#REF!,6,0)*G327/1000)</f>
        <v>0</v>
      </c>
      <c r="M327" s="21">
        <f>IF(ISERROR(VLOOKUP($F327,#REF!,6,0)*H327/1000),0,VLOOKUP($F327,#REF!,6,0)*H327/1000)</f>
        <v>0</v>
      </c>
      <c r="N327" s="21">
        <f>IF(ISERROR(VLOOKUP($F327,#REF!,6,0)*I327/1000),0,VLOOKUP($F327,#REF!,6,0)*I327/1000)</f>
        <v>0</v>
      </c>
      <c r="O327" s="21">
        <f>IF(ISERROR(VLOOKUP($F327,#REF!,6,0)*J327/1000),0,VLOOKUP($F327,#REF!,6,0)*J327/1000)</f>
        <v>0</v>
      </c>
      <c r="P327" s="21">
        <f>IF(ISERROR(VLOOKUP(F327,#REF!,6,0)*K327/1000),0,VLOOKUP(F327,#REF!,6,0)*K327/1000)</f>
        <v>0</v>
      </c>
      <c r="Q327" s="6">
        <f>IF(ISERROR(VLOOKUP(F327,#REF!,3,0)),0,VLOOKUP(F327,#REF!,3,0))</f>
        <v>0</v>
      </c>
      <c r="R327" s="6">
        <f>IF(ISERROR(VLOOKUP(F327,#REF!,4,0)),0,VLOOKUP(F327,#REF!,4,0))</f>
        <v>0</v>
      </c>
      <c r="S327" s="8">
        <f>IF(ISERROR(VLOOKUP(F327,#REF!,4,0)),0,VLOOKUP(F327,#REF!,10,0)/60*K327)</f>
        <v>0</v>
      </c>
      <c r="T327" s="3"/>
      <c r="U327" s="3"/>
      <c r="V327" s="4"/>
    </row>
    <row r="328" spans="1:22" x14ac:dyDescent="0.3">
      <c r="A328" s="5">
        <f t="shared" si="16"/>
        <v>0</v>
      </c>
      <c r="B328" s="6">
        <f t="shared" si="17"/>
        <v>0</v>
      </c>
      <c r="K328" s="18">
        <f t="shared" si="15"/>
        <v>0</v>
      </c>
      <c r="L328" s="21">
        <f>IF(ISERROR(VLOOKUP($F328,#REF!,6,0)*G328/1000),0,VLOOKUP($F328,#REF!,6,0)*G328/1000)</f>
        <v>0</v>
      </c>
      <c r="M328" s="21">
        <f>IF(ISERROR(VLOOKUP($F328,#REF!,6,0)*H328/1000),0,VLOOKUP($F328,#REF!,6,0)*H328/1000)</f>
        <v>0</v>
      </c>
      <c r="N328" s="21">
        <f>IF(ISERROR(VLOOKUP($F328,#REF!,6,0)*I328/1000),0,VLOOKUP($F328,#REF!,6,0)*I328/1000)</f>
        <v>0</v>
      </c>
      <c r="O328" s="21">
        <f>IF(ISERROR(VLOOKUP($F328,#REF!,6,0)*J328/1000),0,VLOOKUP($F328,#REF!,6,0)*J328/1000)</f>
        <v>0</v>
      </c>
      <c r="P328" s="21">
        <f>IF(ISERROR(VLOOKUP(F328,#REF!,6,0)*K328/1000),0,VLOOKUP(F328,#REF!,6,0)*K328/1000)</f>
        <v>0</v>
      </c>
      <c r="Q328" s="6">
        <f>IF(ISERROR(VLOOKUP(F328,#REF!,3,0)),0,VLOOKUP(F328,#REF!,3,0))</f>
        <v>0</v>
      </c>
      <c r="R328" s="6">
        <f>IF(ISERROR(VLOOKUP(F328,#REF!,4,0)),0,VLOOKUP(F328,#REF!,4,0))</f>
        <v>0</v>
      </c>
      <c r="S328" s="8">
        <f>IF(ISERROR(VLOOKUP(F328,#REF!,4,0)),0,VLOOKUP(F328,#REF!,10,0)/60*K328)</f>
        <v>0</v>
      </c>
      <c r="T328" s="3"/>
      <c r="U328" s="3"/>
      <c r="V328" s="4"/>
    </row>
    <row r="329" spans="1:22" x14ac:dyDescent="0.3">
      <c r="A329" s="5">
        <f t="shared" si="16"/>
        <v>0</v>
      </c>
      <c r="B329" s="6">
        <f t="shared" si="17"/>
        <v>0</v>
      </c>
      <c r="K329" s="18">
        <f t="shared" si="15"/>
        <v>0</v>
      </c>
      <c r="L329" s="21">
        <f>IF(ISERROR(VLOOKUP($F329,#REF!,6,0)*G329/1000),0,VLOOKUP($F329,#REF!,6,0)*G329/1000)</f>
        <v>0</v>
      </c>
      <c r="M329" s="21">
        <f>IF(ISERROR(VLOOKUP($F329,#REF!,6,0)*H329/1000),0,VLOOKUP($F329,#REF!,6,0)*H329/1000)</f>
        <v>0</v>
      </c>
      <c r="N329" s="21">
        <f>IF(ISERROR(VLOOKUP($F329,#REF!,6,0)*I329/1000),0,VLOOKUP($F329,#REF!,6,0)*I329/1000)</f>
        <v>0</v>
      </c>
      <c r="O329" s="21">
        <f>IF(ISERROR(VLOOKUP($F329,#REF!,6,0)*J329/1000),0,VLOOKUP($F329,#REF!,6,0)*J329/1000)</f>
        <v>0</v>
      </c>
      <c r="P329" s="21">
        <f>IF(ISERROR(VLOOKUP(F329,#REF!,6,0)*K329/1000),0,VLOOKUP(F329,#REF!,6,0)*K329/1000)</f>
        <v>0</v>
      </c>
      <c r="Q329" s="6">
        <f>IF(ISERROR(VLOOKUP(F329,#REF!,3,0)),0,VLOOKUP(F329,#REF!,3,0))</f>
        <v>0</v>
      </c>
      <c r="R329" s="6">
        <f>IF(ISERROR(VLOOKUP(F329,#REF!,4,0)),0,VLOOKUP(F329,#REF!,4,0))</f>
        <v>0</v>
      </c>
      <c r="S329" s="8">
        <f>IF(ISERROR(VLOOKUP(F329,#REF!,4,0)),0,VLOOKUP(F329,#REF!,10,0)/60*K329)</f>
        <v>0</v>
      </c>
      <c r="T329" s="3"/>
      <c r="U329" s="3"/>
      <c r="V329" s="4"/>
    </row>
    <row r="330" spans="1:22" x14ac:dyDescent="0.3">
      <c r="A330" s="5">
        <f t="shared" si="16"/>
        <v>0</v>
      </c>
      <c r="B330" s="6">
        <f t="shared" si="17"/>
        <v>0</v>
      </c>
      <c r="K330" s="18">
        <f t="shared" si="15"/>
        <v>0</v>
      </c>
      <c r="L330" s="21">
        <f>IF(ISERROR(VLOOKUP($F330,#REF!,6,0)*G330/1000),0,VLOOKUP($F330,#REF!,6,0)*G330/1000)</f>
        <v>0</v>
      </c>
      <c r="M330" s="21">
        <f>IF(ISERROR(VLOOKUP($F330,#REF!,6,0)*H330/1000),0,VLOOKUP($F330,#REF!,6,0)*H330/1000)</f>
        <v>0</v>
      </c>
      <c r="N330" s="21">
        <f>IF(ISERROR(VLOOKUP($F330,#REF!,6,0)*I330/1000),0,VLOOKUP($F330,#REF!,6,0)*I330/1000)</f>
        <v>0</v>
      </c>
      <c r="O330" s="21">
        <f>IF(ISERROR(VLOOKUP($F330,#REF!,6,0)*J330/1000),0,VLOOKUP($F330,#REF!,6,0)*J330/1000)</f>
        <v>0</v>
      </c>
      <c r="P330" s="21">
        <f>IF(ISERROR(VLOOKUP(F330,#REF!,6,0)*K330/1000),0,VLOOKUP(F330,#REF!,6,0)*K330/1000)</f>
        <v>0</v>
      </c>
      <c r="Q330" s="6">
        <f>IF(ISERROR(VLOOKUP(F330,#REF!,3,0)),0,VLOOKUP(F330,#REF!,3,0))</f>
        <v>0</v>
      </c>
      <c r="R330" s="6">
        <f>IF(ISERROR(VLOOKUP(F330,#REF!,4,0)),0,VLOOKUP(F330,#REF!,4,0))</f>
        <v>0</v>
      </c>
      <c r="S330" s="8">
        <f>IF(ISERROR(VLOOKUP(F330,#REF!,4,0)),0,VLOOKUP(F330,#REF!,10,0)/60*K330)</f>
        <v>0</v>
      </c>
      <c r="T330" s="3"/>
      <c r="U330" s="3"/>
      <c r="V330" s="4"/>
    </row>
    <row r="331" spans="1:22" x14ac:dyDescent="0.3">
      <c r="A331" s="5">
        <f t="shared" si="16"/>
        <v>0</v>
      </c>
      <c r="B331" s="6">
        <f t="shared" si="17"/>
        <v>0</v>
      </c>
      <c r="K331" s="18">
        <f t="shared" si="15"/>
        <v>0</v>
      </c>
      <c r="L331" s="21">
        <f>IF(ISERROR(VLOOKUP($F331,#REF!,6,0)*G331/1000),0,VLOOKUP($F331,#REF!,6,0)*G331/1000)</f>
        <v>0</v>
      </c>
      <c r="M331" s="21">
        <f>IF(ISERROR(VLOOKUP($F331,#REF!,6,0)*H331/1000),0,VLOOKUP($F331,#REF!,6,0)*H331/1000)</f>
        <v>0</v>
      </c>
      <c r="N331" s="21">
        <f>IF(ISERROR(VLOOKUP($F331,#REF!,6,0)*I331/1000),0,VLOOKUP($F331,#REF!,6,0)*I331/1000)</f>
        <v>0</v>
      </c>
      <c r="O331" s="21">
        <f>IF(ISERROR(VLOOKUP($F331,#REF!,6,0)*J331/1000),0,VLOOKUP($F331,#REF!,6,0)*J331/1000)</f>
        <v>0</v>
      </c>
      <c r="P331" s="21">
        <f>IF(ISERROR(VLOOKUP(F331,#REF!,6,0)*K331/1000),0,VLOOKUP(F331,#REF!,6,0)*K331/1000)</f>
        <v>0</v>
      </c>
      <c r="Q331" s="6">
        <f>IF(ISERROR(VLOOKUP(F331,#REF!,3,0)),0,VLOOKUP(F331,#REF!,3,0))</f>
        <v>0</v>
      </c>
      <c r="R331" s="6">
        <f>IF(ISERROR(VLOOKUP(F331,#REF!,4,0)),0,VLOOKUP(F331,#REF!,4,0))</f>
        <v>0</v>
      </c>
      <c r="S331" s="8">
        <f>IF(ISERROR(VLOOKUP(F331,#REF!,4,0)),0,VLOOKUP(F331,#REF!,10,0)/60*K331)</f>
        <v>0</v>
      </c>
      <c r="T331" s="3"/>
      <c r="U331" s="3"/>
      <c r="V331" s="4"/>
    </row>
    <row r="332" spans="1:22" x14ac:dyDescent="0.3">
      <c r="A332" s="5">
        <f t="shared" si="16"/>
        <v>0</v>
      </c>
      <c r="B332" s="6">
        <f t="shared" si="17"/>
        <v>0</v>
      </c>
      <c r="K332" s="18">
        <f t="shared" si="15"/>
        <v>0</v>
      </c>
      <c r="L332" s="21">
        <f>IF(ISERROR(VLOOKUP($F332,#REF!,6,0)*G332/1000),0,VLOOKUP($F332,#REF!,6,0)*G332/1000)</f>
        <v>0</v>
      </c>
      <c r="M332" s="21">
        <f>IF(ISERROR(VLOOKUP($F332,#REF!,6,0)*H332/1000),0,VLOOKUP($F332,#REF!,6,0)*H332/1000)</f>
        <v>0</v>
      </c>
      <c r="N332" s="21">
        <f>IF(ISERROR(VLOOKUP($F332,#REF!,6,0)*I332/1000),0,VLOOKUP($F332,#REF!,6,0)*I332/1000)</f>
        <v>0</v>
      </c>
      <c r="O332" s="21">
        <f>IF(ISERROR(VLOOKUP($F332,#REF!,6,0)*J332/1000),0,VLOOKUP($F332,#REF!,6,0)*J332/1000)</f>
        <v>0</v>
      </c>
      <c r="P332" s="21">
        <f>IF(ISERROR(VLOOKUP(F332,#REF!,6,0)*K332/1000),0,VLOOKUP(F332,#REF!,6,0)*K332/1000)</f>
        <v>0</v>
      </c>
      <c r="Q332" s="6">
        <f>IF(ISERROR(VLOOKUP(F332,#REF!,3,0)),0,VLOOKUP(F332,#REF!,3,0))</f>
        <v>0</v>
      </c>
      <c r="R332" s="6">
        <f>IF(ISERROR(VLOOKUP(F332,#REF!,4,0)),0,VLOOKUP(F332,#REF!,4,0))</f>
        <v>0</v>
      </c>
      <c r="S332" s="8">
        <f>IF(ISERROR(VLOOKUP(F332,#REF!,4,0)),0,VLOOKUP(F332,#REF!,10,0)/60*K332)</f>
        <v>0</v>
      </c>
      <c r="T332" s="3"/>
      <c r="U332" s="3"/>
      <c r="V332" s="4"/>
    </row>
    <row r="333" spans="1:22" x14ac:dyDescent="0.3">
      <c r="A333" s="5">
        <f t="shared" si="16"/>
        <v>0</v>
      </c>
      <c r="B333" s="6">
        <f t="shared" si="17"/>
        <v>0</v>
      </c>
      <c r="K333" s="18">
        <f t="shared" si="15"/>
        <v>0</v>
      </c>
      <c r="L333" s="21">
        <f>IF(ISERROR(VLOOKUP($F333,#REF!,6,0)*G333/1000),0,VLOOKUP($F333,#REF!,6,0)*G333/1000)</f>
        <v>0</v>
      </c>
      <c r="M333" s="21">
        <f>IF(ISERROR(VLOOKUP($F333,#REF!,6,0)*H333/1000),0,VLOOKUP($F333,#REF!,6,0)*H333/1000)</f>
        <v>0</v>
      </c>
      <c r="N333" s="21">
        <f>IF(ISERROR(VLOOKUP($F333,#REF!,6,0)*I333/1000),0,VLOOKUP($F333,#REF!,6,0)*I333/1000)</f>
        <v>0</v>
      </c>
      <c r="O333" s="21">
        <f>IF(ISERROR(VLOOKUP($F333,#REF!,6,0)*J333/1000),0,VLOOKUP($F333,#REF!,6,0)*J333/1000)</f>
        <v>0</v>
      </c>
      <c r="P333" s="21">
        <f>IF(ISERROR(VLOOKUP(F333,#REF!,6,0)*K333/1000),0,VLOOKUP(F333,#REF!,6,0)*K333/1000)</f>
        <v>0</v>
      </c>
      <c r="Q333" s="6">
        <f>IF(ISERROR(VLOOKUP(F333,#REF!,3,0)),0,VLOOKUP(F333,#REF!,3,0))</f>
        <v>0</v>
      </c>
      <c r="R333" s="6">
        <f>IF(ISERROR(VLOOKUP(F333,#REF!,4,0)),0,VLOOKUP(F333,#REF!,4,0))</f>
        <v>0</v>
      </c>
      <c r="S333" s="8">
        <f>IF(ISERROR(VLOOKUP(F333,#REF!,4,0)),0,VLOOKUP(F333,#REF!,10,0)/60*K333)</f>
        <v>0</v>
      </c>
      <c r="T333" s="3"/>
      <c r="U333" s="3"/>
      <c r="V333" s="4"/>
    </row>
    <row r="334" spans="1:22" x14ac:dyDescent="0.3">
      <c r="A334" s="5">
        <f t="shared" si="16"/>
        <v>0</v>
      </c>
      <c r="B334" s="6">
        <f t="shared" si="17"/>
        <v>0</v>
      </c>
      <c r="K334" s="18">
        <f t="shared" si="15"/>
        <v>0</v>
      </c>
      <c r="L334" s="21">
        <f>IF(ISERROR(VLOOKUP($F334,#REF!,6,0)*G334/1000),0,VLOOKUP($F334,#REF!,6,0)*G334/1000)</f>
        <v>0</v>
      </c>
      <c r="M334" s="21">
        <f>IF(ISERROR(VLOOKUP($F334,#REF!,6,0)*H334/1000),0,VLOOKUP($F334,#REF!,6,0)*H334/1000)</f>
        <v>0</v>
      </c>
      <c r="N334" s="21">
        <f>IF(ISERROR(VLOOKUP($F334,#REF!,6,0)*I334/1000),0,VLOOKUP($F334,#REF!,6,0)*I334/1000)</f>
        <v>0</v>
      </c>
      <c r="O334" s="21">
        <f>IF(ISERROR(VLOOKUP($F334,#REF!,6,0)*J334/1000),0,VLOOKUP($F334,#REF!,6,0)*J334/1000)</f>
        <v>0</v>
      </c>
      <c r="P334" s="21">
        <f>IF(ISERROR(VLOOKUP(F334,#REF!,6,0)*K334/1000),0,VLOOKUP(F334,#REF!,6,0)*K334/1000)</f>
        <v>0</v>
      </c>
      <c r="Q334" s="6">
        <f>IF(ISERROR(VLOOKUP(F334,#REF!,3,0)),0,VLOOKUP(F334,#REF!,3,0))</f>
        <v>0</v>
      </c>
      <c r="R334" s="6">
        <f>IF(ISERROR(VLOOKUP(F334,#REF!,4,0)),0,VLOOKUP(F334,#REF!,4,0))</f>
        <v>0</v>
      </c>
      <c r="S334" s="8">
        <f>IF(ISERROR(VLOOKUP(F334,#REF!,4,0)),0,VLOOKUP(F334,#REF!,10,0)/60*K334)</f>
        <v>0</v>
      </c>
      <c r="T334" s="3"/>
      <c r="U334" s="3"/>
      <c r="V334" s="4"/>
    </row>
    <row r="335" spans="1:22" x14ac:dyDescent="0.3">
      <c r="A335" s="5">
        <f t="shared" si="16"/>
        <v>0</v>
      </c>
      <c r="B335" s="6">
        <f t="shared" si="17"/>
        <v>0</v>
      </c>
      <c r="K335" s="18">
        <f t="shared" si="15"/>
        <v>0</v>
      </c>
      <c r="L335" s="21">
        <f>IF(ISERROR(VLOOKUP($F335,#REF!,6,0)*G335/1000),0,VLOOKUP($F335,#REF!,6,0)*G335/1000)</f>
        <v>0</v>
      </c>
      <c r="M335" s="21">
        <f>IF(ISERROR(VLOOKUP($F335,#REF!,6,0)*H335/1000),0,VLOOKUP($F335,#REF!,6,0)*H335/1000)</f>
        <v>0</v>
      </c>
      <c r="N335" s="21">
        <f>IF(ISERROR(VLOOKUP($F335,#REF!,6,0)*I335/1000),0,VLOOKUP($F335,#REF!,6,0)*I335/1000)</f>
        <v>0</v>
      </c>
      <c r="O335" s="21">
        <f>IF(ISERROR(VLOOKUP($F335,#REF!,6,0)*J335/1000),0,VLOOKUP($F335,#REF!,6,0)*J335/1000)</f>
        <v>0</v>
      </c>
      <c r="P335" s="21">
        <f>IF(ISERROR(VLOOKUP(F335,#REF!,6,0)*K335/1000),0,VLOOKUP(F335,#REF!,6,0)*K335/1000)</f>
        <v>0</v>
      </c>
      <c r="Q335" s="6">
        <f>IF(ISERROR(VLOOKUP(F335,#REF!,3,0)),0,VLOOKUP(F335,#REF!,3,0))</f>
        <v>0</v>
      </c>
      <c r="R335" s="6">
        <f>IF(ISERROR(VLOOKUP(F335,#REF!,4,0)),0,VLOOKUP(F335,#REF!,4,0))</f>
        <v>0</v>
      </c>
      <c r="S335" s="8">
        <f>IF(ISERROR(VLOOKUP(F335,#REF!,4,0)),0,VLOOKUP(F335,#REF!,10,0)/60*K335)</f>
        <v>0</v>
      </c>
      <c r="T335" s="3"/>
      <c r="U335" s="3"/>
      <c r="V335" s="4"/>
    </row>
    <row r="336" spans="1:22" x14ac:dyDescent="0.3">
      <c r="A336" s="5">
        <f t="shared" si="16"/>
        <v>0</v>
      </c>
      <c r="B336" s="6">
        <f t="shared" si="17"/>
        <v>0</v>
      </c>
      <c r="K336" s="18">
        <f t="shared" si="15"/>
        <v>0</v>
      </c>
      <c r="L336" s="21">
        <f>IF(ISERROR(VLOOKUP($F336,#REF!,6,0)*G336/1000),0,VLOOKUP($F336,#REF!,6,0)*G336/1000)</f>
        <v>0</v>
      </c>
      <c r="M336" s="21">
        <f>IF(ISERROR(VLOOKUP($F336,#REF!,6,0)*H336/1000),0,VLOOKUP($F336,#REF!,6,0)*H336/1000)</f>
        <v>0</v>
      </c>
      <c r="N336" s="21">
        <f>IF(ISERROR(VLOOKUP($F336,#REF!,6,0)*I336/1000),0,VLOOKUP($F336,#REF!,6,0)*I336/1000)</f>
        <v>0</v>
      </c>
      <c r="O336" s="21">
        <f>IF(ISERROR(VLOOKUP($F336,#REF!,6,0)*J336/1000),0,VLOOKUP($F336,#REF!,6,0)*J336/1000)</f>
        <v>0</v>
      </c>
      <c r="P336" s="21">
        <f>IF(ISERROR(VLOOKUP(F336,#REF!,6,0)*K336/1000),0,VLOOKUP(F336,#REF!,6,0)*K336/1000)</f>
        <v>0</v>
      </c>
      <c r="Q336" s="6">
        <f>IF(ISERROR(VLOOKUP(F336,#REF!,3,0)),0,VLOOKUP(F336,#REF!,3,0))</f>
        <v>0</v>
      </c>
      <c r="R336" s="6">
        <f>IF(ISERROR(VLOOKUP(F336,#REF!,4,0)),0,VLOOKUP(F336,#REF!,4,0))</f>
        <v>0</v>
      </c>
      <c r="S336" s="8">
        <f>IF(ISERROR(VLOOKUP(F336,#REF!,4,0)),0,VLOOKUP(F336,#REF!,10,0)/60*K336)</f>
        <v>0</v>
      </c>
      <c r="T336" s="3"/>
      <c r="U336" s="3"/>
      <c r="V336" s="4"/>
    </row>
    <row r="337" spans="1:22" x14ac:dyDescent="0.3">
      <c r="A337" s="5">
        <f t="shared" si="16"/>
        <v>0</v>
      </c>
      <c r="B337" s="6">
        <f t="shared" si="17"/>
        <v>0</v>
      </c>
      <c r="K337" s="18">
        <f t="shared" si="15"/>
        <v>0</v>
      </c>
      <c r="L337" s="21">
        <f>IF(ISERROR(VLOOKUP($F337,#REF!,6,0)*G337/1000),0,VLOOKUP($F337,#REF!,6,0)*G337/1000)</f>
        <v>0</v>
      </c>
      <c r="M337" s="21">
        <f>IF(ISERROR(VLOOKUP($F337,#REF!,6,0)*H337/1000),0,VLOOKUP($F337,#REF!,6,0)*H337/1000)</f>
        <v>0</v>
      </c>
      <c r="N337" s="21">
        <f>IF(ISERROR(VLOOKUP($F337,#REF!,6,0)*I337/1000),0,VLOOKUP($F337,#REF!,6,0)*I337/1000)</f>
        <v>0</v>
      </c>
      <c r="O337" s="21">
        <f>IF(ISERROR(VLOOKUP($F337,#REF!,6,0)*J337/1000),0,VLOOKUP($F337,#REF!,6,0)*J337/1000)</f>
        <v>0</v>
      </c>
      <c r="P337" s="21">
        <f>IF(ISERROR(VLOOKUP(F337,#REF!,6,0)*K337/1000),0,VLOOKUP(F337,#REF!,6,0)*K337/1000)</f>
        <v>0</v>
      </c>
      <c r="Q337" s="6">
        <f>IF(ISERROR(VLOOKUP(F337,#REF!,3,0)),0,VLOOKUP(F337,#REF!,3,0))</f>
        <v>0</v>
      </c>
      <c r="R337" s="6">
        <f>IF(ISERROR(VLOOKUP(F337,#REF!,4,0)),0,VLOOKUP(F337,#REF!,4,0))</f>
        <v>0</v>
      </c>
      <c r="S337" s="8">
        <f>IF(ISERROR(VLOOKUP(F337,#REF!,4,0)),0,VLOOKUP(F337,#REF!,10,0)/60*K337)</f>
        <v>0</v>
      </c>
      <c r="T337" s="3"/>
      <c r="U337" s="3"/>
      <c r="V337" s="4"/>
    </row>
    <row r="338" spans="1:22" x14ac:dyDescent="0.3">
      <c r="A338" s="5">
        <f t="shared" si="16"/>
        <v>0</v>
      </c>
      <c r="B338" s="6">
        <f t="shared" si="17"/>
        <v>0</v>
      </c>
      <c r="K338" s="18">
        <f t="shared" si="15"/>
        <v>0</v>
      </c>
      <c r="L338" s="21">
        <f>IF(ISERROR(VLOOKUP($F338,#REF!,6,0)*G338/1000),0,VLOOKUP($F338,#REF!,6,0)*G338/1000)</f>
        <v>0</v>
      </c>
      <c r="M338" s="21">
        <f>IF(ISERROR(VLOOKUP($F338,#REF!,6,0)*H338/1000),0,VLOOKUP($F338,#REF!,6,0)*H338/1000)</f>
        <v>0</v>
      </c>
      <c r="N338" s="21">
        <f>IF(ISERROR(VLOOKUP($F338,#REF!,6,0)*I338/1000),0,VLOOKUP($F338,#REF!,6,0)*I338/1000)</f>
        <v>0</v>
      </c>
      <c r="O338" s="21">
        <f>IF(ISERROR(VLOOKUP($F338,#REF!,6,0)*J338/1000),0,VLOOKUP($F338,#REF!,6,0)*J338/1000)</f>
        <v>0</v>
      </c>
      <c r="P338" s="21">
        <f>IF(ISERROR(VLOOKUP(F338,#REF!,6,0)*K338/1000),0,VLOOKUP(F338,#REF!,6,0)*K338/1000)</f>
        <v>0</v>
      </c>
      <c r="Q338" s="6">
        <f>IF(ISERROR(VLOOKUP(F338,#REF!,3,0)),0,VLOOKUP(F338,#REF!,3,0))</f>
        <v>0</v>
      </c>
      <c r="R338" s="6">
        <f>IF(ISERROR(VLOOKUP(F338,#REF!,4,0)),0,VLOOKUP(F338,#REF!,4,0))</f>
        <v>0</v>
      </c>
      <c r="S338" s="8">
        <f>IF(ISERROR(VLOOKUP(F338,#REF!,4,0)),0,VLOOKUP(F338,#REF!,10,0)/60*K338)</f>
        <v>0</v>
      </c>
      <c r="T338" s="3"/>
      <c r="U338" s="3"/>
      <c r="V338" s="4"/>
    </row>
    <row r="339" spans="1:22" x14ac:dyDescent="0.3">
      <c r="A339" s="5">
        <f t="shared" si="16"/>
        <v>0</v>
      </c>
      <c r="B339" s="6">
        <f t="shared" si="17"/>
        <v>0</v>
      </c>
      <c r="K339" s="18">
        <f t="shared" si="15"/>
        <v>0</v>
      </c>
      <c r="L339" s="21">
        <f>IF(ISERROR(VLOOKUP($F339,#REF!,6,0)*G339/1000),0,VLOOKUP($F339,#REF!,6,0)*G339/1000)</f>
        <v>0</v>
      </c>
      <c r="M339" s="21">
        <f>IF(ISERROR(VLOOKUP($F339,#REF!,6,0)*H339/1000),0,VLOOKUP($F339,#REF!,6,0)*H339/1000)</f>
        <v>0</v>
      </c>
      <c r="N339" s="21">
        <f>IF(ISERROR(VLOOKUP($F339,#REF!,6,0)*I339/1000),0,VLOOKUP($F339,#REF!,6,0)*I339/1000)</f>
        <v>0</v>
      </c>
      <c r="O339" s="21">
        <f>IF(ISERROR(VLOOKUP($F339,#REF!,6,0)*J339/1000),0,VLOOKUP($F339,#REF!,6,0)*J339/1000)</f>
        <v>0</v>
      </c>
      <c r="P339" s="21">
        <f>IF(ISERROR(VLOOKUP(F339,#REF!,6,0)*K339/1000),0,VLOOKUP(F339,#REF!,6,0)*K339/1000)</f>
        <v>0</v>
      </c>
      <c r="Q339" s="6">
        <f>IF(ISERROR(VLOOKUP(F339,#REF!,3,0)),0,VLOOKUP(F339,#REF!,3,0))</f>
        <v>0</v>
      </c>
      <c r="R339" s="6">
        <f>IF(ISERROR(VLOOKUP(F339,#REF!,4,0)),0,VLOOKUP(F339,#REF!,4,0))</f>
        <v>0</v>
      </c>
      <c r="S339" s="8">
        <f>IF(ISERROR(VLOOKUP(F339,#REF!,4,0)),0,VLOOKUP(F339,#REF!,10,0)/60*K339)</f>
        <v>0</v>
      </c>
      <c r="T339" s="3"/>
      <c r="U339" s="3"/>
      <c r="V339" s="4"/>
    </row>
    <row r="340" spans="1:22" x14ac:dyDescent="0.3">
      <c r="A340" s="5">
        <f t="shared" si="16"/>
        <v>0</v>
      </c>
      <c r="B340" s="6">
        <f t="shared" si="17"/>
        <v>0</v>
      </c>
      <c r="K340" s="18">
        <f t="shared" si="15"/>
        <v>0</v>
      </c>
      <c r="L340" s="21">
        <f>IF(ISERROR(VLOOKUP($F340,#REF!,6,0)*G340/1000),0,VLOOKUP($F340,#REF!,6,0)*G340/1000)</f>
        <v>0</v>
      </c>
      <c r="M340" s="21">
        <f>IF(ISERROR(VLOOKUP($F340,#REF!,6,0)*H340/1000),0,VLOOKUP($F340,#REF!,6,0)*H340/1000)</f>
        <v>0</v>
      </c>
      <c r="N340" s="21">
        <f>IF(ISERROR(VLOOKUP($F340,#REF!,6,0)*I340/1000),0,VLOOKUP($F340,#REF!,6,0)*I340/1000)</f>
        <v>0</v>
      </c>
      <c r="O340" s="21">
        <f>IF(ISERROR(VLOOKUP($F340,#REF!,6,0)*J340/1000),0,VLOOKUP($F340,#REF!,6,0)*J340/1000)</f>
        <v>0</v>
      </c>
      <c r="P340" s="21">
        <f>IF(ISERROR(VLOOKUP(F340,#REF!,6,0)*K340/1000),0,VLOOKUP(F340,#REF!,6,0)*K340/1000)</f>
        <v>0</v>
      </c>
      <c r="Q340" s="6">
        <f>IF(ISERROR(VLOOKUP(F340,#REF!,3,0)),0,VLOOKUP(F340,#REF!,3,0))</f>
        <v>0</v>
      </c>
      <c r="R340" s="6">
        <f>IF(ISERROR(VLOOKUP(F340,#REF!,4,0)),0,VLOOKUP(F340,#REF!,4,0))</f>
        <v>0</v>
      </c>
      <c r="S340" s="8">
        <f>IF(ISERROR(VLOOKUP(F340,#REF!,4,0)),0,VLOOKUP(F340,#REF!,10,0)/60*K340)</f>
        <v>0</v>
      </c>
      <c r="T340" s="3"/>
      <c r="U340" s="3"/>
      <c r="V340" s="4"/>
    </row>
    <row r="341" spans="1:22" x14ac:dyDescent="0.3">
      <c r="A341" s="5">
        <f t="shared" si="16"/>
        <v>0</v>
      </c>
      <c r="B341" s="6">
        <f t="shared" si="17"/>
        <v>0</v>
      </c>
      <c r="K341" s="18">
        <f t="shared" si="15"/>
        <v>0</v>
      </c>
      <c r="L341" s="21">
        <f>IF(ISERROR(VLOOKUP($F341,#REF!,6,0)*G341/1000),0,VLOOKUP($F341,#REF!,6,0)*G341/1000)</f>
        <v>0</v>
      </c>
      <c r="M341" s="21">
        <f>IF(ISERROR(VLOOKUP($F341,#REF!,6,0)*H341/1000),0,VLOOKUP($F341,#REF!,6,0)*H341/1000)</f>
        <v>0</v>
      </c>
      <c r="N341" s="21">
        <f>IF(ISERROR(VLOOKUP($F341,#REF!,6,0)*I341/1000),0,VLOOKUP($F341,#REF!,6,0)*I341/1000)</f>
        <v>0</v>
      </c>
      <c r="O341" s="21">
        <f>IF(ISERROR(VLOOKUP($F341,#REF!,6,0)*J341/1000),0,VLOOKUP($F341,#REF!,6,0)*J341/1000)</f>
        <v>0</v>
      </c>
      <c r="P341" s="21">
        <f>IF(ISERROR(VLOOKUP(F341,#REF!,6,0)*K341/1000),0,VLOOKUP(F341,#REF!,6,0)*K341/1000)</f>
        <v>0</v>
      </c>
      <c r="Q341" s="6">
        <f>IF(ISERROR(VLOOKUP(F341,#REF!,3,0)),0,VLOOKUP(F341,#REF!,3,0))</f>
        <v>0</v>
      </c>
      <c r="R341" s="6">
        <f>IF(ISERROR(VLOOKUP(F341,#REF!,4,0)),0,VLOOKUP(F341,#REF!,4,0))</f>
        <v>0</v>
      </c>
      <c r="S341" s="8">
        <f>IF(ISERROR(VLOOKUP(F341,#REF!,4,0)),0,VLOOKUP(F341,#REF!,10,0)/60*K341)</f>
        <v>0</v>
      </c>
      <c r="T341" s="3"/>
      <c r="U341" s="3"/>
      <c r="V341" s="4"/>
    </row>
    <row r="342" spans="1:22" x14ac:dyDescent="0.3">
      <c r="A342" s="5">
        <f t="shared" si="16"/>
        <v>0</v>
      </c>
      <c r="B342" s="6">
        <f t="shared" si="17"/>
        <v>0</v>
      </c>
      <c r="K342" s="18">
        <f t="shared" si="15"/>
        <v>0</v>
      </c>
      <c r="L342" s="21">
        <f>IF(ISERROR(VLOOKUP($F342,#REF!,6,0)*G342/1000),0,VLOOKUP($F342,#REF!,6,0)*G342/1000)</f>
        <v>0</v>
      </c>
      <c r="M342" s="21">
        <f>IF(ISERROR(VLOOKUP($F342,#REF!,6,0)*H342/1000),0,VLOOKUP($F342,#REF!,6,0)*H342/1000)</f>
        <v>0</v>
      </c>
      <c r="N342" s="21">
        <f>IF(ISERROR(VLOOKUP($F342,#REF!,6,0)*I342/1000),0,VLOOKUP($F342,#REF!,6,0)*I342/1000)</f>
        <v>0</v>
      </c>
      <c r="O342" s="21">
        <f>IF(ISERROR(VLOOKUP($F342,#REF!,6,0)*J342/1000),0,VLOOKUP($F342,#REF!,6,0)*J342/1000)</f>
        <v>0</v>
      </c>
      <c r="P342" s="21">
        <f>IF(ISERROR(VLOOKUP(F342,#REF!,6,0)*K342/1000),0,VLOOKUP(F342,#REF!,6,0)*K342/1000)</f>
        <v>0</v>
      </c>
      <c r="Q342" s="6">
        <f>IF(ISERROR(VLOOKUP(F342,#REF!,3,0)),0,VLOOKUP(F342,#REF!,3,0))</f>
        <v>0</v>
      </c>
      <c r="R342" s="6">
        <f>IF(ISERROR(VLOOKUP(F342,#REF!,4,0)),0,VLOOKUP(F342,#REF!,4,0))</f>
        <v>0</v>
      </c>
      <c r="S342" s="8">
        <f>IF(ISERROR(VLOOKUP(F342,#REF!,4,0)),0,VLOOKUP(F342,#REF!,10,0)/60*K342)</f>
        <v>0</v>
      </c>
      <c r="T342" s="3"/>
      <c r="U342" s="3"/>
      <c r="V342" s="4"/>
    </row>
    <row r="343" spans="1:22" x14ac:dyDescent="0.3">
      <c r="A343" s="5">
        <f t="shared" si="16"/>
        <v>0</v>
      </c>
      <c r="B343" s="6">
        <f t="shared" si="17"/>
        <v>0</v>
      </c>
      <c r="K343" s="18">
        <f t="shared" si="15"/>
        <v>0</v>
      </c>
      <c r="L343" s="21">
        <f>IF(ISERROR(VLOOKUP($F343,#REF!,6,0)*G343/1000),0,VLOOKUP($F343,#REF!,6,0)*G343/1000)</f>
        <v>0</v>
      </c>
      <c r="M343" s="21">
        <f>IF(ISERROR(VLOOKUP($F343,#REF!,6,0)*H343/1000),0,VLOOKUP($F343,#REF!,6,0)*H343/1000)</f>
        <v>0</v>
      </c>
      <c r="N343" s="21">
        <f>IF(ISERROR(VLOOKUP($F343,#REF!,6,0)*I343/1000),0,VLOOKUP($F343,#REF!,6,0)*I343/1000)</f>
        <v>0</v>
      </c>
      <c r="O343" s="21">
        <f>IF(ISERROR(VLOOKUP($F343,#REF!,6,0)*J343/1000),0,VLOOKUP($F343,#REF!,6,0)*J343/1000)</f>
        <v>0</v>
      </c>
      <c r="P343" s="21">
        <f>IF(ISERROR(VLOOKUP(F343,#REF!,6,0)*K343/1000),0,VLOOKUP(F343,#REF!,6,0)*K343/1000)</f>
        <v>0</v>
      </c>
      <c r="Q343" s="6">
        <f>IF(ISERROR(VLOOKUP(F343,#REF!,3,0)),0,VLOOKUP(F343,#REF!,3,0))</f>
        <v>0</v>
      </c>
      <c r="R343" s="6">
        <f>IF(ISERROR(VLOOKUP(F343,#REF!,4,0)),0,VLOOKUP(F343,#REF!,4,0))</f>
        <v>0</v>
      </c>
      <c r="S343" s="8">
        <f>IF(ISERROR(VLOOKUP(F343,#REF!,4,0)),0,VLOOKUP(F343,#REF!,10,0)/60*K343)</f>
        <v>0</v>
      </c>
      <c r="T343" s="3"/>
      <c r="U343" s="3"/>
      <c r="V343" s="4"/>
    </row>
    <row r="344" spans="1:22" x14ac:dyDescent="0.3">
      <c r="A344" s="5">
        <f t="shared" si="16"/>
        <v>0</v>
      </c>
      <c r="B344" s="6">
        <f t="shared" si="17"/>
        <v>0</v>
      </c>
      <c r="K344" s="18">
        <f t="shared" si="15"/>
        <v>0</v>
      </c>
      <c r="L344" s="21">
        <f>IF(ISERROR(VLOOKUP($F344,#REF!,6,0)*G344/1000),0,VLOOKUP($F344,#REF!,6,0)*G344/1000)</f>
        <v>0</v>
      </c>
      <c r="M344" s="21">
        <f>IF(ISERROR(VLOOKUP($F344,#REF!,6,0)*H344/1000),0,VLOOKUP($F344,#REF!,6,0)*H344/1000)</f>
        <v>0</v>
      </c>
      <c r="N344" s="21">
        <f>IF(ISERROR(VLOOKUP($F344,#REF!,6,0)*I344/1000),0,VLOOKUP($F344,#REF!,6,0)*I344/1000)</f>
        <v>0</v>
      </c>
      <c r="O344" s="21">
        <f>IF(ISERROR(VLOOKUP($F344,#REF!,6,0)*J344/1000),0,VLOOKUP($F344,#REF!,6,0)*J344/1000)</f>
        <v>0</v>
      </c>
      <c r="P344" s="21">
        <f>IF(ISERROR(VLOOKUP(F344,#REF!,6,0)*K344/1000),0,VLOOKUP(F344,#REF!,6,0)*K344/1000)</f>
        <v>0</v>
      </c>
      <c r="Q344" s="6">
        <f>IF(ISERROR(VLOOKUP(F344,#REF!,3,0)),0,VLOOKUP(F344,#REF!,3,0))</f>
        <v>0</v>
      </c>
      <c r="R344" s="6">
        <f>IF(ISERROR(VLOOKUP(F344,#REF!,4,0)),0,VLOOKUP(F344,#REF!,4,0))</f>
        <v>0</v>
      </c>
      <c r="S344" s="8">
        <f>IF(ISERROR(VLOOKUP(F344,#REF!,4,0)),0,VLOOKUP(F344,#REF!,10,0)/60*K344)</f>
        <v>0</v>
      </c>
      <c r="T344" s="3"/>
      <c r="U344" s="3"/>
      <c r="V344" s="4"/>
    </row>
    <row r="345" spans="1:22" x14ac:dyDescent="0.3">
      <c r="A345" s="5">
        <f t="shared" si="16"/>
        <v>0</v>
      </c>
      <c r="B345" s="6">
        <f t="shared" si="17"/>
        <v>0</v>
      </c>
      <c r="K345" s="18">
        <f t="shared" si="15"/>
        <v>0</v>
      </c>
      <c r="L345" s="21">
        <f>IF(ISERROR(VLOOKUP($F345,#REF!,6,0)*G345/1000),0,VLOOKUP($F345,#REF!,6,0)*G345/1000)</f>
        <v>0</v>
      </c>
      <c r="M345" s="21">
        <f>IF(ISERROR(VLOOKUP($F345,#REF!,6,0)*H345/1000),0,VLOOKUP($F345,#REF!,6,0)*H345/1000)</f>
        <v>0</v>
      </c>
      <c r="N345" s="21">
        <f>IF(ISERROR(VLOOKUP($F345,#REF!,6,0)*I345/1000),0,VLOOKUP($F345,#REF!,6,0)*I345/1000)</f>
        <v>0</v>
      </c>
      <c r="O345" s="21">
        <f>IF(ISERROR(VLOOKUP($F345,#REF!,6,0)*J345/1000),0,VLOOKUP($F345,#REF!,6,0)*J345/1000)</f>
        <v>0</v>
      </c>
      <c r="P345" s="21">
        <f>IF(ISERROR(VLOOKUP(F345,#REF!,6,0)*K345/1000),0,VLOOKUP(F345,#REF!,6,0)*K345/1000)</f>
        <v>0</v>
      </c>
      <c r="Q345" s="6">
        <f>IF(ISERROR(VLOOKUP(F345,#REF!,3,0)),0,VLOOKUP(F345,#REF!,3,0))</f>
        <v>0</v>
      </c>
      <c r="R345" s="6">
        <f>IF(ISERROR(VLOOKUP(F345,#REF!,4,0)),0,VLOOKUP(F345,#REF!,4,0))</f>
        <v>0</v>
      </c>
      <c r="S345" s="8">
        <f>IF(ISERROR(VLOOKUP(F345,#REF!,4,0)),0,VLOOKUP(F345,#REF!,10,0)/60*K345)</f>
        <v>0</v>
      </c>
      <c r="T345" s="3"/>
      <c r="U345" s="3"/>
      <c r="V345" s="4"/>
    </row>
    <row r="346" spans="1:22" x14ac:dyDescent="0.3">
      <c r="A346" s="5">
        <f t="shared" si="16"/>
        <v>0</v>
      </c>
      <c r="B346" s="6">
        <f t="shared" si="17"/>
        <v>0</v>
      </c>
      <c r="K346" s="18">
        <f t="shared" si="15"/>
        <v>0</v>
      </c>
      <c r="L346" s="21">
        <f>IF(ISERROR(VLOOKUP($F346,#REF!,6,0)*G346/1000),0,VLOOKUP($F346,#REF!,6,0)*G346/1000)</f>
        <v>0</v>
      </c>
      <c r="M346" s="21">
        <f>IF(ISERROR(VLOOKUP($F346,#REF!,6,0)*H346/1000),0,VLOOKUP($F346,#REF!,6,0)*H346/1000)</f>
        <v>0</v>
      </c>
      <c r="N346" s="21">
        <f>IF(ISERROR(VLOOKUP($F346,#REF!,6,0)*I346/1000),0,VLOOKUP($F346,#REF!,6,0)*I346/1000)</f>
        <v>0</v>
      </c>
      <c r="O346" s="21">
        <f>IF(ISERROR(VLOOKUP($F346,#REF!,6,0)*J346/1000),0,VLOOKUP($F346,#REF!,6,0)*J346/1000)</f>
        <v>0</v>
      </c>
      <c r="P346" s="21">
        <f>IF(ISERROR(VLOOKUP(F346,#REF!,6,0)*K346/1000),0,VLOOKUP(F346,#REF!,6,0)*K346/1000)</f>
        <v>0</v>
      </c>
      <c r="Q346" s="6">
        <f>IF(ISERROR(VLOOKUP(F346,#REF!,3,0)),0,VLOOKUP(F346,#REF!,3,0))</f>
        <v>0</v>
      </c>
      <c r="R346" s="6">
        <f>IF(ISERROR(VLOOKUP(F346,#REF!,4,0)),0,VLOOKUP(F346,#REF!,4,0))</f>
        <v>0</v>
      </c>
      <c r="S346" s="8">
        <f>IF(ISERROR(VLOOKUP(F346,#REF!,4,0)),0,VLOOKUP(F346,#REF!,10,0)/60*K346)</f>
        <v>0</v>
      </c>
      <c r="T346" s="3"/>
      <c r="U346" s="3"/>
      <c r="V346" s="4"/>
    </row>
    <row r="347" spans="1:22" x14ac:dyDescent="0.3">
      <c r="A347" s="5">
        <f t="shared" si="16"/>
        <v>0</v>
      </c>
      <c r="B347" s="6">
        <f t="shared" si="17"/>
        <v>0</v>
      </c>
      <c r="K347" s="18">
        <f t="shared" si="15"/>
        <v>0</v>
      </c>
      <c r="L347" s="21">
        <f>IF(ISERROR(VLOOKUP($F347,#REF!,6,0)*G347/1000),0,VLOOKUP($F347,#REF!,6,0)*G347/1000)</f>
        <v>0</v>
      </c>
      <c r="M347" s="21">
        <f>IF(ISERROR(VLOOKUP($F347,#REF!,6,0)*H347/1000),0,VLOOKUP($F347,#REF!,6,0)*H347/1000)</f>
        <v>0</v>
      </c>
      <c r="N347" s="21">
        <f>IF(ISERROR(VLOOKUP($F347,#REF!,6,0)*I347/1000),0,VLOOKUP($F347,#REF!,6,0)*I347/1000)</f>
        <v>0</v>
      </c>
      <c r="O347" s="21">
        <f>IF(ISERROR(VLOOKUP($F347,#REF!,6,0)*J347/1000),0,VLOOKUP($F347,#REF!,6,0)*J347/1000)</f>
        <v>0</v>
      </c>
      <c r="P347" s="21">
        <f>IF(ISERROR(VLOOKUP(F347,#REF!,6,0)*K347/1000),0,VLOOKUP(F347,#REF!,6,0)*K347/1000)</f>
        <v>0</v>
      </c>
      <c r="Q347" s="6">
        <f>IF(ISERROR(VLOOKUP(F347,#REF!,3,0)),0,VLOOKUP(F347,#REF!,3,0))</f>
        <v>0</v>
      </c>
      <c r="R347" s="6">
        <f>IF(ISERROR(VLOOKUP(F347,#REF!,4,0)),0,VLOOKUP(F347,#REF!,4,0))</f>
        <v>0</v>
      </c>
      <c r="S347" s="8">
        <f>IF(ISERROR(VLOOKUP(F347,#REF!,4,0)),0,VLOOKUP(F347,#REF!,10,0)/60*K347)</f>
        <v>0</v>
      </c>
      <c r="T347" s="3"/>
      <c r="U347" s="3"/>
      <c r="V347" s="4"/>
    </row>
    <row r="348" spans="1:22" x14ac:dyDescent="0.3">
      <c r="A348" s="5">
        <f t="shared" si="16"/>
        <v>0</v>
      </c>
      <c r="B348" s="6">
        <f t="shared" si="17"/>
        <v>0</v>
      </c>
      <c r="K348" s="18">
        <f t="shared" si="15"/>
        <v>0</v>
      </c>
      <c r="L348" s="21">
        <f>IF(ISERROR(VLOOKUP($F348,#REF!,6,0)*G348/1000),0,VLOOKUP($F348,#REF!,6,0)*G348/1000)</f>
        <v>0</v>
      </c>
      <c r="M348" s="21">
        <f>IF(ISERROR(VLOOKUP($F348,#REF!,6,0)*H348/1000),0,VLOOKUP($F348,#REF!,6,0)*H348/1000)</f>
        <v>0</v>
      </c>
      <c r="N348" s="21">
        <f>IF(ISERROR(VLOOKUP($F348,#REF!,6,0)*I348/1000),0,VLOOKUP($F348,#REF!,6,0)*I348/1000)</f>
        <v>0</v>
      </c>
      <c r="O348" s="21">
        <f>IF(ISERROR(VLOOKUP($F348,#REF!,6,0)*J348/1000),0,VLOOKUP($F348,#REF!,6,0)*J348/1000)</f>
        <v>0</v>
      </c>
      <c r="P348" s="21">
        <f>IF(ISERROR(VLOOKUP(F348,#REF!,6,0)*K348/1000),0,VLOOKUP(F348,#REF!,6,0)*K348/1000)</f>
        <v>0</v>
      </c>
      <c r="Q348" s="6">
        <f>IF(ISERROR(VLOOKUP(F348,#REF!,3,0)),0,VLOOKUP(F348,#REF!,3,0))</f>
        <v>0</v>
      </c>
      <c r="R348" s="6">
        <f>IF(ISERROR(VLOOKUP(F348,#REF!,4,0)),0,VLOOKUP(F348,#REF!,4,0))</f>
        <v>0</v>
      </c>
      <c r="S348" s="8">
        <f>IF(ISERROR(VLOOKUP(F348,#REF!,4,0)),0,VLOOKUP(F348,#REF!,10,0)/60*K348)</f>
        <v>0</v>
      </c>
      <c r="T348" s="3"/>
      <c r="U348" s="3"/>
      <c r="V348" s="4"/>
    </row>
    <row r="349" spans="1:22" x14ac:dyDescent="0.3">
      <c r="A349" s="5">
        <f t="shared" si="16"/>
        <v>0</v>
      </c>
      <c r="B349" s="6">
        <f t="shared" si="17"/>
        <v>0</v>
      </c>
      <c r="K349" s="18">
        <f t="shared" si="15"/>
        <v>0</v>
      </c>
      <c r="L349" s="21">
        <f>IF(ISERROR(VLOOKUP($F349,#REF!,6,0)*G349/1000),0,VLOOKUP($F349,#REF!,6,0)*G349/1000)</f>
        <v>0</v>
      </c>
      <c r="M349" s="21">
        <f>IF(ISERROR(VLOOKUP($F349,#REF!,6,0)*H349/1000),0,VLOOKUP($F349,#REF!,6,0)*H349/1000)</f>
        <v>0</v>
      </c>
      <c r="N349" s="21">
        <f>IF(ISERROR(VLOOKUP($F349,#REF!,6,0)*I349/1000),0,VLOOKUP($F349,#REF!,6,0)*I349/1000)</f>
        <v>0</v>
      </c>
      <c r="O349" s="21">
        <f>IF(ISERROR(VLOOKUP($F349,#REF!,6,0)*J349/1000),0,VLOOKUP($F349,#REF!,6,0)*J349/1000)</f>
        <v>0</v>
      </c>
      <c r="P349" s="21">
        <f>IF(ISERROR(VLOOKUP(F349,#REF!,6,0)*K349/1000),0,VLOOKUP(F349,#REF!,6,0)*K349/1000)</f>
        <v>0</v>
      </c>
      <c r="Q349" s="6">
        <f>IF(ISERROR(VLOOKUP(F349,#REF!,3,0)),0,VLOOKUP(F349,#REF!,3,0))</f>
        <v>0</v>
      </c>
      <c r="R349" s="6">
        <f>IF(ISERROR(VLOOKUP(F349,#REF!,4,0)),0,VLOOKUP(F349,#REF!,4,0))</f>
        <v>0</v>
      </c>
      <c r="S349" s="8">
        <f>IF(ISERROR(VLOOKUP(F349,#REF!,4,0)),0,VLOOKUP(F349,#REF!,10,0)/60*K349)</f>
        <v>0</v>
      </c>
      <c r="T349" s="3"/>
      <c r="U349" s="3"/>
      <c r="V349" s="4"/>
    </row>
    <row r="350" spans="1:22" x14ac:dyDescent="0.3">
      <c r="A350" s="5">
        <f t="shared" si="16"/>
        <v>0</v>
      </c>
      <c r="B350" s="6">
        <f t="shared" si="17"/>
        <v>0</v>
      </c>
      <c r="K350" s="18">
        <f t="shared" si="15"/>
        <v>0</v>
      </c>
      <c r="L350" s="21">
        <f>IF(ISERROR(VLOOKUP($F350,#REF!,6,0)*G350/1000),0,VLOOKUP($F350,#REF!,6,0)*G350/1000)</f>
        <v>0</v>
      </c>
      <c r="M350" s="21">
        <f>IF(ISERROR(VLOOKUP($F350,#REF!,6,0)*H350/1000),0,VLOOKUP($F350,#REF!,6,0)*H350/1000)</f>
        <v>0</v>
      </c>
      <c r="N350" s="21">
        <f>IF(ISERROR(VLOOKUP($F350,#REF!,6,0)*I350/1000),0,VLOOKUP($F350,#REF!,6,0)*I350/1000)</f>
        <v>0</v>
      </c>
      <c r="O350" s="21">
        <f>IF(ISERROR(VLOOKUP($F350,#REF!,6,0)*J350/1000),0,VLOOKUP($F350,#REF!,6,0)*J350/1000)</f>
        <v>0</v>
      </c>
      <c r="P350" s="21">
        <f>IF(ISERROR(VLOOKUP(F350,#REF!,6,0)*K350/1000),0,VLOOKUP(F350,#REF!,6,0)*K350/1000)</f>
        <v>0</v>
      </c>
      <c r="Q350" s="6">
        <f>IF(ISERROR(VLOOKUP(F350,#REF!,3,0)),0,VLOOKUP(F350,#REF!,3,0))</f>
        <v>0</v>
      </c>
      <c r="R350" s="6">
        <f>IF(ISERROR(VLOOKUP(F350,#REF!,4,0)),0,VLOOKUP(F350,#REF!,4,0))</f>
        <v>0</v>
      </c>
      <c r="S350" s="8">
        <f>IF(ISERROR(VLOOKUP(F350,#REF!,4,0)),0,VLOOKUP(F350,#REF!,10,0)/60*K350)</f>
        <v>0</v>
      </c>
      <c r="T350" s="3"/>
      <c r="U350" s="3"/>
      <c r="V350" s="4"/>
    </row>
    <row r="351" spans="1:22" x14ac:dyDescent="0.3">
      <c r="A351" s="5">
        <f t="shared" si="16"/>
        <v>0</v>
      </c>
      <c r="B351" s="6">
        <f t="shared" si="17"/>
        <v>0</v>
      </c>
      <c r="K351" s="18">
        <f t="shared" si="15"/>
        <v>0</v>
      </c>
      <c r="L351" s="21">
        <f>IF(ISERROR(VLOOKUP($F351,#REF!,6,0)*G351/1000),0,VLOOKUP($F351,#REF!,6,0)*G351/1000)</f>
        <v>0</v>
      </c>
      <c r="M351" s="21">
        <f>IF(ISERROR(VLOOKUP($F351,#REF!,6,0)*H351/1000),0,VLOOKUP($F351,#REF!,6,0)*H351/1000)</f>
        <v>0</v>
      </c>
      <c r="N351" s="21">
        <f>IF(ISERROR(VLOOKUP($F351,#REF!,6,0)*I351/1000),0,VLOOKUP($F351,#REF!,6,0)*I351/1000)</f>
        <v>0</v>
      </c>
      <c r="O351" s="21">
        <f>IF(ISERROR(VLOOKUP($F351,#REF!,6,0)*J351/1000),0,VLOOKUP($F351,#REF!,6,0)*J351/1000)</f>
        <v>0</v>
      </c>
      <c r="P351" s="21">
        <f>IF(ISERROR(VLOOKUP(F351,#REF!,6,0)*K351/1000),0,VLOOKUP(F351,#REF!,6,0)*K351/1000)</f>
        <v>0</v>
      </c>
      <c r="Q351" s="6">
        <f>IF(ISERROR(VLOOKUP(F351,#REF!,3,0)),0,VLOOKUP(F351,#REF!,3,0))</f>
        <v>0</v>
      </c>
      <c r="R351" s="6">
        <f>IF(ISERROR(VLOOKUP(F351,#REF!,4,0)),0,VLOOKUP(F351,#REF!,4,0))</f>
        <v>0</v>
      </c>
      <c r="S351" s="8">
        <f>IF(ISERROR(VLOOKUP(F351,#REF!,4,0)),0,VLOOKUP(F351,#REF!,10,0)/60*K351)</f>
        <v>0</v>
      </c>
      <c r="T351" s="3"/>
      <c r="U351" s="3"/>
      <c r="V351" s="4"/>
    </row>
    <row r="352" spans="1:22" x14ac:dyDescent="0.3">
      <c r="A352" s="5">
        <f t="shared" si="16"/>
        <v>0</v>
      </c>
      <c r="B352" s="6">
        <f t="shared" si="17"/>
        <v>0</v>
      </c>
      <c r="K352" s="18">
        <f t="shared" si="15"/>
        <v>0</v>
      </c>
      <c r="L352" s="21">
        <f>IF(ISERROR(VLOOKUP($F352,#REF!,6,0)*G352/1000),0,VLOOKUP($F352,#REF!,6,0)*G352/1000)</f>
        <v>0</v>
      </c>
      <c r="M352" s="21">
        <f>IF(ISERROR(VLOOKUP($F352,#REF!,6,0)*H352/1000),0,VLOOKUP($F352,#REF!,6,0)*H352/1000)</f>
        <v>0</v>
      </c>
      <c r="N352" s="21">
        <f>IF(ISERROR(VLOOKUP($F352,#REF!,6,0)*I352/1000),0,VLOOKUP($F352,#REF!,6,0)*I352/1000)</f>
        <v>0</v>
      </c>
      <c r="O352" s="21">
        <f>IF(ISERROR(VLOOKUP($F352,#REF!,6,0)*J352/1000),0,VLOOKUP($F352,#REF!,6,0)*J352/1000)</f>
        <v>0</v>
      </c>
      <c r="P352" s="21">
        <f>IF(ISERROR(VLOOKUP(F352,#REF!,6,0)*K352/1000),0,VLOOKUP(F352,#REF!,6,0)*K352/1000)</f>
        <v>0</v>
      </c>
      <c r="Q352" s="6">
        <f>IF(ISERROR(VLOOKUP(F352,#REF!,3,0)),0,VLOOKUP(F352,#REF!,3,0))</f>
        <v>0</v>
      </c>
      <c r="R352" s="6">
        <f>IF(ISERROR(VLOOKUP(F352,#REF!,4,0)),0,VLOOKUP(F352,#REF!,4,0))</f>
        <v>0</v>
      </c>
      <c r="S352" s="8">
        <f>IF(ISERROR(VLOOKUP(F352,#REF!,4,0)),0,VLOOKUP(F352,#REF!,10,0)/60*K352)</f>
        <v>0</v>
      </c>
      <c r="T352" s="3"/>
      <c r="U352" s="3"/>
      <c r="V352" s="4"/>
    </row>
    <row r="353" spans="1:22" x14ac:dyDescent="0.3">
      <c r="A353" s="5">
        <f t="shared" si="16"/>
        <v>0</v>
      </c>
      <c r="B353" s="6">
        <f t="shared" si="17"/>
        <v>0</v>
      </c>
      <c r="K353" s="18">
        <f t="shared" si="15"/>
        <v>0</v>
      </c>
      <c r="L353" s="21">
        <f>IF(ISERROR(VLOOKUP($F353,#REF!,6,0)*G353/1000),0,VLOOKUP($F353,#REF!,6,0)*G353/1000)</f>
        <v>0</v>
      </c>
      <c r="M353" s="21">
        <f>IF(ISERROR(VLOOKUP($F353,#REF!,6,0)*H353/1000),0,VLOOKUP($F353,#REF!,6,0)*H353/1000)</f>
        <v>0</v>
      </c>
      <c r="N353" s="21">
        <f>IF(ISERROR(VLOOKUP($F353,#REF!,6,0)*I353/1000),0,VLOOKUP($F353,#REF!,6,0)*I353/1000)</f>
        <v>0</v>
      </c>
      <c r="O353" s="21">
        <f>IF(ISERROR(VLOOKUP($F353,#REF!,6,0)*J353/1000),0,VLOOKUP($F353,#REF!,6,0)*J353/1000)</f>
        <v>0</v>
      </c>
      <c r="P353" s="21">
        <f>IF(ISERROR(VLOOKUP(F353,#REF!,6,0)*K353/1000),0,VLOOKUP(F353,#REF!,6,0)*K353/1000)</f>
        <v>0</v>
      </c>
      <c r="Q353" s="6">
        <f>IF(ISERROR(VLOOKUP(F353,#REF!,3,0)),0,VLOOKUP(F353,#REF!,3,0))</f>
        <v>0</v>
      </c>
      <c r="R353" s="6">
        <f>IF(ISERROR(VLOOKUP(F353,#REF!,4,0)),0,VLOOKUP(F353,#REF!,4,0))</f>
        <v>0</v>
      </c>
      <c r="S353" s="8">
        <f>IF(ISERROR(VLOOKUP(F353,#REF!,4,0)),0,VLOOKUP(F353,#REF!,10,0)/60*K353)</f>
        <v>0</v>
      </c>
      <c r="T353" s="3"/>
      <c r="U353" s="3"/>
      <c r="V353" s="4"/>
    </row>
    <row r="354" spans="1:22" x14ac:dyDescent="0.3">
      <c r="A354" s="5">
        <f t="shared" si="16"/>
        <v>0</v>
      </c>
      <c r="B354" s="6">
        <f t="shared" si="17"/>
        <v>0</v>
      </c>
      <c r="K354" s="18">
        <f t="shared" si="15"/>
        <v>0</v>
      </c>
      <c r="L354" s="21">
        <f>IF(ISERROR(VLOOKUP($F354,#REF!,6,0)*G354/1000),0,VLOOKUP($F354,#REF!,6,0)*G354/1000)</f>
        <v>0</v>
      </c>
      <c r="M354" s="21">
        <f>IF(ISERROR(VLOOKUP($F354,#REF!,6,0)*H354/1000),0,VLOOKUP($F354,#REF!,6,0)*H354/1000)</f>
        <v>0</v>
      </c>
      <c r="N354" s="21">
        <f>IF(ISERROR(VLOOKUP($F354,#REF!,6,0)*I354/1000),0,VLOOKUP($F354,#REF!,6,0)*I354/1000)</f>
        <v>0</v>
      </c>
      <c r="O354" s="21">
        <f>IF(ISERROR(VLOOKUP($F354,#REF!,6,0)*J354/1000),0,VLOOKUP($F354,#REF!,6,0)*J354/1000)</f>
        <v>0</v>
      </c>
      <c r="P354" s="21">
        <f>IF(ISERROR(VLOOKUP(F354,#REF!,6,0)*K354/1000),0,VLOOKUP(F354,#REF!,6,0)*K354/1000)</f>
        <v>0</v>
      </c>
      <c r="Q354" s="6">
        <f>IF(ISERROR(VLOOKUP(F354,#REF!,3,0)),0,VLOOKUP(F354,#REF!,3,0))</f>
        <v>0</v>
      </c>
      <c r="R354" s="6">
        <f>IF(ISERROR(VLOOKUP(F354,#REF!,4,0)),0,VLOOKUP(F354,#REF!,4,0))</f>
        <v>0</v>
      </c>
      <c r="S354" s="8">
        <f>IF(ISERROR(VLOOKUP(F354,#REF!,4,0)),0,VLOOKUP(F354,#REF!,10,0)/60*K354)</f>
        <v>0</v>
      </c>
      <c r="T354" s="3"/>
      <c r="U354" s="3"/>
      <c r="V354" s="4"/>
    </row>
    <row r="355" spans="1:22" x14ac:dyDescent="0.3">
      <c r="A355" s="5">
        <f t="shared" si="16"/>
        <v>0</v>
      </c>
      <c r="B355" s="6">
        <f t="shared" si="17"/>
        <v>0</v>
      </c>
      <c r="K355" s="18">
        <f t="shared" si="15"/>
        <v>0</v>
      </c>
      <c r="L355" s="21">
        <f>IF(ISERROR(VLOOKUP($F355,#REF!,6,0)*G355/1000),0,VLOOKUP($F355,#REF!,6,0)*G355/1000)</f>
        <v>0</v>
      </c>
      <c r="M355" s="21">
        <f>IF(ISERROR(VLOOKUP($F355,#REF!,6,0)*H355/1000),0,VLOOKUP($F355,#REF!,6,0)*H355/1000)</f>
        <v>0</v>
      </c>
      <c r="N355" s="21">
        <f>IF(ISERROR(VLOOKUP($F355,#REF!,6,0)*I355/1000),0,VLOOKUP($F355,#REF!,6,0)*I355/1000)</f>
        <v>0</v>
      </c>
      <c r="O355" s="21">
        <f>IF(ISERROR(VLOOKUP($F355,#REF!,6,0)*J355/1000),0,VLOOKUP($F355,#REF!,6,0)*J355/1000)</f>
        <v>0</v>
      </c>
      <c r="P355" s="21">
        <f>IF(ISERROR(VLOOKUP(F355,#REF!,6,0)*K355/1000),0,VLOOKUP(F355,#REF!,6,0)*K355/1000)</f>
        <v>0</v>
      </c>
      <c r="Q355" s="6">
        <f>IF(ISERROR(VLOOKUP(F355,#REF!,3,0)),0,VLOOKUP(F355,#REF!,3,0))</f>
        <v>0</v>
      </c>
      <c r="R355" s="6">
        <f>IF(ISERROR(VLOOKUP(F355,#REF!,4,0)),0,VLOOKUP(F355,#REF!,4,0))</f>
        <v>0</v>
      </c>
      <c r="S355" s="8">
        <f>IF(ISERROR(VLOOKUP(F355,#REF!,4,0)),0,VLOOKUP(F355,#REF!,10,0)/60*K355)</f>
        <v>0</v>
      </c>
      <c r="T355" s="3"/>
      <c r="U355" s="3"/>
      <c r="V355" s="4"/>
    </row>
    <row r="356" spans="1:22" x14ac:dyDescent="0.3">
      <c r="A356" s="5">
        <f t="shared" si="16"/>
        <v>0</v>
      </c>
      <c r="B356" s="6">
        <f t="shared" si="17"/>
        <v>0</v>
      </c>
      <c r="K356" s="18">
        <f t="shared" si="15"/>
        <v>0</v>
      </c>
      <c r="L356" s="21">
        <f>IF(ISERROR(VLOOKUP($F356,#REF!,6,0)*G356/1000),0,VLOOKUP($F356,#REF!,6,0)*G356/1000)</f>
        <v>0</v>
      </c>
      <c r="M356" s="21">
        <f>IF(ISERROR(VLOOKUP($F356,#REF!,6,0)*H356/1000),0,VLOOKUP($F356,#REF!,6,0)*H356/1000)</f>
        <v>0</v>
      </c>
      <c r="N356" s="21">
        <f>IF(ISERROR(VLOOKUP($F356,#REF!,6,0)*I356/1000),0,VLOOKUP($F356,#REF!,6,0)*I356/1000)</f>
        <v>0</v>
      </c>
      <c r="O356" s="21">
        <f>IF(ISERROR(VLOOKUP($F356,#REF!,6,0)*J356/1000),0,VLOOKUP($F356,#REF!,6,0)*J356/1000)</f>
        <v>0</v>
      </c>
      <c r="P356" s="21">
        <f>IF(ISERROR(VLOOKUP(F356,#REF!,6,0)*K356/1000),0,VLOOKUP(F356,#REF!,6,0)*K356/1000)</f>
        <v>0</v>
      </c>
      <c r="Q356" s="6">
        <f>IF(ISERROR(VLOOKUP(F356,#REF!,3,0)),0,VLOOKUP(F356,#REF!,3,0))</f>
        <v>0</v>
      </c>
      <c r="R356" s="6">
        <f>IF(ISERROR(VLOOKUP(F356,#REF!,4,0)),0,VLOOKUP(F356,#REF!,4,0))</f>
        <v>0</v>
      </c>
      <c r="S356" s="8">
        <f>IF(ISERROR(VLOOKUP(F356,#REF!,4,0)),0,VLOOKUP(F356,#REF!,10,0)/60*K356)</f>
        <v>0</v>
      </c>
      <c r="T356" s="3"/>
      <c r="U356" s="3"/>
      <c r="V356" s="4"/>
    </row>
    <row r="357" spans="1:22" x14ac:dyDescent="0.3">
      <c r="A357" s="5">
        <f t="shared" si="16"/>
        <v>0</v>
      </c>
      <c r="B357" s="6">
        <f t="shared" si="17"/>
        <v>0</v>
      </c>
      <c r="K357" s="18">
        <f t="shared" si="15"/>
        <v>0</v>
      </c>
      <c r="L357" s="21">
        <f>IF(ISERROR(VLOOKUP($F357,#REF!,6,0)*G357/1000),0,VLOOKUP($F357,#REF!,6,0)*G357/1000)</f>
        <v>0</v>
      </c>
      <c r="M357" s="21">
        <f>IF(ISERROR(VLOOKUP($F357,#REF!,6,0)*H357/1000),0,VLOOKUP($F357,#REF!,6,0)*H357/1000)</f>
        <v>0</v>
      </c>
      <c r="N357" s="21">
        <f>IF(ISERROR(VLOOKUP($F357,#REF!,6,0)*I357/1000),0,VLOOKUP($F357,#REF!,6,0)*I357/1000)</f>
        <v>0</v>
      </c>
      <c r="O357" s="21">
        <f>IF(ISERROR(VLOOKUP($F357,#REF!,6,0)*J357/1000),0,VLOOKUP($F357,#REF!,6,0)*J357/1000)</f>
        <v>0</v>
      </c>
      <c r="P357" s="21">
        <f>IF(ISERROR(VLOOKUP(F357,#REF!,6,0)*K357/1000),0,VLOOKUP(F357,#REF!,6,0)*K357/1000)</f>
        <v>0</v>
      </c>
      <c r="Q357" s="6">
        <f>IF(ISERROR(VLOOKUP(F357,#REF!,3,0)),0,VLOOKUP(F357,#REF!,3,0))</f>
        <v>0</v>
      </c>
      <c r="R357" s="6">
        <f>IF(ISERROR(VLOOKUP(F357,#REF!,4,0)),0,VLOOKUP(F357,#REF!,4,0))</f>
        <v>0</v>
      </c>
      <c r="S357" s="8">
        <f>IF(ISERROR(VLOOKUP(F357,#REF!,4,0)),0,VLOOKUP(F357,#REF!,10,0)/60*K357)</f>
        <v>0</v>
      </c>
      <c r="T357" s="3"/>
      <c r="U357" s="3"/>
      <c r="V357" s="4"/>
    </row>
    <row r="358" spans="1:22" x14ac:dyDescent="0.3">
      <c r="A358" s="5">
        <f t="shared" si="16"/>
        <v>0</v>
      </c>
      <c r="B358" s="6">
        <f t="shared" si="17"/>
        <v>0</v>
      </c>
      <c r="K358" s="18">
        <f t="shared" si="15"/>
        <v>0</v>
      </c>
      <c r="L358" s="21">
        <f>IF(ISERROR(VLOOKUP($F358,#REF!,6,0)*G358/1000),0,VLOOKUP($F358,#REF!,6,0)*G358/1000)</f>
        <v>0</v>
      </c>
      <c r="M358" s="21">
        <f>IF(ISERROR(VLOOKUP($F358,#REF!,6,0)*H358/1000),0,VLOOKUP($F358,#REF!,6,0)*H358/1000)</f>
        <v>0</v>
      </c>
      <c r="N358" s="21">
        <f>IF(ISERROR(VLOOKUP($F358,#REF!,6,0)*I358/1000),0,VLOOKUP($F358,#REF!,6,0)*I358/1000)</f>
        <v>0</v>
      </c>
      <c r="O358" s="21">
        <f>IF(ISERROR(VLOOKUP($F358,#REF!,6,0)*J358/1000),0,VLOOKUP($F358,#REF!,6,0)*J358/1000)</f>
        <v>0</v>
      </c>
      <c r="P358" s="21">
        <f>IF(ISERROR(VLOOKUP(F358,#REF!,6,0)*K358/1000),0,VLOOKUP(F358,#REF!,6,0)*K358/1000)</f>
        <v>0</v>
      </c>
      <c r="Q358" s="6">
        <f>IF(ISERROR(VLOOKUP(F358,#REF!,3,0)),0,VLOOKUP(F358,#REF!,3,0))</f>
        <v>0</v>
      </c>
      <c r="R358" s="6">
        <f>IF(ISERROR(VLOOKUP(F358,#REF!,4,0)),0,VLOOKUP(F358,#REF!,4,0))</f>
        <v>0</v>
      </c>
      <c r="S358" s="8">
        <f>IF(ISERROR(VLOOKUP(F358,#REF!,4,0)),0,VLOOKUP(F358,#REF!,10,0)/60*K358)</f>
        <v>0</v>
      </c>
      <c r="T358" s="3"/>
      <c r="U358" s="3"/>
      <c r="V358" s="4"/>
    </row>
    <row r="359" spans="1:22" x14ac:dyDescent="0.3">
      <c r="A359" s="5">
        <f t="shared" si="16"/>
        <v>0</v>
      </c>
      <c r="B359" s="6">
        <f t="shared" si="17"/>
        <v>0</v>
      </c>
      <c r="K359" s="18">
        <f t="shared" si="15"/>
        <v>0</v>
      </c>
      <c r="L359" s="21">
        <f>IF(ISERROR(VLOOKUP($F359,#REF!,6,0)*G359/1000),0,VLOOKUP($F359,#REF!,6,0)*G359/1000)</f>
        <v>0</v>
      </c>
      <c r="M359" s="21">
        <f>IF(ISERROR(VLOOKUP($F359,#REF!,6,0)*H359/1000),0,VLOOKUP($F359,#REF!,6,0)*H359/1000)</f>
        <v>0</v>
      </c>
      <c r="N359" s="21">
        <f>IF(ISERROR(VLOOKUP($F359,#REF!,6,0)*I359/1000),0,VLOOKUP($F359,#REF!,6,0)*I359/1000)</f>
        <v>0</v>
      </c>
      <c r="O359" s="21">
        <f>IF(ISERROR(VLOOKUP($F359,#REF!,6,0)*J359/1000),0,VLOOKUP($F359,#REF!,6,0)*J359/1000)</f>
        <v>0</v>
      </c>
      <c r="P359" s="21">
        <f>IF(ISERROR(VLOOKUP(F359,#REF!,6,0)*K359/1000),0,VLOOKUP(F359,#REF!,6,0)*K359/1000)</f>
        <v>0</v>
      </c>
      <c r="Q359" s="6">
        <f>IF(ISERROR(VLOOKUP(F359,#REF!,3,0)),0,VLOOKUP(F359,#REF!,3,0))</f>
        <v>0</v>
      </c>
      <c r="R359" s="6">
        <f>IF(ISERROR(VLOOKUP(F359,#REF!,4,0)),0,VLOOKUP(F359,#REF!,4,0))</f>
        <v>0</v>
      </c>
      <c r="S359" s="8">
        <f>IF(ISERROR(VLOOKUP(F359,#REF!,4,0)),0,VLOOKUP(F359,#REF!,10,0)/60*K359)</f>
        <v>0</v>
      </c>
      <c r="T359" s="3"/>
      <c r="U359" s="3"/>
      <c r="V359" s="4"/>
    </row>
    <row r="360" spans="1:22" x14ac:dyDescent="0.3">
      <c r="A360" s="5">
        <f t="shared" si="16"/>
        <v>0</v>
      </c>
      <c r="B360" s="6">
        <f t="shared" si="17"/>
        <v>0</v>
      </c>
      <c r="K360" s="18">
        <f t="shared" si="15"/>
        <v>0</v>
      </c>
      <c r="L360" s="21">
        <f>IF(ISERROR(VLOOKUP($F360,#REF!,6,0)*G360/1000),0,VLOOKUP($F360,#REF!,6,0)*G360/1000)</f>
        <v>0</v>
      </c>
      <c r="M360" s="21">
        <f>IF(ISERROR(VLOOKUP($F360,#REF!,6,0)*H360/1000),0,VLOOKUP($F360,#REF!,6,0)*H360/1000)</f>
        <v>0</v>
      </c>
      <c r="N360" s="21">
        <f>IF(ISERROR(VLOOKUP($F360,#REF!,6,0)*I360/1000),0,VLOOKUP($F360,#REF!,6,0)*I360/1000)</f>
        <v>0</v>
      </c>
      <c r="O360" s="21">
        <f>IF(ISERROR(VLOOKUP($F360,#REF!,6,0)*J360/1000),0,VLOOKUP($F360,#REF!,6,0)*J360/1000)</f>
        <v>0</v>
      </c>
      <c r="P360" s="21">
        <f>IF(ISERROR(VLOOKUP(F360,#REF!,6,0)*K360/1000),0,VLOOKUP(F360,#REF!,6,0)*K360/1000)</f>
        <v>0</v>
      </c>
      <c r="Q360" s="6">
        <f>IF(ISERROR(VLOOKUP(F360,#REF!,3,0)),0,VLOOKUP(F360,#REF!,3,0))</f>
        <v>0</v>
      </c>
      <c r="R360" s="6">
        <f>IF(ISERROR(VLOOKUP(F360,#REF!,4,0)),0,VLOOKUP(F360,#REF!,4,0))</f>
        <v>0</v>
      </c>
      <c r="S360" s="8">
        <f>IF(ISERROR(VLOOKUP(F360,#REF!,4,0)),0,VLOOKUP(F360,#REF!,10,0)/60*K360)</f>
        <v>0</v>
      </c>
      <c r="T360" s="3"/>
      <c r="U360" s="3"/>
      <c r="V360" s="4"/>
    </row>
    <row r="361" spans="1:22" x14ac:dyDescent="0.3">
      <c r="A361" s="5">
        <f t="shared" si="16"/>
        <v>0</v>
      </c>
      <c r="B361" s="6">
        <f t="shared" si="17"/>
        <v>0</v>
      </c>
      <c r="K361" s="18">
        <f t="shared" si="15"/>
        <v>0</v>
      </c>
      <c r="L361" s="21">
        <f>IF(ISERROR(VLOOKUP($F361,#REF!,6,0)*G361/1000),0,VLOOKUP($F361,#REF!,6,0)*G361/1000)</f>
        <v>0</v>
      </c>
      <c r="M361" s="21">
        <f>IF(ISERROR(VLOOKUP($F361,#REF!,6,0)*H361/1000),0,VLOOKUP($F361,#REF!,6,0)*H361/1000)</f>
        <v>0</v>
      </c>
      <c r="N361" s="21">
        <f>IF(ISERROR(VLOOKUP($F361,#REF!,6,0)*I361/1000),0,VLOOKUP($F361,#REF!,6,0)*I361/1000)</f>
        <v>0</v>
      </c>
      <c r="O361" s="21">
        <f>IF(ISERROR(VLOOKUP($F361,#REF!,6,0)*J361/1000),0,VLOOKUP($F361,#REF!,6,0)*J361/1000)</f>
        <v>0</v>
      </c>
      <c r="P361" s="21">
        <f>IF(ISERROR(VLOOKUP(F361,#REF!,6,0)*K361/1000),0,VLOOKUP(F361,#REF!,6,0)*K361/1000)</f>
        <v>0</v>
      </c>
      <c r="Q361" s="6">
        <f>IF(ISERROR(VLOOKUP(F361,#REF!,3,0)),0,VLOOKUP(F361,#REF!,3,0))</f>
        <v>0</v>
      </c>
      <c r="R361" s="6">
        <f>IF(ISERROR(VLOOKUP(F361,#REF!,4,0)),0,VLOOKUP(F361,#REF!,4,0))</f>
        <v>0</v>
      </c>
      <c r="S361" s="8">
        <f>IF(ISERROR(VLOOKUP(F361,#REF!,4,0)),0,VLOOKUP(F361,#REF!,10,0)/60*K361)</f>
        <v>0</v>
      </c>
      <c r="T361" s="3"/>
      <c r="U361" s="3"/>
      <c r="V361" s="4"/>
    </row>
    <row r="362" spans="1:22" x14ac:dyDescent="0.3">
      <c r="A362" s="5">
        <f t="shared" si="16"/>
        <v>0</v>
      </c>
      <c r="B362" s="6">
        <f t="shared" si="17"/>
        <v>0</v>
      </c>
      <c r="K362" s="18">
        <f t="shared" si="15"/>
        <v>0</v>
      </c>
      <c r="L362" s="21">
        <f>IF(ISERROR(VLOOKUP($F362,#REF!,6,0)*G362/1000),0,VLOOKUP($F362,#REF!,6,0)*G362/1000)</f>
        <v>0</v>
      </c>
      <c r="M362" s="21">
        <f>IF(ISERROR(VLOOKUP($F362,#REF!,6,0)*H362/1000),0,VLOOKUP($F362,#REF!,6,0)*H362/1000)</f>
        <v>0</v>
      </c>
      <c r="N362" s="21">
        <f>IF(ISERROR(VLOOKUP($F362,#REF!,6,0)*I362/1000),0,VLOOKUP($F362,#REF!,6,0)*I362/1000)</f>
        <v>0</v>
      </c>
      <c r="O362" s="21">
        <f>IF(ISERROR(VLOOKUP($F362,#REF!,6,0)*J362/1000),0,VLOOKUP($F362,#REF!,6,0)*J362/1000)</f>
        <v>0</v>
      </c>
      <c r="P362" s="21">
        <f>IF(ISERROR(VLOOKUP(F362,#REF!,6,0)*K362/1000),0,VLOOKUP(F362,#REF!,6,0)*K362/1000)</f>
        <v>0</v>
      </c>
      <c r="Q362" s="6">
        <f>IF(ISERROR(VLOOKUP(F362,#REF!,3,0)),0,VLOOKUP(F362,#REF!,3,0))</f>
        <v>0</v>
      </c>
      <c r="R362" s="6">
        <f>IF(ISERROR(VLOOKUP(F362,#REF!,4,0)),0,VLOOKUP(F362,#REF!,4,0))</f>
        <v>0</v>
      </c>
      <c r="S362" s="8">
        <f>IF(ISERROR(VLOOKUP(F362,#REF!,4,0)),0,VLOOKUP(F362,#REF!,10,0)/60*K362)</f>
        <v>0</v>
      </c>
      <c r="T362" s="3"/>
      <c r="U362" s="3"/>
      <c r="V362" s="4"/>
    </row>
    <row r="363" spans="1:22" x14ac:dyDescent="0.3">
      <c r="A363" s="5">
        <f t="shared" si="16"/>
        <v>0</v>
      </c>
      <c r="B363" s="6">
        <f t="shared" si="17"/>
        <v>0</v>
      </c>
      <c r="K363" s="18">
        <f t="shared" si="15"/>
        <v>0</v>
      </c>
      <c r="L363" s="21">
        <f>IF(ISERROR(VLOOKUP($F363,#REF!,6,0)*G363/1000),0,VLOOKUP($F363,#REF!,6,0)*G363/1000)</f>
        <v>0</v>
      </c>
      <c r="M363" s="21">
        <f>IF(ISERROR(VLOOKUP($F363,#REF!,6,0)*H363/1000),0,VLOOKUP($F363,#REF!,6,0)*H363/1000)</f>
        <v>0</v>
      </c>
      <c r="N363" s="21">
        <f>IF(ISERROR(VLOOKUP($F363,#REF!,6,0)*I363/1000),0,VLOOKUP($F363,#REF!,6,0)*I363/1000)</f>
        <v>0</v>
      </c>
      <c r="O363" s="21">
        <f>IF(ISERROR(VLOOKUP($F363,#REF!,6,0)*J363/1000),0,VLOOKUP($F363,#REF!,6,0)*J363/1000)</f>
        <v>0</v>
      </c>
      <c r="P363" s="21">
        <f>IF(ISERROR(VLOOKUP(F363,#REF!,6,0)*K363/1000),0,VLOOKUP(F363,#REF!,6,0)*K363/1000)</f>
        <v>0</v>
      </c>
      <c r="Q363" s="6">
        <f>IF(ISERROR(VLOOKUP(F363,#REF!,3,0)),0,VLOOKUP(F363,#REF!,3,0))</f>
        <v>0</v>
      </c>
      <c r="R363" s="6">
        <f>IF(ISERROR(VLOOKUP(F363,#REF!,4,0)),0,VLOOKUP(F363,#REF!,4,0))</f>
        <v>0</v>
      </c>
      <c r="S363" s="8">
        <f>IF(ISERROR(VLOOKUP(F363,#REF!,4,0)),0,VLOOKUP(F363,#REF!,10,0)/60*K363)</f>
        <v>0</v>
      </c>
      <c r="T363" s="3"/>
      <c r="U363" s="3"/>
      <c r="V363" s="4"/>
    </row>
    <row r="364" spans="1:22" x14ac:dyDescent="0.3">
      <c r="A364" s="5">
        <f t="shared" si="16"/>
        <v>0</v>
      </c>
      <c r="B364" s="6">
        <f t="shared" si="17"/>
        <v>0</v>
      </c>
      <c r="K364" s="18">
        <f t="shared" si="15"/>
        <v>0</v>
      </c>
      <c r="L364" s="21">
        <f>IF(ISERROR(VLOOKUP($F364,#REF!,6,0)*G364/1000),0,VLOOKUP($F364,#REF!,6,0)*G364/1000)</f>
        <v>0</v>
      </c>
      <c r="M364" s="21">
        <f>IF(ISERROR(VLOOKUP($F364,#REF!,6,0)*H364/1000),0,VLOOKUP($F364,#REF!,6,0)*H364/1000)</f>
        <v>0</v>
      </c>
      <c r="N364" s="21">
        <f>IF(ISERROR(VLOOKUP($F364,#REF!,6,0)*I364/1000),0,VLOOKUP($F364,#REF!,6,0)*I364/1000)</f>
        <v>0</v>
      </c>
      <c r="O364" s="21">
        <f>IF(ISERROR(VLOOKUP($F364,#REF!,6,0)*J364/1000),0,VLOOKUP($F364,#REF!,6,0)*J364/1000)</f>
        <v>0</v>
      </c>
      <c r="P364" s="21">
        <f>IF(ISERROR(VLOOKUP(F364,#REF!,6,0)*K364/1000),0,VLOOKUP(F364,#REF!,6,0)*K364/1000)</f>
        <v>0</v>
      </c>
      <c r="Q364" s="6">
        <f>IF(ISERROR(VLOOKUP(F364,#REF!,3,0)),0,VLOOKUP(F364,#REF!,3,0))</f>
        <v>0</v>
      </c>
      <c r="R364" s="6">
        <f>IF(ISERROR(VLOOKUP(F364,#REF!,4,0)),0,VLOOKUP(F364,#REF!,4,0))</f>
        <v>0</v>
      </c>
      <c r="S364" s="8">
        <f>IF(ISERROR(VLOOKUP(F364,#REF!,4,0)),0,VLOOKUP(F364,#REF!,10,0)/60*K364)</f>
        <v>0</v>
      </c>
      <c r="T364" s="3"/>
      <c r="U364" s="3"/>
      <c r="V364" s="4"/>
    </row>
    <row r="365" spans="1:22" x14ac:dyDescent="0.3">
      <c r="A365" s="5">
        <f t="shared" si="16"/>
        <v>0</v>
      </c>
      <c r="B365" s="6">
        <f t="shared" si="17"/>
        <v>0</v>
      </c>
      <c r="K365" s="18">
        <f t="shared" si="15"/>
        <v>0</v>
      </c>
      <c r="L365" s="21">
        <f>IF(ISERROR(VLOOKUP($F365,#REF!,6,0)*G365/1000),0,VLOOKUP($F365,#REF!,6,0)*G365/1000)</f>
        <v>0</v>
      </c>
      <c r="M365" s="21">
        <f>IF(ISERROR(VLOOKUP($F365,#REF!,6,0)*H365/1000),0,VLOOKUP($F365,#REF!,6,0)*H365/1000)</f>
        <v>0</v>
      </c>
      <c r="N365" s="21">
        <f>IF(ISERROR(VLOOKUP($F365,#REF!,6,0)*I365/1000),0,VLOOKUP($F365,#REF!,6,0)*I365/1000)</f>
        <v>0</v>
      </c>
      <c r="O365" s="21">
        <f>IF(ISERROR(VLOOKUP($F365,#REF!,6,0)*J365/1000),0,VLOOKUP($F365,#REF!,6,0)*J365/1000)</f>
        <v>0</v>
      </c>
      <c r="P365" s="21">
        <f>IF(ISERROR(VLOOKUP(F365,#REF!,6,0)*K365/1000),0,VLOOKUP(F365,#REF!,6,0)*K365/1000)</f>
        <v>0</v>
      </c>
      <c r="Q365" s="6">
        <f>IF(ISERROR(VLOOKUP(F365,#REF!,3,0)),0,VLOOKUP(F365,#REF!,3,0))</f>
        <v>0</v>
      </c>
      <c r="R365" s="6">
        <f>IF(ISERROR(VLOOKUP(F365,#REF!,4,0)),0,VLOOKUP(F365,#REF!,4,0))</f>
        <v>0</v>
      </c>
      <c r="S365" s="8">
        <f>IF(ISERROR(VLOOKUP(F365,#REF!,4,0)),0,VLOOKUP(F365,#REF!,10,0)/60*K365)</f>
        <v>0</v>
      </c>
      <c r="T365" s="3"/>
      <c r="U365" s="3"/>
      <c r="V365" s="4"/>
    </row>
    <row r="366" spans="1:22" x14ac:dyDescent="0.3">
      <c r="A366" s="5">
        <f t="shared" si="16"/>
        <v>0</v>
      </c>
      <c r="B366" s="6">
        <f t="shared" si="17"/>
        <v>0</v>
      </c>
      <c r="K366" s="18">
        <f t="shared" si="15"/>
        <v>0</v>
      </c>
      <c r="L366" s="21">
        <f>IF(ISERROR(VLOOKUP($F366,#REF!,6,0)*G366/1000),0,VLOOKUP($F366,#REF!,6,0)*G366/1000)</f>
        <v>0</v>
      </c>
      <c r="M366" s="21">
        <f>IF(ISERROR(VLOOKUP($F366,#REF!,6,0)*H366/1000),0,VLOOKUP($F366,#REF!,6,0)*H366/1000)</f>
        <v>0</v>
      </c>
      <c r="N366" s="21">
        <f>IF(ISERROR(VLOOKUP($F366,#REF!,6,0)*I366/1000),0,VLOOKUP($F366,#REF!,6,0)*I366/1000)</f>
        <v>0</v>
      </c>
      <c r="O366" s="21">
        <f>IF(ISERROR(VLOOKUP($F366,#REF!,6,0)*J366/1000),0,VLOOKUP($F366,#REF!,6,0)*J366/1000)</f>
        <v>0</v>
      </c>
      <c r="P366" s="21">
        <f>IF(ISERROR(VLOOKUP(F366,#REF!,6,0)*K366/1000),0,VLOOKUP(F366,#REF!,6,0)*K366/1000)</f>
        <v>0</v>
      </c>
      <c r="Q366" s="6">
        <f>IF(ISERROR(VLOOKUP(F366,#REF!,3,0)),0,VLOOKUP(F366,#REF!,3,0))</f>
        <v>0</v>
      </c>
      <c r="R366" s="6">
        <f>IF(ISERROR(VLOOKUP(F366,#REF!,4,0)),0,VLOOKUP(F366,#REF!,4,0))</f>
        <v>0</v>
      </c>
      <c r="S366" s="8">
        <f>IF(ISERROR(VLOOKUP(F366,#REF!,4,0)),0,VLOOKUP(F366,#REF!,10,0)/60*K366)</f>
        <v>0</v>
      </c>
      <c r="T366" s="3"/>
      <c r="U366" s="3"/>
      <c r="V366" s="4"/>
    </row>
    <row r="367" spans="1:22" x14ac:dyDescent="0.3">
      <c r="A367" s="5">
        <f t="shared" si="16"/>
        <v>0</v>
      </c>
      <c r="B367" s="6">
        <f t="shared" si="17"/>
        <v>0</v>
      </c>
      <c r="K367" s="18">
        <f t="shared" si="15"/>
        <v>0</v>
      </c>
      <c r="L367" s="21">
        <f>IF(ISERROR(VLOOKUP($F367,#REF!,6,0)*G367/1000),0,VLOOKUP($F367,#REF!,6,0)*G367/1000)</f>
        <v>0</v>
      </c>
      <c r="M367" s="21">
        <f>IF(ISERROR(VLOOKUP($F367,#REF!,6,0)*H367/1000),0,VLOOKUP($F367,#REF!,6,0)*H367/1000)</f>
        <v>0</v>
      </c>
      <c r="N367" s="21">
        <f>IF(ISERROR(VLOOKUP($F367,#REF!,6,0)*I367/1000),0,VLOOKUP($F367,#REF!,6,0)*I367/1000)</f>
        <v>0</v>
      </c>
      <c r="O367" s="21">
        <f>IF(ISERROR(VLOOKUP($F367,#REF!,6,0)*J367/1000),0,VLOOKUP($F367,#REF!,6,0)*J367/1000)</f>
        <v>0</v>
      </c>
      <c r="P367" s="21">
        <f>IF(ISERROR(VLOOKUP(F367,#REF!,6,0)*K367/1000),0,VLOOKUP(F367,#REF!,6,0)*K367/1000)</f>
        <v>0</v>
      </c>
      <c r="Q367" s="6">
        <f>IF(ISERROR(VLOOKUP(F367,#REF!,3,0)),0,VLOOKUP(F367,#REF!,3,0))</f>
        <v>0</v>
      </c>
      <c r="R367" s="6">
        <f>IF(ISERROR(VLOOKUP(F367,#REF!,4,0)),0,VLOOKUP(F367,#REF!,4,0))</f>
        <v>0</v>
      </c>
      <c r="S367" s="8">
        <f>IF(ISERROR(VLOOKUP(F367,#REF!,4,0)),0,VLOOKUP(F367,#REF!,10,0)/60*K367)</f>
        <v>0</v>
      </c>
      <c r="T367" s="3"/>
      <c r="U367" s="3"/>
      <c r="V367" s="4"/>
    </row>
    <row r="368" spans="1:22" x14ac:dyDescent="0.3">
      <c r="A368" s="5">
        <f t="shared" si="16"/>
        <v>0</v>
      </c>
      <c r="B368" s="6">
        <f t="shared" si="17"/>
        <v>0</v>
      </c>
      <c r="K368" s="18">
        <f t="shared" si="15"/>
        <v>0</v>
      </c>
      <c r="L368" s="21">
        <f>IF(ISERROR(VLOOKUP($F368,#REF!,6,0)*G368/1000),0,VLOOKUP($F368,#REF!,6,0)*G368/1000)</f>
        <v>0</v>
      </c>
      <c r="M368" s="21">
        <f>IF(ISERROR(VLOOKUP($F368,#REF!,6,0)*H368/1000),0,VLOOKUP($F368,#REF!,6,0)*H368/1000)</f>
        <v>0</v>
      </c>
      <c r="N368" s="21">
        <f>IF(ISERROR(VLOOKUP($F368,#REF!,6,0)*I368/1000),0,VLOOKUP($F368,#REF!,6,0)*I368/1000)</f>
        <v>0</v>
      </c>
      <c r="O368" s="21">
        <f>IF(ISERROR(VLOOKUP($F368,#REF!,6,0)*J368/1000),0,VLOOKUP($F368,#REF!,6,0)*J368/1000)</f>
        <v>0</v>
      </c>
      <c r="P368" s="21">
        <f>IF(ISERROR(VLOOKUP(F368,#REF!,6,0)*K368/1000),0,VLOOKUP(F368,#REF!,6,0)*K368/1000)</f>
        <v>0</v>
      </c>
      <c r="Q368" s="6">
        <f>IF(ISERROR(VLOOKUP(F368,#REF!,3,0)),0,VLOOKUP(F368,#REF!,3,0))</f>
        <v>0</v>
      </c>
      <c r="R368" s="6">
        <f>IF(ISERROR(VLOOKUP(F368,#REF!,4,0)),0,VLOOKUP(F368,#REF!,4,0))</f>
        <v>0</v>
      </c>
      <c r="S368" s="8">
        <f>IF(ISERROR(VLOOKUP(F368,#REF!,4,0)),0,VLOOKUP(F368,#REF!,10,0)/60*K368)</f>
        <v>0</v>
      </c>
      <c r="T368" s="3"/>
      <c r="U368" s="3"/>
      <c r="V368" s="4"/>
    </row>
    <row r="369" spans="1:22" x14ac:dyDescent="0.3">
      <c r="A369" s="5">
        <f t="shared" si="16"/>
        <v>0</v>
      </c>
      <c r="B369" s="6">
        <f t="shared" si="17"/>
        <v>0</v>
      </c>
      <c r="K369" s="18">
        <f t="shared" si="15"/>
        <v>0</v>
      </c>
      <c r="L369" s="21">
        <f>IF(ISERROR(VLOOKUP($F369,#REF!,6,0)*G369/1000),0,VLOOKUP($F369,#REF!,6,0)*G369/1000)</f>
        <v>0</v>
      </c>
      <c r="M369" s="21">
        <f>IF(ISERROR(VLOOKUP($F369,#REF!,6,0)*H369/1000),0,VLOOKUP($F369,#REF!,6,0)*H369/1000)</f>
        <v>0</v>
      </c>
      <c r="N369" s="21">
        <f>IF(ISERROR(VLOOKUP($F369,#REF!,6,0)*I369/1000),0,VLOOKUP($F369,#REF!,6,0)*I369/1000)</f>
        <v>0</v>
      </c>
      <c r="O369" s="21">
        <f>IF(ISERROR(VLOOKUP($F369,#REF!,6,0)*J369/1000),0,VLOOKUP($F369,#REF!,6,0)*J369/1000)</f>
        <v>0</v>
      </c>
      <c r="P369" s="21">
        <f>IF(ISERROR(VLOOKUP(F369,#REF!,6,0)*K369/1000),0,VLOOKUP(F369,#REF!,6,0)*K369/1000)</f>
        <v>0</v>
      </c>
      <c r="Q369" s="6">
        <f>IF(ISERROR(VLOOKUP(F369,#REF!,3,0)),0,VLOOKUP(F369,#REF!,3,0))</f>
        <v>0</v>
      </c>
      <c r="R369" s="6">
        <f>IF(ISERROR(VLOOKUP(F369,#REF!,4,0)),0,VLOOKUP(F369,#REF!,4,0))</f>
        <v>0</v>
      </c>
      <c r="S369" s="8">
        <f>IF(ISERROR(VLOOKUP(F369,#REF!,4,0)),0,VLOOKUP(F369,#REF!,10,0)/60*K369)</f>
        <v>0</v>
      </c>
      <c r="T369" s="3"/>
      <c r="U369" s="3"/>
      <c r="V369" s="4"/>
    </row>
    <row r="370" spans="1:22" x14ac:dyDescent="0.3">
      <c r="A370" s="5">
        <f t="shared" si="16"/>
        <v>0</v>
      </c>
      <c r="B370" s="6">
        <f t="shared" si="17"/>
        <v>0</v>
      </c>
      <c r="K370" s="18">
        <f t="shared" si="15"/>
        <v>0</v>
      </c>
      <c r="L370" s="21">
        <f>IF(ISERROR(VLOOKUP($F370,#REF!,6,0)*G370/1000),0,VLOOKUP($F370,#REF!,6,0)*G370/1000)</f>
        <v>0</v>
      </c>
      <c r="M370" s="21">
        <f>IF(ISERROR(VLOOKUP($F370,#REF!,6,0)*H370/1000),0,VLOOKUP($F370,#REF!,6,0)*H370/1000)</f>
        <v>0</v>
      </c>
      <c r="N370" s="21">
        <f>IF(ISERROR(VLOOKUP($F370,#REF!,6,0)*I370/1000),0,VLOOKUP($F370,#REF!,6,0)*I370/1000)</f>
        <v>0</v>
      </c>
      <c r="O370" s="21">
        <f>IF(ISERROR(VLOOKUP($F370,#REF!,6,0)*J370/1000),0,VLOOKUP($F370,#REF!,6,0)*J370/1000)</f>
        <v>0</v>
      </c>
      <c r="P370" s="21">
        <f>IF(ISERROR(VLOOKUP(F370,#REF!,6,0)*K370/1000),0,VLOOKUP(F370,#REF!,6,0)*K370/1000)</f>
        <v>0</v>
      </c>
      <c r="Q370" s="6">
        <f>IF(ISERROR(VLOOKUP(F370,#REF!,3,0)),0,VLOOKUP(F370,#REF!,3,0))</f>
        <v>0</v>
      </c>
      <c r="R370" s="6">
        <f>IF(ISERROR(VLOOKUP(F370,#REF!,4,0)),0,VLOOKUP(F370,#REF!,4,0))</f>
        <v>0</v>
      </c>
      <c r="S370" s="8">
        <f>IF(ISERROR(VLOOKUP(F370,#REF!,4,0)),0,VLOOKUP(F370,#REF!,10,0)/60*K370)</f>
        <v>0</v>
      </c>
      <c r="T370" s="3"/>
      <c r="U370" s="3"/>
      <c r="V370" s="4"/>
    </row>
    <row r="371" spans="1:22" x14ac:dyDescent="0.3">
      <c r="A371" s="5">
        <f t="shared" si="16"/>
        <v>0</v>
      </c>
      <c r="B371" s="6">
        <f t="shared" si="17"/>
        <v>0</v>
      </c>
      <c r="K371" s="18">
        <f t="shared" si="15"/>
        <v>0</v>
      </c>
      <c r="L371" s="21">
        <f>IF(ISERROR(VLOOKUP($F371,#REF!,6,0)*G371/1000),0,VLOOKUP($F371,#REF!,6,0)*G371/1000)</f>
        <v>0</v>
      </c>
      <c r="M371" s="21">
        <f>IF(ISERROR(VLOOKUP($F371,#REF!,6,0)*H371/1000),0,VLOOKUP($F371,#REF!,6,0)*H371/1000)</f>
        <v>0</v>
      </c>
      <c r="N371" s="21">
        <f>IF(ISERROR(VLOOKUP($F371,#REF!,6,0)*I371/1000),0,VLOOKUP($F371,#REF!,6,0)*I371/1000)</f>
        <v>0</v>
      </c>
      <c r="O371" s="21">
        <f>IF(ISERROR(VLOOKUP($F371,#REF!,6,0)*J371/1000),0,VLOOKUP($F371,#REF!,6,0)*J371/1000)</f>
        <v>0</v>
      </c>
      <c r="P371" s="21">
        <f>IF(ISERROR(VLOOKUP(F371,#REF!,6,0)*K371/1000),0,VLOOKUP(F371,#REF!,6,0)*K371/1000)</f>
        <v>0</v>
      </c>
      <c r="Q371" s="6">
        <f>IF(ISERROR(VLOOKUP(F371,#REF!,3,0)),0,VLOOKUP(F371,#REF!,3,0))</f>
        <v>0</v>
      </c>
      <c r="R371" s="6">
        <f>IF(ISERROR(VLOOKUP(F371,#REF!,4,0)),0,VLOOKUP(F371,#REF!,4,0))</f>
        <v>0</v>
      </c>
      <c r="S371" s="8">
        <f>IF(ISERROR(VLOOKUP(F371,#REF!,4,0)),0,VLOOKUP(F371,#REF!,10,0)/60*K371)</f>
        <v>0</v>
      </c>
      <c r="T371" s="3"/>
      <c r="U371" s="3"/>
      <c r="V371" s="4"/>
    </row>
    <row r="372" spans="1:22" x14ac:dyDescent="0.3">
      <c r="A372" s="5">
        <f t="shared" si="16"/>
        <v>0</v>
      </c>
      <c r="B372" s="6">
        <f t="shared" si="17"/>
        <v>0</v>
      </c>
      <c r="K372" s="18">
        <f t="shared" si="15"/>
        <v>0</v>
      </c>
      <c r="L372" s="21">
        <f>IF(ISERROR(VLOOKUP($F372,#REF!,6,0)*G372/1000),0,VLOOKUP($F372,#REF!,6,0)*G372/1000)</f>
        <v>0</v>
      </c>
      <c r="M372" s="21">
        <f>IF(ISERROR(VLOOKUP($F372,#REF!,6,0)*H372/1000),0,VLOOKUP($F372,#REF!,6,0)*H372/1000)</f>
        <v>0</v>
      </c>
      <c r="N372" s="21">
        <f>IF(ISERROR(VLOOKUP($F372,#REF!,6,0)*I372/1000),0,VLOOKUP($F372,#REF!,6,0)*I372/1000)</f>
        <v>0</v>
      </c>
      <c r="O372" s="21">
        <f>IF(ISERROR(VLOOKUP($F372,#REF!,6,0)*J372/1000),0,VLOOKUP($F372,#REF!,6,0)*J372/1000)</f>
        <v>0</v>
      </c>
      <c r="P372" s="21">
        <f>IF(ISERROR(VLOOKUP(F372,#REF!,6,0)*K372/1000),0,VLOOKUP(F372,#REF!,6,0)*K372/1000)</f>
        <v>0</v>
      </c>
      <c r="Q372" s="6">
        <f>IF(ISERROR(VLOOKUP(F372,#REF!,3,0)),0,VLOOKUP(F372,#REF!,3,0))</f>
        <v>0</v>
      </c>
      <c r="R372" s="6">
        <f>IF(ISERROR(VLOOKUP(F372,#REF!,4,0)),0,VLOOKUP(F372,#REF!,4,0))</f>
        <v>0</v>
      </c>
      <c r="S372" s="8">
        <f>IF(ISERROR(VLOOKUP(F372,#REF!,4,0)),0,VLOOKUP(F372,#REF!,10,0)/60*K372)</f>
        <v>0</v>
      </c>
      <c r="T372" s="3"/>
      <c r="U372" s="3"/>
      <c r="V372" s="4"/>
    </row>
    <row r="373" spans="1:22" x14ac:dyDescent="0.3">
      <c r="A373" s="5">
        <f t="shared" si="16"/>
        <v>0</v>
      </c>
      <c r="B373" s="6">
        <f t="shared" si="17"/>
        <v>0</v>
      </c>
      <c r="K373" s="18">
        <f t="shared" si="15"/>
        <v>0</v>
      </c>
      <c r="L373" s="21">
        <f>IF(ISERROR(VLOOKUP($F373,#REF!,6,0)*G373/1000),0,VLOOKUP($F373,#REF!,6,0)*G373/1000)</f>
        <v>0</v>
      </c>
      <c r="M373" s="21">
        <f>IF(ISERROR(VLOOKUP($F373,#REF!,6,0)*H373/1000),0,VLOOKUP($F373,#REF!,6,0)*H373/1000)</f>
        <v>0</v>
      </c>
      <c r="N373" s="21">
        <f>IF(ISERROR(VLOOKUP($F373,#REF!,6,0)*I373/1000),0,VLOOKUP($F373,#REF!,6,0)*I373/1000)</f>
        <v>0</v>
      </c>
      <c r="O373" s="21">
        <f>IF(ISERROR(VLOOKUP($F373,#REF!,6,0)*J373/1000),0,VLOOKUP($F373,#REF!,6,0)*J373/1000)</f>
        <v>0</v>
      </c>
      <c r="P373" s="21">
        <f>IF(ISERROR(VLOOKUP(F373,#REF!,6,0)*K373/1000),0,VLOOKUP(F373,#REF!,6,0)*K373/1000)</f>
        <v>0</v>
      </c>
      <c r="Q373" s="6">
        <f>IF(ISERROR(VLOOKUP(F373,#REF!,3,0)),0,VLOOKUP(F373,#REF!,3,0))</f>
        <v>0</v>
      </c>
      <c r="R373" s="6">
        <f>IF(ISERROR(VLOOKUP(F373,#REF!,4,0)),0,VLOOKUP(F373,#REF!,4,0))</f>
        <v>0</v>
      </c>
      <c r="S373" s="8">
        <f>IF(ISERROR(VLOOKUP(F373,#REF!,4,0)),0,VLOOKUP(F373,#REF!,10,0)/60*K373)</f>
        <v>0</v>
      </c>
      <c r="T373" s="3"/>
      <c r="U373" s="3"/>
      <c r="V373" s="4"/>
    </row>
    <row r="374" spans="1:22" x14ac:dyDescent="0.3">
      <c r="A374" s="5">
        <f t="shared" si="16"/>
        <v>0</v>
      </c>
      <c r="B374" s="6">
        <f t="shared" si="17"/>
        <v>0</v>
      </c>
      <c r="K374" s="18">
        <f t="shared" si="15"/>
        <v>0</v>
      </c>
      <c r="L374" s="21">
        <f>IF(ISERROR(VLOOKUP($F374,#REF!,6,0)*G374/1000),0,VLOOKUP($F374,#REF!,6,0)*G374/1000)</f>
        <v>0</v>
      </c>
      <c r="M374" s="21">
        <f>IF(ISERROR(VLOOKUP($F374,#REF!,6,0)*H374/1000),0,VLOOKUP($F374,#REF!,6,0)*H374/1000)</f>
        <v>0</v>
      </c>
      <c r="N374" s="21">
        <f>IF(ISERROR(VLOOKUP($F374,#REF!,6,0)*I374/1000),0,VLOOKUP($F374,#REF!,6,0)*I374/1000)</f>
        <v>0</v>
      </c>
      <c r="O374" s="21">
        <f>IF(ISERROR(VLOOKUP($F374,#REF!,6,0)*J374/1000),0,VLOOKUP($F374,#REF!,6,0)*J374/1000)</f>
        <v>0</v>
      </c>
      <c r="P374" s="21">
        <f>IF(ISERROR(VLOOKUP(F374,#REF!,6,0)*K374/1000),0,VLOOKUP(F374,#REF!,6,0)*K374/1000)</f>
        <v>0</v>
      </c>
      <c r="Q374" s="6">
        <f>IF(ISERROR(VLOOKUP(F374,#REF!,3,0)),0,VLOOKUP(F374,#REF!,3,0))</f>
        <v>0</v>
      </c>
      <c r="R374" s="6">
        <f>IF(ISERROR(VLOOKUP(F374,#REF!,4,0)),0,VLOOKUP(F374,#REF!,4,0))</f>
        <v>0</v>
      </c>
      <c r="S374" s="8">
        <f>IF(ISERROR(VLOOKUP(F374,#REF!,4,0)),0,VLOOKUP(F374,#REF!,10,0)/60*K374)</f>
        <v>0</v>
      </c>
      <c r="T374" s="3"/>
      <c r="U374" s="3"/>
      <c r="V374" s="4"/>
    </row>
    <row r="375" spans="1:22" x14ac:dyDescent="0.3">
      <c r="A375" s="5">
        <f t="shared" si="16"/>
        <v>0</v>
      </c>
      <c r="B375" s="6">
        <f t="shared" si="17"/>
        <v>0</v>
      </c>
      <c r="K375" s="18">
        <f t="shared" si="15"/>
        <v>0</v>
      </c>
      <c r="L375" s="21">
        <f>IF(ISERROR(VLOOKUP($F375,#REF!,6,0)*G375/1000),0,VLOOKUP($F375,#REF!,6,0)*G375/1000)</f>
        <v>0</v>
      </c>
      <c r="M375" s="21">
        <f>IF(ISERROR(VLOOKUP($F375,#REF!,6,0)*H375/1000),0,VLOOKUP($F375,#REF!,6,0)*H375/1000)</f>
        <v>0</v>
      </c>
      <c r="N375" s="21">
        <f>IF(ISERROR(VLOOKUP($F375,#REF!,6,0)*I375/1000),0,VLOOKUP($F375,#REF!,6,0)*I375/1000)</f>
        <v>0</v>
      </c>
      <c r="O375" s="21">
        <f>IF(ISERROR(VLOOKUP($F375,#REF!,6,0)*J375/1000),0,VLOOKUP($F375,#REF!,6,0)*J375/1000)</f>
        <v>0</v>
      </c>
      <c r="P375" s="21">
        <f>IF(ISERROR(VLOOKUP(F375,#REF!,6,0)*K375/1000),0,VLOOKUP(F375,#REF!,6,0)*K375/1000)</f>
        <v>0</v>
      </c>
      <c r="Q375" s="6">
        <f>IF(ISERROR(VLOOKUP(F375,#REF!,3,0)),0,VLOOKUP(F375,#REF!,3,0))</f>
        <v>0</v>
      </c>
      <c r="R375" s="6">
        <f>IF(ISERROR(VLOOKUP(F375,#REF!,4,0)),0,VLOOKUP(F375,#REF!,4,0))</f>
        <v>0</v>
      </c>
      <c r="S375" s="8">
        <f>IF(ISERROR(VLOOKUP(F375,#REF!,4,0)),0,VLOOKUP(F375,#REF!,10,0)/60*K375)</f>
        <v>0</v>
      </c>
      <c r="T375" s="3"/>
      <c r="U375" s="3"/>
      <c r="V375" s="4"/>
    </row>
    <row r="376" spans="1:22" x14ac:dyDescent="0.3">
      <c r="A376" s="5">
        <f t="shared" si="16"/>
        <v>0</v>
      </c>
      <c r="B376" s="6">
        <f t="shared" si="17"/>
        <v>0</v>
      </c>
      <c r="K376" s="18">
        <f t="shared" si="15"/>
        <v>0</v>
      </c>
      <c r="L376" s="21">
        <f>IF(ISERROR(VLOOKUP($F376,#REF!,6,0)*G376/1000),0,VLOOKUP($F376,#REF!,6,0)*G376/1000)</f>
        <v>0</v>
      </c>
      <c r="M376" s="21">
        <f>IF(ISERROR(VLOOKUP($F376,#REF!,6,0)*H376/1000),0,VLOOKUP($F376,#REF!,6,0)*H376/1000)</f>
        <v>0</v>
      </c>
      <c r="N376" s="21">
        <f>IF(ISERROR(VLOOKUP($F376,#REF!,6,0)*I376/1000),0,VLOOKUP($F376,#REF!,6,0)*I376/1000)</f>
        <v>0</v>
      </c>
      <c r="O376" s="21">
        <f>IF(ISERROR(VLOOKUP($F376,#REF!,6,0)*J376/1000),0,VLOOKUP($F376,#REF!,6,0)*J376/1000)</f>
        <v>0</v>
      </c>
      <c r="P376" s="21">
        <f>IF(ISERROR(VLOOKUP(F376,#REF!,6,0)*K376/1000),0,VLOOKUP(F376,#REF!,6,0)*K376/1000)</f>
        <v>0</v>
      </c>
      <c r="Q376" s="6">
        <f>IF(ISERROR(VLOOKUP(F376,#REF!,3,0)),0,VLOOKUP(F376,#REF!,3,0))</f>
        <v>0</v>
      </c>
      <c r="R376" s="6">
        <f>IF(ISERROR(VLOOKUP(F376,#REF!,4,0)),0,VLOOKUP(F376,#REF!,4,0))</f>
        <v>0</v>
      </c>
      <c r="S376" s="8">
        <f>IF(ISERROR(VLOOKUP(F376,#REF!,4,0)),0,VLOOKUP(F376,#REF!,10,0)/60*K376)</f>
        <v>0</v>
      </c>
      <c r="T376" s="3"/>
      <c r="U376" s="3"/>
      <c r="V376" s="4"/>
    </row>
    <row r="377" spans="1:22" x14ac:dyDescent="0.3">
      <c r="A377" s="5">
        <f t="shared" si="16"/>
        <v>0</v>
      </c>
      <c r="B377" s="6">
        <f t="shared" si="17"/>
        <v>0</v>
      </c>
      <c r="K377" s="18">
        <f t="shared" si="15"/>
        <v>0</v>
      </c>
      <c r="L377" s="21">
        <f>IF(ISERROR(VLOOKUP($F377,#REF!,6,0)*G377/1000),0,VLOOKUP($F377,#REF!,6,0)*G377/1000)</f>
        <v>0</v>
      </c>
      <c r="M377" s="21">
        <f>IF(ISERROR(VLOOKUP($F377,#REF!,6,0)*H377/1000),0,VLOOKUP($F377,#REF!,6,0)*H377/1000)</f>
        <v>0</v>
      </c>
      <c r="N377" s="21">
        <f>IF(ISERROR(VLOOKUP($F377,#REF!,6,0)*I377/1000),0,VLOOKUP($F377,#REF!,6,0)*I377/1000)</f>
        <v>0</v>
      </c>
      <c r="O377" s="21">
        <f>IF(ISERROR(VLOOKUP($F377,#REF!,6,0)*J377/1000),0,VLOOKUP($F377,#REF!,6,0)*J377/1000)</f>
        <v>0</v>
      </c>
      <c r="P377" s="21">
        <f>IF(ISERROR(VLOOKUP(F377,#REF!,6,0)*K377/1000),0,VLOOKUP(F377,#REF!,6,0)*K377/1000)</f>
        <v>0</v>
      </c>
      <c r="Q377" s="6">
        <f>IF(ISERROR(VLOOKUP(F377,#REF!,3,0)),0,VLOOKUP(F377,#REF!,3,0))</f>
        <v>0</v>
      </c>
      <c r="R377" s="6">
        <f>IF(ISERROR(VLOOKUP(F377,#REF!,4,0)),0,VLOOKUP(F377,#REF!,4,0))</f>
        <v>0</v>
      </c>
      <c r="S377" s="8">
        <f>IF(ISERROR(VLOOKUP(F377,#REF!,4,0)),0,VLOOKUP(F377,#REF!,10,0)/60*K377)</f>
        <v>0</v>
      </c>
      <c r="T377" s="3"/>
      <c r="U377" s="3"/>
      <c r="V377" s="4"/>
    </row>
    <row r="378" spans="1:22" x14ac:dyDescent="0.3">
      <c r="A378" s="5">
        <f t="shared" si="16"/>
        <v>0</v>
      </c>
      <c r="B378" s="6">
        <f t="shared" si="17"/>
        <v>0</v>
      </c>
      <c r="K378" s="18">
        <f t="shared" si="15"/>
        <v>0</v>
      </c>
      <c r="L378" s="21">
        <f>IF(ISERROR(VLOOKUP($F378,#REF!,6,0)*G378/1000),0,VLOOKUP($F378,#REF!,6,0)*G378/1000)</f>
        <v>0</v>
      </c>
      <c r="M378" s="21">
        <f>IF(ISERROR(VLOOKUP($F378,#REF!,6,0)*H378/1000),0,VLOOKUP($F378,#REF!,6,0)*H378/1000)</f>
        <v>0</v>
      </c>
      <c r="N378" s="21">
        <f>IF(ISERROR(VLOOKUP($F378,#REF!,6,0)*I378/1000),0,VLOOKUP($F378,#REF!,6,0)*I378/1000)</f>
        <v>0</v>
      </c>
      <c r="O378" s="21">
        <f>IF(ISERROR(VLOOKUP($F378,#REF!,6,0)*J378/1000),0,VLOOKUP($F378,#REF!,6,0)*J378/1000)</f>
        <v>0</v>
      </c>
      <c r="P378" s="21">
        <f>IF(ISERROR(VLOOKUP(F378,#REF!,6,0)*K378/1000),0,VLOOKUP(F378,#REF!,6,0)*K378/1000)</f>
        <v>0</v>
      </c>
      <c r="Q378" s="6">
        <f>IF(ISERROR(VLOOKUP(F378,#REF!,3,0)),0,VLOOKUP(F378,#REF!,3,0))</f>
        <v>0</v>
      </c>
      <c r="R378" s="6">
        <f>IF(ISERROR(VLOOKUP(F378,#REF!,4,0)),0,VLOOKUP(F378,#REF!,4,0))</f>
        <v>0</v>
      </c>
      <c r="S378" s="8">
        <f>IF(ISERROR(VLOOKUP(F378,#REF!,4,0)),0,VLOOKUP(F378,#REF!,10,0)/60*K378)</f>
        <v>0</v>
      </c>
      <c r="T378" s="3"/>
      <c r="U378" s="3"/>
      <c r="V378" s="4"/>
    </row>
    <row r="379" spans="1:22" x14ac:dyDescent="0.3">
      <c r="A379" s="5">
        <f t="shared" si="16"/>
        <v>0</v>
      </c>
      <c r="B379" s="6">
        <f t="shared" si="17"/>
        <v>0</v>
      </c>
      <c r="K379" s="18">
        <f t="shared" si="15"/>
        <v>0</v>
      </c>
      <c r="L379" s="21">
        <f>IF(ISERROR(VLOOKUP($F379,#REF!,6,0)*G379/1000),0,VLOOKUP($F379,#REF!,6,0)*G379/1000)</f>
        <v>0</v>
      </c>
      <c r="M379" s="21">
        <f>IF(ISERROR(VLOOKUP($F379,#REF!,6,0)*H379/1000),0,VLOOKUP($F379,#REF!,6,0)*H379/1000)</f>
        <v>0</v>
      </c>
      <c r="N379" s="21">
        <f>IF(ISERROR(VLOOKUP($F379,#REF!,6,0)*I379/1000),0,VLOOKUP($F379,#REF!,6,0)*I379/1000)</f>
        <v>0</v>
      </c>
      <c r="O379" s="21">
        <f>IF(ISERROR(VLOOKUP($F379,#REF!,6,0)*J379/1000),0,VLOOKUP($F379,#REF!,6,0)*J379/1000)</f>
        <v>0</v>
      </c>
      <c r="P379" s="21">
        <f>IF(ISERROR(VLOOKUP(F379,#REF!,6,0)*K379/1000),0,VLOOKUP(F379,#REF!,6,0)*K379/1000)</f>
        <v>0</v>
      </c>
      <c r="Q379" s="6">
        <f>IF(ISERROR(VLOOKUP(F379,#REF!,3,0)),0,VLOOKUP(F379,#REF!,3,0))</f>
        <v>0</v>
      </c>
      <c r="R379" s="6">
        <f>IF(ISERROR(VLOOKUP(F379,#REF!,4,0)),0,VLOOKUP(F379,#REF!,4,0))</f>
        <v>0</v>
      </c>
      <c r="S379" s="8">
        <f>IF(ISERROR(VLOOKUP(F379,#REF!,4,0)),0,VLOOKUP(F379,#REF!,10,0)/60*K379)</f>
        <v>0</v>
      </c>
      <c r="T379" s="3"/>
      <c r="U379" s="3"/>
      <c r="V379" s="4"/>
    </row>
    <row r="380" spans="1:22" x14ac:dyDescent="0.3">
      <c r="A380" s="5">
        <f t="shared" si="16"/>
        <v>0</v>
      </c>
      <c r="B380" s="6">
        <f t="shared" si="17"/>
        <v>0</v>
      </c>
      <c r="K380" s="18">
        <f t="shared" si="15"/>
        <v>0</v>
      </c>
      <c r="L380" s="21">
        <f>IF(ISERROR(VLOOKUP($F380,#REF!,6,0)*G380/1000),0,VLOOKUP($F380,#REF!,6,0)*G380/1000)</f>
        <v>0</v>
      </c>
      <c r="M380" s="21">
        <f>IF(ISERROR(VLOOKUP($F380,#REF!,6,0)*H380/1000),0,VLOOKUP($F380,#REF!,6,0)*H380/1000)</f>
        <v>0</v>
      </c>
      <c r="N380" s="21">
        <f>IF(ISERROR(VLOOKUP($F380,#REF!,6,0)*I380/1000),0,VLOOKUP($F380,#REF!,6,0)*I380/1000)</f>
        <v>0</v>
      </c>
      <c r="O380" s="21">
        <f>IF(ISERROR(VLOOKUP($F380,#REF!,6,0)*J380/1000),0,VLOOKUP($F380,#REF!,6,0)*J380/1000)</f>
        <v>0</v>
      </c>
      <c r="P380" s="21">
        <f>IF(ISERROR(VLOOKUP(F380,#REF!,6,0)*K380/1000),0,VLOOKUP(F380,#REF!,6,0)*K380/1000)</f>
        <v>0</v>
      </c>
      <c r="Q380" s="6">
        <f>IF(ISERROR(VLOOKUP(F380,#REF!,3,0)),0,VLOOKUP(F380,#REF!,3,0))</f>
        <v>0</v>
      </c>
      <c r="R380" s="6">
        <f>IF(ISERROR(VLOOKUP(F380,#REF!,4,0)),0,VLOOKUP(F380,#REF!,4,0))</f>
        <v>0</v>
      </c>
      <c r="S380" s="8">
        <f>IF(ISERROR(VLOOKUP(F380,#REF!,4,0)),0,VLOOKUP(F380,#REF!,10,0)/60*K380)</f>
        <v>0</v>
      </c>
      <c r="T380" s="3"/>
      <c r="U380" s="3"/>
      <c r="V380" s="4"/>
    </row>
    <row r="381" spans="1:22" x14ac:dyDescent="0.3">
      <c r="A381" s="5">
        <f t="shared" si="16"/>
        <v>0</v>
      </c>
      <c r="B381" s="6">
        <f t="shared" si="17"/>
        <v>0</v>
      </c>
      <c r="K381" s="18">
        <f t="shared" si="15"/>
        <v>0</v>
      </c>
      <c r="L381" s="21">
        <f>IF(ISERROR(VLOOKUP($F381,#REF!,6,0)*G381/1000),0,VLOOKUP($F381,#REF!,6,0)*G381/1000)</f>
        <v>0</v>
      </c>
      <c r="M381" s="21">
        <f>IF(ISERROR(VLOOKUP($F381,#REF!,6,0)*H381/1000),0,VLOOKUP($F381,#REF!,6,0)*H381/1000)</f>
        <v>0</v>
      </c>
      <c r="N381" s="21">
        <f>IF(ISERROR(VLOOKUP($F381,#REF!,6,0)*I381/1000),0,VLOOKUP($F381,#REF!,6,0)*I381/1000)</f>
        <v>0</v>
      </c>
      <c r="O381" s="21">
        <f>IF(ISERROR(VLOOKUP($F381,#REF!,6,0)*J381/1000),0,VLOOKUP($F381,#REF!,6,0)*J381/1000)</f>
        <v>0</v>
      </c>
      <c r="P381" s="21">
        <f>IF(ISERROR(VLOOKUP(F381,#REF!,6,0)*K381/1000),0,VLOOKUP(F381,#REF!,6,0)*K381/1000)</f>
        <v>0</v>
      </c>
      <c r="Q381" s="6">
        <f>IF(ISERROR(VLOOKUP(F381,#REF!,3,0)),0,VLOOKUP(F381,#REF!,3,0))</f>
        <v>0</v>
      </c>
      <c r="R381" s="6">
        <f>IF(ISERROR(VLOOKUP(F381,#REF!,4,0)),0,VLOOKUP(F381,#REF!,4,0))</f>
        <v>0</v>
      </c>
      <c r="S381" s="8">
        <f>IF(ISERROR(VLOOKUP(F381,#REF!,4,0)),0,VLOOKUP(F381,#REF!,10,0)/60*K381)</f>
        <v>0</v>
      </c>
      <c r="T381" s="3"/>
      <c r="U381" s="3"/>
      <c r="V381" s="4"/>
    </row>
    <row r="382" spans="1:22" x14ac:dyDescent="0.3">
      <c r="A382" s="5">
        <f t="shared" si="16"/>
        <v>0</v>
      </c>
      <c r="B382" s="6">
        <f t="shared" si="17"/>
        <v>0</v>
      </c>
      <c r="K382" s="18">
        <f t="shared" si="15"/>
        <v>0</v>
      </c>
      <c r="L382" s="21">
        <f>IF(ISERROR(VLOOKUP($F382,#REF!,6,0)*G382/1000),0,VLOOKUP($F382,#REF!,6,0)*G382/1000)</f>
        <v>0</v>
      </c>
      <c r="M382" s="21">
        <f>IF(ISERROR(VLOOKUP($F382,#REF!,6,0)*H382/1000),0,VLOOKUP($F382,#REF!,6,0)*H382/1000)</f>
        <v>0</v>
      </c>
      <c r="N382" s="21">
        <f>IF(ISERROR(VLOOKUP($F382,#REF!,6,0)*I382/1000),0,VLOOKUP($F382,#REF!,6,0)*I382/1000)</f>
        <v>0</v>
      </c>
      <c r="O382" s="21">
        <f>IF(ISERROR(VLOOKUP($F382,#REF!,6,0)*J382/1000),0,VLOOKUP($F382,#REF!,6,0)*J382/1000)</f>
        <v>0</v>
      </c>
      <c r="P382" s="21">
        <f>IF(ISERROR(VLOOKUP(F382,#REF!,6,0)*K382/1000),0,VLOOKUP(F382,#REF!,6,0)*K382/1000)</f>
        <v>0</v>
      </c>
      <c r="Q382" s="6">
        <f>IF(ISERROR(VLOOKUP(F382,#REF!,3,0)),0,VLOOKUP(F382,#REF!,3,0))</f>
        <v>0</v>
      </c>
      <c r="R382" s="6">
        <f>IF(ISERROR(VLOOKUP(F382,#REF!,4,0)),0,VLOOKUP(F382,#REF!,4,0))</f>
        <v>0</v>
      </c>
      <c r="S382" s="8">
        <f>IF(ISERROR(VLOOKUP(F382,#REF!,4,0)),0,VLOOKUP(F382,#REF!,10,0)/60*K382)</f>
        <v>0</v>
      </c>
      <c r="T382" s="3"/>
      <c r="U382" s="3"/>
      <c r="V382" s="4"/>
    </row>
    <row r="383" spans="1:22" x14ac:dyDescent="0.3">
      <c r="A383" s="5">
        <f t="shared" si="16"/>
        <v>0</v>
      </c>
      <c r="B383" s="6">
        <f t="shared" si="17"/>
        <v>0</v>
      </c>
      <c r="K383" s="18">
        <f t="shared" si="15"/>
        <v>0</v>
      </c>
      <c r="L383" s="21">
        <f>IF(ISERROR(VLOOKUP($F383,#REF!,6,0)*G383/1000),0,VLOOKUP($F383,#REF!,6,0)*G383/1000)</f>
        <v>0</v>
      </c>
      <c r="M383" s="21">
        <f>IF(ISERROR(VLOOKUP($F383,#REF!,6,0)*H383/1000),0,VLOOKUP($F383,#REF!,6,0)*H383/1000)</f>
        <v>0</v>
      </c>
      <c r="N383" s="21">
        <f>IF(ISERROR(VLOOKUP($F383,#REF!,6,0)*I383/1000),0,VLOOKUP($F383,#REF!,6,0)*I383/1000)</f>
        <v>0</v>
      </c>
      <c r="O383" s="21">
        <f>IF(ISERROR(VLOOKUP($F383,#REF!,6,0)*J383/1000),0,VLOOKUP($F383,#REF!,6,0)*J383/1000)</f>
        <v>0</v>
      </c>
      <c r="P383" s="21">
        <f>IF(ISERROR(VLOOKUP(F383,#REF!,6,0)*K383/1000),0,VLOOKUP(F383,#REF!,6,0)*K383/1000)</f>
        <v>0</v>
      </c>
      <c r="Q383" s="6">
        <f>IF(ISERROR(VLOOKUP(F383,#REF!,3,0)),0,VLOOKUP(F383,#REF!,3,0))</f>
        <v>0</v>
      </c>
      <c r="R383" s="6">
        <f>IF(ISERROR(VLOOKUP(F383,#REF!,4,0)),0,VLOOKUP(F383,#REF!,4,0))</f>
        <v>0</v>
      </c>
      <c r="S383" s="8">
        <f>IF(ISERROR(VLOOKUP(F383,#REF!,4,0)),0,VLOOKUP(F383,#REF!,10,0)/60*K383)</f>
        <v>0</v>
      </c>
      <c r="T383" s="3"/>
      <c r="U383" s="3"/>
      <c r="V383" s="4"/>
    </row>
    <row r="384" spans="1:22" x14ac:dyDescent="0.3">
      <c r="A384" s="5">
        <f t="shared" si="16"/>
        <v>0</v>
      </c>
      <c r="B384" s="6">
        <f t="shared" si="17"/>
        <v>0</v>
      </c>
      <c r="K384" s="18">
        <f t="shared" si="15"/>
        <v>0</v>
      </c>
      <c r="L384" s="21">
        <f>IF(ISERROR(VLOOKUP($F384,#REF!,6,0)*G384/1000),0,VLOOKUP($F384,#REF!,6,0)*G384/1000)</f>
        <v>0</v>
      </c>
      <c r="M384" s="21">
        <f>IF(ISERROR(VLOOKUP($F384,#REF!,6,0)*H384/1000),0,VLOOKUP($F384,#REF!,6,0)*H384/1000)</f>
        <v>0</v>
      </c>
      <c r="N384" s="21">
        <f>IF(ISERROR(VLOOKUP($F384,#REF!,6,0)*I384/1000),0,VLOOKUP($F384,#REF!,6,0)*I384/1000)</f>
        <v>0</v>
      </c>
      <c r="O384" s="21">
        <f>IF(ISERROR(VLOOKUP($F384,#REF!,6,0)*J384/1000),0,VLOOKUP($F384,#REF!,6,0)*J384/1000)</f>
        <v>0</v>
      </c>
      <c r="P384" s="21">
        <f>IF(ISERROR(VLOOKUP(F384,#REF!,6,0)*K384/1000),0,VLOOKUP(F384,#REF!,6,0)*K384/1000)</f>
        <v>0</v>
      </c>
      <c r="Q384" s="6">
        <f>IF(ISERROR(VLOOKUP(F384,#REF!,3,0)),0,VLOOKUP(F384,#REF!,3,0))</f>
        <v>0</v>
      </c>
      <c r="R384" s="6">
        <f>IF(ISERROR(VLOOKUP(F384,#REF!,4,0)),0,VLOOKUP(F384,#REF!,4,0))</f>
        <v>0</v>
      </c>
      <c r="S384" s="8">
        <f>IF(ISERROR(VLOOKUP(F384,#REF!,4,0)),0,VLOOKUP(F384,#REF!,10,0)/60*K384)</f>
        <v>0</v>
      </c>
      <c r="T384" s="3"/>
      <c r="U384" s="3"/>
      <c r="V384" s="4"/>
    </row>
    <row r="385" spans="1:22" x14ac:dyDescent="0.3">
      <c r="A385" s="5">
        <f t="shared" si="16"/>
        <v>0</v>
      </c>
      <c r="B385" s="6">
        <f t="shared" si="17"/>
        <v>0</v>
      </c>
      <c r="K385" s="18">
        <f t="shared" si="15"/>
        <v>0</v>
      </c>
      <c r="L385" s="21">
        <f>IF(ISERROR(VLOOKUP($F385,#REF!,6,0)*G385/1000),0,VLOOKUP($F385,#REF!,6,0)*G385/1000)</f>
        <v>0</v>
      </c>
      <c r="M385" s="21">
        <f>IF(ISERROR(VLOOKUP($F385,#REF!,6,0)*H385/1000),0,VLOOKUP($F385,#REF!,6,0)*H385/1000)</f>
        <v>0</v>
      </c>
      <c r="N385" s="21">
        <f>IF(ISERROR(VLOOKUP($F385,#REF!,6,0)*I385/1000),0,VLOOKUP($F385,#REF!,6,0)*I385/1000)</f>
        <v>0</v>
      </c>
      <c r="O385" s="21">
        <f>IF(ISERROR(VLOOKUP($F385,#REF!,6,0)*J385/1000),0,VLOOKUP($F385,#REF!,6,0)*J385/1000)</f>
        <v>0</v>
      </c>
      <c r="P385" s="21">
        <f>IF(ISERROR(VLOOKUP(F385,#REF!,6,0)*K385/1000),0,VLOOKUP(F385,#REF!,6,0)*K385/1000)</f>
        <v>0</v>
      </c>
      <c r="Q385" s="6">
        <f>IF(ISERROR(VLOOKUP(F385,#REF!,3,0)),0,VLOOKUP(F385,#REF!,3,0))</f>
        <v>0</v>
      </c>
      <c r="R385" s="6">
        <f>IF(ISERROR(VLOOKUP(F385,#REF!,4,0)),0,VLOOKUP(F385,#REF!,4,0))</f>
        <v>0</v>
      </c>
      <c r="S385" s="8">
        <f>IF(ISERROR(VLOOKUP(F385,#REF!,4,0)),0,VLOOKUP(F385,#REF!,10,0)/60*K385)</f>
        <v>0</v>
      </c>
      <c r="T385" s="3"/>
      <c r="U385" s="3"/>
      <c r="V385" s="4"/>
    </row>
    <row r="386" spans="1:22" x14ac:dyDescent="0.3">
      <c r="A386" s="5">
        <f t="shared" si="16"/>
        <v>0</v>
      </c>
      <c r="B386" s="6">
        <f t="shared" si="17"/>
        <v>0</v>
      </c>
      <c r="K386" s="18">
        <f t="shared" si="15"/>
        <v>0</v>
      </c>
      <c r="L386" s="21">
        <f>IF(ISERROR(VLOOKUP($F386,#REF!,6,0)*G386/1000),0,VLOOKUP($F386,#REF!,6,0)*G386/1000)</f>
        <v>0</v>
      </c>
      <c r="M386" s="21">
        <f>IF(ISERROR(VLOOKUP($F386,#REF!,6,0)*H386/1000),0,VLOOKUP($F386,#REF!,6,0)*H386/1000)</f>
        <v>0</v>
      </c>
      <c r="N386" s="21">
        <f>IF(ISERROR(VLOOKUP($F386,#REF!,6,0)*I386/1000),0,VLOOKUP($F386,#REF!,6,0)*I386/1000)</f>
        <v>0</v>
      </c>
      <c r="O386" s="21">
        <f>IF(ISERROR(VLOOKUP($F386,#REF!,6,0)*J386/1000),0,VLOOKUP($F386,#REF!,6,0)*J386/1000)</f>
        <v>0</v>
      </c>
      <c r="P386" s="21">
        <f>IF(ISERROR(VLOOKUP(F386,#REF!,6,0)*K386/1000),0,VLOOKUP(F386,#REF!,6,0)*K386/1000)</f>
        <v>0</v>
      </c>
      <c r="Q386" s="6">
        <f>IF(ISERROR(VLOOKUP(F386,#REF!,3,0)),0,VLOOKUP(F386,#REF!,3,0))</f>
        <v>0</v>
      </c>
      <c r="R386" s="6">
        <f>IF(ISERROR(VLOOKUP(F386,#REF!,4,0)),0,VLOOKUP(F386,#REF!,4,0))</f>
        <v>0</v>
      </c>
      <c r="S386" s="8">
        <f>IF(ISERROR(VLOOKUP(F386,#REF!,4,0)),0,VLOOKUP(F386,#REF!,10,0)/60*K386)</f>
        <v>0</v>
      </c>
      <c r="T386" s="3"/>
      <c r="U386" s="3"/>
      <c r="V386" s="4"/>
    </row>
    <row r="387" spans="1:22" x14ac:dyDescent="0.3">
      <c r="A387" s="5">
        <f t="shared" si="16"/>
        <v>0</v>
      </c>
      <c r="B387" s="6">
        <f t="shared" si="17"/>
        <v>0</v>
      </c>
      <c r="K387" s="18">
        <f t="shared" si="15"/>
        <v>0</v>
      </c>
      <c r="L387" s="21">
        <f>IF(ISERROR(VLOOKUP($F387,#REF!,6,0)*G387/1000),0,VLOOKUP($F387,#REF!,6,0)*G387/1000)</f>
        <v>0</v>
      </c>
      <c r="M387" s="21">
        <f>IF(ISERROR(VLOOKUP($F387,#REF!,6,0)*H387/1000),0,VLOOKUP($F387,#REF!,6,0)*H387/1000)</f>
        <v>0</v>
      </c>
      <c r="N387" s="21">
        <f>IF(ISERROR(VLOOKUP($F387,#REF!,6,0)*I387/1000),0,VLOOKUP($F387,#REF!,6,0)*I387/1000)</f>
        <v>0</v>
      </c>
      <c r="O387" s="21">
        <f>IF(ISERROR(VLOOKUP($F387,#REF!,6,0)*J387/1000),0,VLOOKUP($F387,#REF!,6,0)*J387/1000)</f>
        <v>0</v>
      </c>
      <c r="P387" s="21">
        <f>IF(ISERROR(VLOOKUP(F387,#REF!,6,0)*K387/1000),0,VLOOKUP(F387,#REF!,6,0)*K387/1000)</f>
        <v>0</v>
      </c>
      <c r="Q387" s="6">
        <f>IF(ISERROR(VLOOKUP(F387,#REF!,3,0)),0,VLOOKUP(F387,#REF!,3,0))</f>
        <v>0</v>
      </c>
      <c r="R387" s="6">
        <f>IF(ISERROR(VLOOKUP(F387,#REF!,4,0)),0,VLOOKUP(F387,#REF!,4,0))</f>
        <v>0</v>
      </c>
      <c r="S387" s="8">
        <f>IF(ISERROR(VLOOKUP(F387,#REF!,4,0)),0,VLOOKUP(F387,#REF!,10,0)/60*K387)</f>
        <v>0</v>
      </c>
      <c r="T387" s="3"/>
      <c r="U387" s="3"/>
      <c r="V387" s="4"/>
    </row>
    <row r="388" spans="1:22" x14ac:dyDescent="0.3">
      <c r="A388" s="5">
        <f t="shared" si="16"/>
        <v>0</v>
      </c>
      <c r="B388" s="6">
        <f t="shared" si="17"/>
        <v>0</v>
      </c>
      <c r="K388" s="18">
        <f t="shared" ref="K388:K451" si="18">SUM(G388:J388)</f>
        <v>0</v>
      </c>
      <c r="L388" s="21">
        <f>IF(ISERROR(VLOOKUP($F388,#REF!,6,0)*G388/1000),0,VLOOKUP($F388,#REF!,6,0)*G388/1000)</f>
        <v>0</v>
      </c>
      <c r="M388" s="21">
        <f>IF(ISERROR(VLOOKUP($F388,#REF!,6,0)*H388/1000),0,VLOOKUP($F388,#REF!,6,0)*H388/1000)</f>
        <v>0</v>
      </c>
      <c r="N388" s="21">
        <f>IF(ISERROR(VLOOKUP($F388,#REF!,6,0)*I388/1000),0,VLOOKUP($F388,#REF!,6,0)*I388/1000)</f>
        <v>0</v>
      </c>
      <c r="O388" s="21">
        <f>IF(ISERROR(VLOOKUP($F388,#REF!,6,0)*J388/1000),0,VLOOKUP($F388,#REF!,6,0)*J388/1000)</f>
        <v>0</v>
      </c>
      <c r="P388" s="21">
        <f>IF(ISERROR(VLOOKUP(F388,#REF!,6,0)*K388/1000),0,VLOOKUP(F388,#REF!,6,0)*K388/1000)</f>
        <v>0</v>
      </c>
      <c r="Q388" s="6">
        <f>IF(ISERROR(VLOOKUP(F388,#REF!,3,0)),0,VLOOKUP(F388,#REF!,3,0))</f>
        <v>0</v>
      </c>
      <c r="R388" s="6">
        <f>IF(ISERROR(VLOOKUP(F388,#REF!,4,0)),0,VLOOKUP(F388,#REF!,4,0))</f>
        <v>0</v>
      </c>
      <c r="S388" s="8">
        <f>IF(ISERROR(VLOOKUP(F388,#REF!,4,0)),0,VLOOKUP(F388,#REF!,10,0)/60*K388)</f>
        <v>0</v>
      </c>
      <c r="T388" s="3"/>
      <c r="U388" s="3"/>
      <c r="V388" s="4"/>
    </row>
    <row r="389" spans="1:22" x14ac:dyDescent="0.3">
      <c r="A389" s="5">
        <f t="shared" ref="A389:A452" si="19">IF(C389=0,0,YEAR(C389))</f>
        <v>0</v>
      </c>
      <c r="B389" s="6">
        <f t="shared" ref="B389:B452" si="20">IF(C389&gt;0,VLOOKUP(MONTH($C389),$AJ$3:$AK$14,2,0),0)</f>
        <v>0</v>
      </c>
      <c r="K389" s="18">
        <f t="shared" si="18"/>
        <v>0</v>
      </c>
      <c r="L389" s="21">
        <f>IF(ISERROR(VLOOKUP($F389,#REF!,6,0)*G389/1000),0,VLOOKUP($F389,#REF!,6,0)*G389/1000)</f>
        <v>0</v>
      </c>
      <c r="M389" s="21">
        <f>IF(ISERROR(VLOOKUP($F389,#REF!,6,0)*H389/1000),0,VLOOKUP($F389,#REF!,6,0)*H389/1000)</f>
        <v>0</v>
      </c>
      <c r="N389" s="21">
        <f>IF(ISERROR(VLOOKUP($F389,#REF!,6,0)*I389/1000),0,VLOOKUP($F389,#REF!,6,0)*I389/1000)</f>
        <v>0</v>
      </c>
      <c r="O389" s="21">
        <f>IF(ISERROR(VLOOKUP($F389,#REF!,6,0)*J389/1000),0,VLOOKUP($F389,#REF!,6,0)*J389/1000)</f>
        <v>0</v>
      </c>
      <c r="P389" s="21">
        <f>IF(ISERROR(VLOOKUP(F389,#REF!,6,0)*K389/1000),0,VLOOKUP(F389,#REF!,6,0)*K389/1000)</f>
        <v>0</v>
      </c>
      <c r="Q389" s="6">
        <f>IF(ISERROR(VLOOKUP(F389,#REF!,3,0)),0,VLOOKUP(F389,#REF!,3,0))</f>
        <v>0</v>
      </c>
      <c r="R389" s="6">
        <f>IF(ISERROR(VLOOKUP(F389,#REF!,4,0)),0,VLOOKUP(F389,#REF!,4,0))</f>
        <v>0</v>
      </c>
      <c r="S389" s="8">
        <f>IF(ISERROR(VLOOKUP(F389,#REF!,4,0)),0,VLOOKUP(F389,#REF!,10,0)/60*K389)</f>
        <v>0</v>
      </c>
      <c r="T389" s="3"/>
      <c r="U389" s="3"/>
      <c r="V389" s="4"/>
    </row>
    <row r="390" spans="1:22" x14ac:dyDescent="0.3">
      <c r="A390" s="5">
        <f t="shared" si="19"/>
        <v>0</v>
      </c>
      <c r="B390" s="6">
        <f t="shared" si="20"/>
        <v>0</v>
      </c>
      <c r="K390" s="18">
        <f t="shared" si="18"/>
        <v>0</v>
      </c>
      <c r="L390" s="21">
        <f>IF(ISERROR(VLOOKUP($F390,#REF!,6,0)*G390/1000),0,VLOOKUP($F390,#REF!,6,0)*G390/1000)</f>
        <v>0</v>
      </c>
      <c r="M390" s="21">
        <f>IF(ISERROR(VLOOKUP($F390,#REF!,6,0)*H390/1000),0,VLOOKUP($F390,#REF!,6,0)*H390/1000)</f>
        <v>0</v>
      </c>
      <c r="N390" s="21">
        <f>IF(ISERROR(VLOOKUP($F390,#REF!,6,0)*I390/1000),0,VLOOKUP($F390,#REF!,6,0)*I390/1000)</f>
        <v>0</v>
      </c>
      <c r="O390" s="21">
        <f>IF(ISERROR(VLOOKUP($F390,#REF!,6,0)*J390/1000),0,VLOOKUP($F390,#REF!,6,0)*J390/1000)</f>
        <v>0</v>
      </c>
      <c r="P390" s="21">
        <f>IF(ISERROR(VLOOKUP(F390,#REF!,6,0)*K390/1000),0,VLOOKUP(F390,#REF!,6,0)*K390/1000)</f>
        <v>0</v>
      </c>
      <c r="Q390" s="6">
        <f>IF(ISERROR(VLOOKUP(F390,#REF!,3,0)),0,VLOOKUP(F390,#REF!,3,0))</f>
        <v>0</v>
      </c>
      <c r="R390" s="6">
        <f>IF(ISERROR(VLOOKUP(F390,#REF!,4,0)),0,VLOOKUP(F390,#REF!,4,0))</f>
        <v>0</v>
      </c>
      <c r="S390" s="8">
        <f>IF(ISERROR(VLOOKUP(F390,#REF!,4,0)),0,VLOOKUP(F390,#REF!,10,0)/60*K390)</f>
        <v>0</v>
      </c>
      <c r="T390" s="3"/>
      <c r="U390" s="3"/>
      <c r="V390" s="4"/>
    </row>
    <row r="391" spans="1:22" x14ac:dyDescent="0.3">
      <c r="A391" s="5">
        <f t="shared" si="19"/>
        <v>0</v>
      </c>
      <c r="B391" s="6">
        <f t="shared" si="20"/>
        <v>0</v>
      </c>
      <c r="K391" s="18">
        <f t="shared" si="18"/>
        <v>0</v>
      </c>
      <c r="L391" s="21">
        <f>IF(ISERROR(VLOOKUP($F391,#REF!,6,0)*G391/1000),0,VLOOKUP($F391,#REF!,6,0)*G391/1000)</f>
        <v>0</v>
      </c>
      <c r="M391" s="21">
        <f>IF(ISERROR(VLOOKUP($F391,#REF!,6,0)*H391/1000),0,VLOOKUP($F391,#REF!,6,0)*H391/1000)</f>
        <v>0</v>
      </c>
      <c r="N391" s="21">
        <f>IF(ISERROR(VLOOKUP($F391,#REF!,6,0)*I391/1000),0,VLOOKUP($F391,#REF!,6,0)*I391/1000)</f>
        <v>0</v>
      </c>
      <c r="O391" s="21">
        <f>IF(ISERROR(VLOOKUP($F391,#REF!,6,0)*J391/1000),0,VLOOKUP($F391,#REF!,6,0)*J391/1000)</f>
        <v>0</v>
      </c>
      <c r="P391" s="21">
        <f>IF(ISERROR(VLOOKUP(F391,#REF!,6,0)*K391/1000),0,VLOOKUP(F391,#REF!,6,0)*K391/1000)</f>
        <v>0</v>
      </c>
      <c r="Q391" s="6">
        <f>IF(ISERROR(VLOOKUP(F391,#REF!,3,0)),0,VLOOKUP(F391,#REF!,3,0))</f>
        <v>0</v>
      </c>
      <c r="R391" s="6">
        <f>IF(ISERROR(VLOOKUP(F391,#REF!,4,0)),0,VLOOKUP(F391,#REF!,4,0))</f>
        <v>0</v>
      </c>
      <c r="S391" s="8">
        <f>IF(ISERROR(VLOOKUP(F391,#REF!,4,0)),0,VLOOKUP(F391,#REF!,10,0)/60*K391)</f>
        <v>0</v>
      </c>
      <c r="T391" s="3"/>
      <c r="U391" s="3"/>
      <c r="V391" s="4"/>
    </row>
    <row r="392" spans="1:22" x14ac:dyDescent="0.3">
      <c r="A392" s="5">
        <f t="shared" si="19"/>
        <v>0</v>
      </c>
      <c r="B392" s="6">
        <f t="shared" si="20"/>
        <v>0</v>
      </c>
      <c r="K392" s="18">
        <f t="shared" si="18"/>
        <v>0</v>
      </c>
      <c r="L392" s="21">
        <f>IF(ISERROR(VLOOKUP($F392,#REF!,6,0)*G392/1000),0,VLOOKUP($F392,#REF!,6,0)*G392/1000)</f>
        <v>0</v>
      </c>
      <c r="M392" s="21">
        <f>IF(ISERROR(VLOOKUP($F392,#REF!,6,0)*H392/1000),0,VLOOKUP($F392,#REF!,6,0)*H392/1000)</f>
        <v>0</v>
      </c>
      <c r="N392" s="21">
        <f>IF(ISERROR(VLOOKUP($F392,#REF!,6,0)*I392/1000),0,VLOOKUP($F392,#REF!,6,0)*I392/1000)</f>
        <v>0</v>
      </c>
      <c r="O392" s="21">
        <f>IF(ISERROR(VLOOKUP($F392,#REF!,6,0)*J392/1000),0,VLOOKUP($F392,#REF!,6,0)*J392/1000)</f>
        <v>0</v>
      </c>
      <c r="P392" s="21">
        <f>IF(ISERROR(VLOOKUP(F392,#REF!,6,0)*K392/1000),0,VLOOKUP(F392,#REF!,6,0)*K392/1000)</f>
        <v>0</v>
      </c>
      <c r="Q392" s="6">
        <f>IF(ISERROR(VLOOKUP(F392,#REF!,3,0)),0,VLOOKUP(F392,#REF!,3,0))</f>
        <v>0</v>
      </c>
      <c r="R392" s="6">
        <f>IF(ISERROR(VLOOKUP(F392,#REF!,4,0)),0,VLOOKUP(F392,#REF!,4,0))</f>
        <v>0</v>
      </c>
      <c r="S392" s="8">
        <f>IF(ISERROR(VLOOKUP(F392,#REF!,4,0)),0,VLOOKUP(F392,#REF!,10,0)/60*K392)</f>
        <v>0</v>
      </c>
      <c r="T392" s="3"/>
      <c r="U392" s="3"/>
      <c r="V392" s="4"/>
    </row>
    <row r="393" spans="1:22" x14ac:dyDescent="0.3">
      <c r="A393" s="5">
        <f t="shared" si="19"/>
        <v>0</v>
      </c>
      <c r="B393" s="6">
        <f t="shared" si="20"/>
        <v>0</v>
      </c>
      <c r="K393" s="18">
        <f t="shared" si="18"/>
        <v>0</v>
      </c>
      <c r="L393" s="21">
        <f>IF(ISERROR(VLOOKUP($F393,#REF!,6,0)*G393/1000),0,VLOOKUP($F393,#REF!,6,0)*G393/1000)</f>
        <v>0</v>
      </c>
      <c r="M393" s="21">
        <f>IF(ISERROR(VLOOKUP($F393,#REF!,6,0)*H393/1000),0,VLOOKUP($F393,#REF!,6,0)*H393/1000)</f>
        <v>0</v>
      </c>
      <c r="N393" s="21">
        <f>IF(ISERROR(VLOOKUP($F393,#REF!,6,0)*I393/1000),0,VLOOKUP($F393,#REF!,6,0)*I393/1000)</f>
        <v>0</v>
      </c>
      <c r="O393" s="21">
        <f>IF(ISERROR(VLOOKUP($F393,#REF!,6,0)*J393/1000),0,VLOOKUP($F393,#REF!,6,0)*J393/1000)</f>
        <v>0</v>
      </c>
      <c r="P393" s="21">
        <f>IF(ISERROR(VLOOKUP(F393,#REF!,6,0)*K393/1000),0,VLOOKUP(F393,#REF!,6,0)*K393/1000)</f>
        <v>0</v>
      </c>
      <c r="Q393" s="6">
        <f>IF(ISERROR(VLOOKUP(F393,#REF!,3,0)),0,VLOOKUP(F393,#REF!,3,0))</f>
        <v>0</v>
      </c>
      <c r="R393" s="6">
        <f>IF(ISERROR(VLOOKUP(F393,#REF!,4,0)),0,VLOOKUP(F393,#REF!,4,0))</f>
        <v>0</v>
      </c>
      <c r="S393" s="8">
        <f>IF(ISERROR(VLOOKUP(F393,#REF!,4,0)),0,VLOOKUP(F393,#REF!,10,0)/60*K393)</f>
        <v>0</v>
      </c>
      <c r="T393" s="3"/>
      <c r="U393" s="3"/>
      <c r="V393" s="4"/>
    </row>
    <row r="394" spans="1:22" x14ac:dyDescent="0.3">
      <c r="A394" s="5">
        <f t="shared" si="19"/>
        <v>0</v>
      </c>
      <c r="B394" s="6">
        <f t="shared" si="20"/>
        <v>0</v>
      </c>
      <c r="K394" s="18">
        <f t="shared" si="18"/>
        <v>0</v>
      </c>
      <c r="L394" s="21">
        <f>IF(ISERROR(VLOOKUP($F394,#REF!,6,0)*G394/1000),0,VLOOKUP($F394,#REF!,6,0)*G394/1000)</f>
        <v>0</v>
      </c>
      <c r="M394" s="21">
        <f>IF(ISERROR(VLOOKUP($F394,#REF!,6,0)*H394/1000),0,VLOOKUP($F394,#REF!,6,0)*H394/1000)</f>
        <v>0</v>
      </c>
      <c r="N394" s="21">
        <f>IF(ISERROR(VLOOKUP($F394,#REF!,6,0)*I394/1000),0,VLOOKUP($F394,#REF!,6,0)*I394/1000)</f>
        <v>0</v>
      </c>
      <c r="O394" s="21">
        <f>IF(ISERROR(VLOOKUP($F394,#REF!,6,0)*J394/1000),0,VLOOKUP($F394,#REF!,6,0)*J394/1000)</f>
        <v>0</v>
      </c>
      <c r="P394" s="21">
        <f>IF(ISERROR(VLOOKUP(F394,#REF!,6,0)*K394/1000),0,VLOOKUP(F394,#REF!,6,0)*K394/1000)</f>
        <v>0</v>
      </c>
      <c r="Q394" s="6">
        <f>IF(ISERROR(VLOOKUP(F394,#REF!,3,0)),0,VLOOKUP(F394,#REF!,3,0))</f>
        <v>0</v>
      </c>
      <c r="R394" s="6">
        <f>IF(ISERROR(VLOOKUP(F394,#REF!,4,0)),0,VLOOKUP(F394,#REF!,4,0))</f>
        <v>0</v>
      </c>
      <c r="S394" s="8">
        <f>IF(ISERROR(VLOOKUP(F394,#REF!,4,0)),0,VLOOKUP(F394,#REF!,10,0)/60*K394)</f>
        <v>0</v>
      </c>
      <c r="T394" s="3"/>
      <c r="U394" s="3"/>
      <c r="V394" s="4"/>
    </row>
    <row r="395" spans="1:22" x14ac:dyDescent="0.3">
      <c r="A395" s="5">
        <f t="shared" si="19"/>
        <v>0</v>
      </c>
      <c r="B395" s="6">
        <f t="shared" si="20"/>
        <v>0</v>
      </c>
      <c r="K395" s="18">
        <f t="shared" si="18"/>
        <v>0</v>
      </c>
      <c r="L395" s="21">
        <f>IF(ISERROR(VLOOKUP($F395,#REF!,6,0)*G395/1000),0,VLOOKUP($F395,#REF!,6,0)*G395/1000)</f>
        <v>0</v>
      </c>
      <c r="M395" s="21">
        <f>IF(ISERROR(VLOOKUP($F395,#REF!,6,0)*H395/1000),0,VLOOKUP($F395,#REF!,6,0)*H395/1000)</f>
        <v>0</v>
      </c>
      <c r="N395" s="21">
        <f>IF(ISERROR(VLOOKUP($F395,#REF!,6,0)*I395/1000),0,VLOOKUP($F395,#REF!,6,0)*I395/1000)</f>
        <v>0</v>
      </c>
      <c r="O395" s="21">
        <f>IF(ISERROR(VLOOKUP($F395,#REF!,6,0)*J395/1000),0,VLOOKUP($F395,#REF!,6,0)*J395/1000)</f>
        <v>0</v>
      </c>
      <c r="P395" s="21">
        <f>IF(ISERROR(VLOOKUP(F395,#REF!,6,0)*K395/1000),0,VLOOKUP(F395,#REF!,6,0)*K395/1000)</f>
        <v>0</v>
      </c>
      <c r="Q395" s="6">
        <f>IF(ISERROR(VLOOKUP(F395,#REF!,3,0)),0,VLOOKUP(F395,#REF!,3,0))</f>
        <v>0</v>
      </c>
      <c r="R395" s="6">
        <f>IF(ISERROR(VLOOKUP(F395,#REF!,4,0)),0,VLOOKUP(F395,#REF!,4,0))</f>
        <v>0</v>
      </c>
      <c r="S395" s="8">
        <f>IF(ISERROR(VLOOKUP(F395,#REF!,4,0)),0,VLOOKUP(F395,#REF!,10,0)/60*K395)</f>
        <v>0</v>
      </c>
      <c r="T395" s="3"/>
      <c r="U395" s="3"/>
      <c r="V395" s="4"/>
    </row>
    <row r="396" spans="1:22" x14ac:dyDescent="0.3">
      <c r="A396" s="5">
        <f t="shared" si="19"/>
        <v>0</v>
      </c>
      <c r="B396" s="6">
        <f t="shared" si="20"/>
        <v>0</v>
      </c>
      <c r="K396" s="18">
        <f t="shared" si="18"/>
        <v>0</v>
      </c>
      <c r="L396" s="21">
        <f>IF(ISERROR(VLOOKUP($F396,#REF!,6,0)*G396/1000),0,VLOOKUP($F396,#REF!,6,0)*G396/1000)</f>
        <v>0</v>
      </c>
      <c r="M396" s="21">
        <f>IF(ISERROR(VLOOKUP($F396,#REF!,6,0)*H396/1000),0,VLOOKUP($F396,#REF!,6,0)*H396/1000)</f>
        <v>0</v>
      </c>
      <c r="N396" s="21">
        <f>IF(ISERROR(VLOOKUP($F396,#REF!,6,0)*I396/1000),0,VLOOKUP($F396,#REF!,6,0)*I396/1000)</f>
        <v>0</v>
      </c>
      <c r="O396" s="21">
        <f>IF(ISERROR(VLOOKUP($F396,#REF!,6,0)*J396/1000),0,VLOOKUP($F396,#REF!,6,0)*J396/1000)</f>
        <v>0</v>
      </c>
      <c r="P396" s="21">
        <f>IF(ISERROR(VLOOKUP(F396,#REF!,6,0)*K396/1000),0,VLOOKUP(F396,#REF!,6,0)*K396/1000)</f>
        <v>0</v>
      </c>
      <c r="Q396" s="6">
        <f>IF(ISERROR(VLOOKUP(F396,#REF!,3,0)),0,VLOOKUP(F396,#REF!,3,0))</f>
        <v>0</v>
      </c>
      <c r="R396" s="6">
        <f>IF(ISERROR(VLOOKUP(F396,#REF!,4,0)),0,VLOOKUP(F396,#REF!,4,0))</f>
        <v>0</v>
      </c>
      <c r="S396" s="8">
        <f>IF(ISERROR(VLOOKUP(F396,#REF!,4,0)),0,VLOOKUP(F396,#REF!,10,0)/60*K396)</f>
        <v>0</v>
      </c>
      <c r="T396" s="3"/>
      <c r="U396" s="3"/>
      <c r="V396" s="4"/>
    </row>
    <row r="397" spans="1:22" x14ac:dyDescent="0.3">
      <c r="A397" s="5">
        <f t="shared" si="19"/>
        <v>0</v>
      </c>
      <c r="B397" s="6">
        <f t="shared" si="20"/>
        <v>0</v>
      </c>
      <c r="K397" s="18">
        <f t="shared" si="18"/>
        <v>0</v>
      </c>
      <c r="L397" s="21">
        <f>IF(ISERROR(VLOOKUP($F397,#REF!,6,0)*G397/1000),0,VLOOKUP($F397,#REF!,6,0)*G397/1000)</f>
        <v>0</v>
      </c>
      <c r="M397" s="21">
        <f>IF(ISERROR(VLOOKUP($F397,#REF!,6,0)*H397/1000),0,VLOOKUP($F397,#REF!,6,0)*H397/1000)</f>
        <v>0</v>
      </c>
      <c r="N397" s="21">
        <f>IF(ISERROR(VLOOKUP($F397,#REF!,6,0)*I397/1000),0,VLOOKUP($F397,#REF!,6,0)*I397/1000)</f>
        <v>0</v>
      </c>
      <c r="O397" s="21">
        <f>IF(ISERROR(VLOOKUP($F397,#REF!,6,0)*J397/1000),0,VLOOKUP($F397,#REF!,6,0)*J397/1000)</f>
        <v>0</v>
      </c>
      <c r="P397" s="21">
        <f>IF(ISERROR(VLOOKUP(F397,#REF!,6,0)*K397/1000),0,VLOOKUP(F397,#REF!,6,0)*K397/1000)</f>
        <v>0</v>
      </c>
      <c r="Q397" s="6">
        <f>IF(ISERROR(VLOOKUP(F397,#REF!,3,0)),0,VLOOKUP(F397,#REF!,3,0))</f>
        <v>0</v>
      </c>
      <c r="R397" s="6">
        <f>IF(ISERROR(VLOOKUP(F397,#REF!,4,0)),0,VLOOKUP(F397,#REF!,4,0))</f>
        <v>0</v>
      </c>
      <c r="S397" s="8">
        <f>IF(ISERROR(VLOOKUP(F397,#REF!,4,0)),0,VLOOKUP(F397,#REF!,10,0)/60*K397)</f>
        <v>0</v>
      </c>
      <c r="T397" s="3"/>
      <c r="U397" s="3"/>
      <c r="V397" s="4"/>
    </row>
    <row r="398" spans="1:22" x14ac:dyDescent="0.3">
      <c r="A398" s="5">
        <f t="shared" si="19"/>
        <v>0</v>
      </c>
      <c r="B398" s="6">
        <f t="shared" si="20"/>
        <v>0</v>
      </c>
      <c r="K398" s="18">
        <f t="shared" si="18"/>
        <v>0</v>
      </c>
      <c r="L398" s="21">
        <f>IF(ISERROR(VLOOKUP($F398,#REF!,6,0)*G398/1000),0,VLOOKUP($F398,#REF!,6,0)*G398/1000)</f>
        <v>0</v>
      </c>
      <c r="M398" s="21">
        <f>IF(ISERROR(VLOOKUP($F398,#REF!,6,0)*H398/1000),0,VLOOKUP($F398,#REF!,6,0)*H398/1000)</f>
        <v>0</v>
      </c>
      <c r="N398" s="21">
        <f>IF(ISERROR(VLOOKUP($F398,#REF!,6,0)*I398/1000),0,VLOOKUP($F398,#REF!,6,0)*I398/1000)</f>
        <v>0</v>
      </c>
      <c r="O398" s="21">
        <f>IF(ISERROR(VLOOKUP($F398,#REF!,6,0)*J398/1000),0,VLOOKUP($F398,#REF!,6,0)*J398/1000)</f>
        <v>0</v>
      </c>
      <c r="P398" s="21">
        <f>IF(ISERROR(VLOOKUP(F398,#REF!,6,0)*K398/1000),0,VLOOKUP(F398,#REF!,6,0)*K398/1000)</f>
        <v>0</v>
      </c>
      <c r="Q398" s="6">
        <f>IF(ISERROR(VLOOKUP(F398,#REF!,3,0)),0,VLOOKUP(F398,#REF!,3,0))</f>
        <v>0</v>
      </c>
      <c r="R398" s="6">
        <f>IF(ISERROR(VLOOKUP(F398,#REF!,4,0)),0,VLOOKUP(F398,#REF!,4,0))</f>
        <v>0</v>
      </c>
      <c r="S398" s="8">
        <f>IF(ISERROR(VLOOKUP(F398,#REF!,4,0)),0,VLOOKUP(F398,#REF!,10,0)/60*K398)</f>
        <v>0</v>
      </c>
      <c r="T398" s="3"/>
      <c r="U398" s="3"/>
      <c r="V398" s="4"/>
    </row>
    <row r="399" spans="1:22" x14ac:dyDescent="0.3">
      <c r="A399" s="5">
        <f t="shared" si="19"/>
        <v>0</v>
      </c>
      <c r="B399" s="6">
        <f t="shared" si="20"/>
        <v>0</v>
      </c>
      <c r="K399" s="18">
        <f t="shared" si="18"/>
        <v>0</v>
      </c>
      <c r="L399" s="21">
        <f>IF(ISERROR(VLOOKUP($F399,#REF!,6,0)*G399/1000),0,VLOOKUP($F399,#REF!,6,0)*G399/1000)</f>
        <v>0</v>
      </c>
      <c r="M399" s="21">
        <f>IF(ISERROR(VLOOKUP($F399,#REF!,6,0)*H399/1000),0,VLOOKUP($F399,#REF!,6,0)*H399/1000)</f>
        <v>0</v>
      </c>
      <c r="N399" s="21">
        <f>IF(ISERROR(VLOOKUP($F399,#REF!,6,0)*I399/1000),0,VLOOKUP($F399,#REF!,6,0)*I399/1000)</f>
        <v>0</v>
      </c>
      <c r="O399" s="21">
        <f>IF(ISERROR(VLOOKUP($F399,#REF!,6,0)*J399/1000),0,VLOOKUP($F399,#REF!,6,0)*J399/1000)</f>
        <v>0</v>
      </c>
      <c r="P399" s="21">
        <f>IF(ISERROR(VLOOKUP(F399,#REF!,6,0)*K399/1000),0,VLOOKUP(F399,#REF!,6,0)*K399/1000)</f>
        <v>0</v>
      </c>
      <c r="Q399" s="6">
        <f>IF(ISERROR(VLOOKUP(F399,#REF!,3,0)),0,VLOOKUP(F399,#REF!,3,0))</f>
        <v>0</v>
      </c>
      <c r="R399" s="6">
        <f>IF(ISERROR(VLOOKUP(F399,#REF!,4,0)),0,VLOOKUP(F399,#REF!,4,0))</f>
        <v>0</v>
      </c>
      <c r="S399" s="8">
        <f>IF(ISERROR(VLOOKUP(F399,#REF!,4,0)),0,VLOOKUP(F399,#REF!,10,0)/60*K399)</f>
        <v>0</v>
      </c>
      <c r="T399" s="3"/>
      <c r="U399" s="3"/>
      <c r="V399" s="4"/>
    </row>
    <row r="400" spans="1:22" x14ac:dyDescent="0.3">
      <c r="A400" s="5">
        <f t="shared" si="19"/>
        <v>0</v>
      </c>
      <c r="B400" s="6">
        <f t="shared" si="20"/>
        <v>0</v>
      </c>
      <c r="K400" s="18">
        <f t="shared" si="18"/>
        <v>0</v>
      </c>
      <c r="L400" s="21">
        <f>IF(ISERROR(VLOOKUP($F400,#REF!,6,0)*G400/1000),0,VLOOKUP($F400,#REF!,6,0)*G400/1000)</f>
        <v>0</v>
      </c>
      <c r="M400" s="21">
        <f>IF(ISERROR(VLOOKUP($F400,#REF!,6,0)*H400/1000),0,VLOOKUP($F400,#REF!,6,0)*H400/1000)</f>
        <v>0</v>
      </c>
      <c r="N400" s="21">
        <f>IF(ISERROR(VLOOKUP($F400,#REF!,6,0)*I400/1000),0,VLOOKUP($F400,#REF!,6,0)*I400/1000)</f>
        <v>0</v>
      </c>
      <c r="O400" s="21">
        <f>IF(ISERROR(VLOOKUP($F400,#REF!,6,0)*J400/1000),0,VLOOKUP($F400,#REF!,6,0)*J400/1000)</f>
        <v>0</v>
      </c>
      <c r="P400" s="21">
        <f>IF(ISERROR(VLOOKUP(F400,#REF!,6,0)*K400/1000),0,VLOOKUP(F400,#REF!,6,0)*K400/1000)</f>
        <v>0</v>
      </c>
      <c r="Q400" s="6">
        <f>IF(ISERROR(VLOOKUP(F400,#REF!,3,0)),0,VLOOKUP(F400,#REF!,3,0))</f>
        <v>0</v>
      </c>
      <c r="R400" s="6">
        <f>IF(ISERROR(VLOOKUP(F400,#REF!,4,0)),0,VLOOKUP(F400,#REF!,4,0))</f>
        <v>0</v>
      </c>
      <c r="S400" s="8">
        <f>IF(ISERROR(VLOOKUP(F400,#REF!,4,0)),0,VLOOKUP(F400,#REF!,10,0)/60*K400)</f>
        <v>0</v>
      </c>
      <c r="T400" s="3"/>
      <c r="U400" s="3"/>
      <c r="V400" s="4"/>
    </row>
    <row r="401" spans="1:22" x14ac:dyDescent="0.3">
      <c r="A401" s="5">
        <f t="shared" si="19"/>
        <v>0</v>
      </c>
      <c r="B401" s="6">
        <f t="shared" si="20"/>
        <v>0</v>
      </c>
      <c r="K401" s="18">
        <f t="shared" si="18"/>
        <v>0</v>
      </c>
      <c r="L401" s="21">
        <f>IF(ISERROR(VLOOKUP($F401,#REF!,6,0)*G401/1000),0,VLOOKUP($F401,#REF!,6,0)*G401/1000)</f>
        <v>0</v>
      </c>
      <c r="M401" s="21">
        <f>IF(ISERROR(VLOOKUP($F401,#REF!,6,0)*H401/1000),0,VLOOKUP($F401,#REF!,6,0)*H401/1000)</f>
        <v>0</v>
      </c>
      <c r="N401" s="21">
        <f>IF(ISERROR(VLOOKUP($F401,#REF!,6,0)*I401/1000),0,VLOOKUP($F401,#REF!,6,0)*I401/1000)</f>
        <v>0</v>
      </c>
      <c r="O401" s="21">
        <f>IF(ISERROR(VLOOKUP($F401,#REF!,6,0)*J401/1000),0,VLOOKUP($F401,#REF!,6,0)*J401/1000)</f>
        <v>0</v>
      </c>
      <c r="P401" s="21">
        <f>IF(ISERROR(VLOOKUP(F401,#REF!,6,0)*K401/1000),0,VLOOKUP(F401,#REF!,6,0)*K401/1000)</f>
        <v>0</v>
      </c>
      <c r="Q401" s="6">
        <f>IF(ISERROR(VLOOKUP(F401,#REF!,3,0)),0,VLOOKUP(F401,#REF!,3,0))</f>
        <v>0</v>
      </c>
      <c r="R401" s="6">
        <f>IF(ISERROR(VLOOKUP(F401,#REF!,4,0)),0,VLOOKUP(F401,#REF!,4,0))</f>
        <v>0</v>
      </c>
      <c r="S401" s="8">
        <f>IF(ISERROR(VLOOKUP(F401,#REF!,4,0)),0,VLOOKUP(F401,#REF!,10,0)/60*K401)</f>
        <v>0</v>
      </c>
      <c r="T401" s="3"/>
      <c r="U401" s="3"/>
      <c r="V401" s="4"/>
    </row>
    <row r="402" spans="1:22" x14ac:dyDescent="0.3">
      <c r="A402" s="5">
        <f t="shared" si="19"/>
        <v>0</v>
      </c>
      <c r="B402" s="6">
        <f t="shared" si="20"/>
        <v>0</v>
      </c>
      <c r="K402" s="18">
        <f t="shared" si="18"/>
        <v>0</v>
      </c>
      <c r="L402" s="21">
        <f>IF(ISERROR(VLOOKUP($F402,#REF!,6,0)*G402/1000),0,VLOOKUP($F402,#REF!,6,0)*G402/1000)</f>
        <v>0</v>
      </c>
      <c r="M402" s="21">
        <f>IF(ISERROR(VLOOKUP($F402,#REF!,6,0)*H402/1000),0,VLOOKUP($F402,#REF!,6,0)*H402/1000)</f>
        <v>0</v>
      </c>
      <c r="N402" s="21">
        <f>IF(ISERROR(VLOOKUP($F402,#REF!,6,0)*I402/1000),0,VLOOKUP($F402,#REF!,6,0)*I402/1000)</f>
        <v>0</v>
      </c>
      <c r="O402" s="21">
        <f>IF(ISERROR(VLOOKUP($F402,#REF!,6,0)*J402/1000),0,VLOOKUP($F402,#REF!,6,0)*J402/1000)</f>
        <v>0</v>
      </c>
      <c r="P402" s="21">
        <f>IF(ISERROR(VLOOKUP(F402,#REF!,6,0)*K402/1000),0,VLOOKUP(F402,#REF!,6,0)*K402/1000)</f>
        <v>0</v>
      </c>
      <c r="Q402" s="6">
        <f>IF(ISERROR(VLOOKUP(F402,#REF!,3,0)),0,VLOOKUP(F402,#REF!,3,0))</f>
        <v>0</v>
      </c>
      <c r="R402" s="6">
        <f>IF(ISERROR(VLOOKUP(F402,#REF!,4,0)),0,VLOOKUP(F402,#REF!,4,0))</f>
        <v>0</v>
      </c>
      <c r="S402" s="8">
        <f>IF(ISERROR(VLOOKUP(F402,#REF!,4,0)),0,VLOOKUP(F402,#REF!,10,0)/60*K402)</f>
        <v>0</v>
      </c>
      <c r="T402" s="3"/>
      <c r="U402" s="3"/>
      <c r="V402" s="4"/>
    </row>
    <row r="403" spans="1:22" x14ac:dyDescent="0.3">
      <c r="A403" s="5">
        <f t="shared" si="19"/>
        <v>0</v>
      </c>
      <c r="B403" s="6">
        <f t="shared" si="20"/>
        <v>0</v>
      </c>
      <c r="K403" s="18">
        <f t="shared" si="18"/>
        <v>0</v>
      </c>
      <c r="L403" s="21">
        <f>IF(ISERROR(VLOOKUP($F403,#REF!,6,0)*G403/1000),0,VLOOKUP($F403,#REF!,6,0)*G403/1000)</f>
        <v>0</v>
      </c>
      <c r="M403" s="21">
        <f>IF(ISERROR(VLOOKUP($F403,#REF!,6,0)*H403/1000),0,VLOOKUP($F403,#REF!,6,0)*H403/1000)</f>
        <v>0</v>
      </c>
      <c r="N403" s="21">
        <f>IF(ISERROR(VLOOKUP($F403,#REF!,6,0)*I403/1000),0,VLOOKUP($F403,#REF!,6,0)*I403/1000)</f>
        <v>0</v>
      </c>
      <c r="O403" s="21">
        <f>IF(ISERROR(VLOOKUP($F403,#REF!,6,0)*J403/1000),0,VLOOKUP($F403,#REF!,6,0)*J403/1000)</f>
        <v>0</v>
      </c>
      <c r="P403" s="21">
        <f>IF(ISERROR(VLOOKUP(F403,#REF!,6,0)*K403/1000),0,VLOOKUP(F403,#REF!,6,0)*K403/1000)</f>
        <v>0</v>
      </c>
      <c r="Q403" s="6">
        <f>IF(ISERROR(VLOOKUP(F403,#REF!,3,0)),0,VLOOKUP(F403,#REF!,3,0))</f>
        <v>0</v>
      </c>
      <c r="R403" s="6">
        <f>IF(ISERROR(VLOOKUP(F403,#REF!,4,0)),0,VLOOKUP(F403,#REF!,4,0))</f>
        <v>0</v>
      </c>
      <c r="S403" s="8">
        <f>IF(ISERROR(VLOOKUP(F403,#REF!,4,0)),0,VLOOKUP(F403,#REF!,10,0)/60*K403)</f>
        <v>0</v>
      </c>
      <c r="T403" s="3"/>
      <c r="U403" s="3"/>
      <c r="V403" s="4"/>
    </row>
    <row r="404" spans="1:22" x14ac:dyDescent="0.3">
      <c r="A404" s="5">
        <f t="shared" si="19"/>
        <v>0</v>
      </c>
      <c r="B404" s="6">
        <f t="shared" si="20"/>
        <v>0</v>
      </c>
      <c r="K404" s="18">
        <f t="shared" si="18"/>
        <v>0</v>
      </c>
      <c r="L404" s="21">
        <f>IF(ISERROR(VLOOKUP($F404,#REF!,6,0)*G404/1000),0,VLOOKUP($F404,#REF!,6,0)*G404/1000)</f>
        <v>0</v>
      </c>
      <c r="M404" s="21">
        <f>IF(ISERROR(VLOOKUP($F404,#REF!,6,0)*H404/1000),0,VLOOKUP($F404,#REF!,6,0)*H404/1000)</f>
        <v>0</v>
      </c>
      <c r="N404" s="21">
        <f>IF(ISERROR(VLOOKUP($F404,#REF!,6,0)*I404/1000),0,VLOOKUP($F404,#REF!,6,0)*I404/1000)</f>
        <v>0</v>
      </c>
      <c r="O404" s="21">
        <f>IF(ISERROR(VLOOKUP($F404,#REF!,6,0)*J404/1000),0,VLOOKUP($F404,#REF!,6,0)*J404/1000)</f>
        <v>0</v>
      </c>
      <c r="P404" s="21">
        <f>IF(ISERROR(VLOOKUP(F404,#REF!,6,0)*K404/1000),0,VLOOKUP(F404,#REF!,6,0)*K404/1000)</f>
        <v>0</v>
      </c>
      <c r="Q404" s="6">
        <f>IF(ISERROR(VLOOKUP(F404,#REF!,3,0)),0,VLOOKUP(F404,#REF!,3,0))</f>
        <v>0</v>
      </c>
      <c r="R404" s="6">
        <f>IF(ISERROR(VLOOKUP(F404,#REF!,4,0)),0,VLOOKUP(F404,#REF!,4,0))</f>
        <v>0</v>
      </c>
      <c r="S404" s="8">
        <f>IF(ISERROR(VLOOKUP(F404,#REF!,4,0)),0,VLOOKUP(F404,#REF!,10,0)/60*K404)</f>
        <v>0</v>
      </c>
      <c r="T404" s="3"/>
      <c r="U404" s="3"/>
      <c r="V404" s="4"/>
    </row>
    <row r="405" spans="1:22" x14ac:dyDescent="0.3">
      <c r="A405" s="5">
        <f t="shared" si="19"/>
        <v>0</v>
      </c>
      <c r="B405" s="6">
        <f t="shared" si="20"/>
        <v>0</v>
      </c>
      <c r="K405" s="18">
        <f t="shared" si="18"/>
        <v>0</v>
      </c>
      <c r="L405" s="21">
        <f>IF(ISERROR(VLOOKUP($F405,#REF!,6,0)*G405/1000),0,VLOOKUP($F405,#REF!,6,0)*G405/1000)</f>
        <v>0</v>
      </c>
      <c r="M405" s="21">
        <f>IF(ISERROR(VLOOKUP($F405,#REF!,6,0)*H405/1000),0,VLOOKUP($F405,#REF!,6,0)*H405/1000)</f>
        <v>0</v>
      </c>
      <c r="N405" s="21">
        <f>IF(ISERROR(VLOOKUP($F405,#REF!,6,0)*I405/1000),0,VLOOKUP($F405,#REF!,6,0)*I405/1000)</f>
        <v>0</v>
      </c>
      <c r="O405" s="21">
        <f>IF(ISERROR(VLOOKUP($F405,#REF!,6,0)*J405/1000),0,VLOOKUP($F405,#REF!,6,0)*J405/1000)</f>
        <v>0</v>
      </c>
      <c r="P405" s="21">
        <f>IF(ISERROR(VLOOKUP(F405,#REF!,6,0)*K405/1000),0,VLOOKUP(F405,#REF!,6,0)*K405/1000)</f>
        <v>0</v>
      </c>
      <c r="Q405" s="6">
        <f>IF(ISERROR(VLOOKUP(F405,#REF!,3,0)),0,VLOOKUP(F405,#REF!,3,0))</f>
        <v>0</v>
      </c>
      <c r="R405" s="6">
        <f>IF(ISERROR(VLOOKUP(F405,#REF!,4,0)),0,VLOOKUP(F405,#REF!,4,0))</f>
        <v>0</v>
      </c>
      <c r="S405" s="8">
        <f>IF(ISERROR(VLOOKUP(F405,#REF!,4,0)),0,VLOOKUP(F405,#REF!,10,0)/60*K405)</f>
        <v>0</v>
      </c>
      <c r="T405" s="3"/>
      <c r="U405" s="3"/>
      <c r="V405" s="4"/>
    </row>
    <row r="406" spans="1:22" x14ac:dyDescent="0.3">
      <c r="A406" s="5">
        <f t="shared" si="19"/>
        <v>0</v>
      </c>
      <c r="B406" s="6">
        <f t="shared" si="20"/>
        <v>0</v>
      </c>
      <c r="K406" s="18">
        <f t="shared" si="18"/>
        <v>0</v>
      </c>
      <c r="L406" s="21">
        <f>IF(ISERROR(VLOOKUP($F406,#REF!,6,0)*G406/1000),0,VLOOKUP($F406,#REF!,6,0)*G406/1000)</f>
        <v>0</v>
      </c>
      <c r="M406" s="21">
        <f>IF(ISERROR(VLOOKUP($F406,#REF!,6,0)*H406/1000),0,VLOOKUP($F406,#REF!,6,0)*H406/1000)</f>
        <v>0</v>
      </c>
      <c r="N406" s="21">
        <f>IF(ISERROR(VLOOKUP($F406,#REF!,6,0)*I406/1000),0,VLOOKUP($F406,#REF!,6,0)*I406/1000)</f>
        <v>0</v>
      </c>
      <c r="O406" s="21">
        <f>IF(ISERROR(VLOOKUP($F406,#REF!,6,0)*J406/1000),0,VLOOKUP($F406,#REF!,6,0)*J406/1000)</f>
        <v>0</v>
      </c>
      <c r="P406" s="21">
        <f>IF(ISERROR(VLOOKUP(F406,#REF!,6,0)*K406/1000),0,VLOOKUP(F406,#REF!,6,0)*K406/1000)</f>
        <v>0</v>
      </c>
      <c r="Q406" s="6">
        <f>IF(ISERROR(VLOOKUP(F406,#REF!,3,0)),0,VLOOKUP(F406,#REF!,3,0))</f>
        <v>0</v>
      </c>
      <c r="R406" s="6">
        <f>IF(ISERROR(VLOOKUP(F406,#REF!,4,0)),0,VLOOKUP(F406,#REF!,4,0))</f>
        <v>0</v>
      </c>
      <c r="S406" s="8">
        <f>IF(ISERROR(VLOOKUP(F406,#REF!,4,0)),0,VLOOKUP(F406,#REF!,10,0)/60*K406)</f>
        <v>0</v>
      </c>
      <c r="T406" s="3"/>
      <c r="U406" s="3"/>
      <c r="V406" s="4"/>
    </row>
    <row r="407" spans="1:22" x14ac:dyDescent="0.3">
      <c r="A407" s="5">
        <f t="shared" si="19"/>
        <v>0</v>
      </c>
      <c r="B407" s="6">
        <f t="shared" si="20"/>
        <v>0</v>
      </c>
      <c r="K407" s="18">
        <f t="shared" si="18"/>
        <v>0</v>
      </c>
      <c r="L407" s="21">
        <f>IF(ISERROR(VLOOKUP($F407,#REF!,6,0)*G407/1000),0,VLOOKUP($F407,#REF!,6,0)*G407/1000)</f>
        <v>0</v>
      </c>
      <c r="M407" s="21">
        <f>IF(ISERROR(VLOOKUP($F407,#REF!,6,0)*H407/1000),0,VLOOKUP($F407,#REF!,6,0)*H407/1000)</f>
        <v>0</v>
      </c>
      <c r="N407" s="21">
        <f>IF(ISERROR(VLOOKUP($F407,#REF!,6,0)*I407/1000),0,VLOOKUP($F407,#REF!,6,0)*I407/1000)</f>
        <v>0</v>
      </c>
      <c r="O407" s="21">
        <f>IF(ISERROR(VLOOKUP($F407,#REF!,6,0)*J407/1000),0,VLOOKUP($F407,#REF!,6,0)*J407/1000)</f>
        <v>0</v>
      </c>
      <c r="P407" s="21">
        <f>IF(ISERROR(VLOOKUP(F407,#REF!,6,0)*K407/1000),0,VLOOKUP(F407,#REF!,6,0)*K407/1000)</f>
        <v>0</v>
      </c>
      <c r="Q407" s="6">
        <f>IF(ISERROR(VLOOKUP(F407,#REF!,3,0)),0,VLOOKUP(F407,#REF!,3,0))</f>
        <v>0</v>
      </c>
      <c r="R407" s="6">
        <f>IF(ISERROR(VLOOKUP(F407,#REF!,4,0)),0,VLOOKUP(F407,#REF!,4,0))</f>
        <v>0</v>
      </c>
      <c r="S407" s="8">
        <f>IF(ISERROR(VLOOKUP(F407,#REF!,4,0)),0,VLOOKUP(F407,#REF!,10,0)/60*K407)</f>
        <v>0</v>
      </c>
      <c r="T407" s="3"/>
      <c r="U407" s="3"/>
      <c r="V407" s="4"/>
    </row>
    <row r="408" spans="1:22" x14ac:dyDescent="0.3">
      <c r="A408" s="5">
        <f t="shared" si="19"/>
        <v>0</v>
      </c>
      <c r="B408" s="6">
        <f t="shared" si="20"/>
        <v>0</v>
      </c>
      <c r="K408" s="18">
        <f t="shared" si="18"/>
        <v>0</v>
      </c>
      <c r="L408" s="21">
        <f>IF(ISERROR(VLOOKUP($F408,#REF!,6,0)*G408/1000),0,VLOOKUP($F408,#REF!,6,0)*G408/1000)</f>
        <v>0</v>
      </c>
      <c r="M408" s="21">
        <f>IF(ISERROR(VLOOKUP($F408,#REF!,6,0)*H408/1000),0,VLOOKUP($F408,#REF!,6,0)*H408/1000)</f>
        <v>0</v>
      </c>
      <c r="N408" s="21">
        <f>IF(ISERROR(VLOOKUP($F408,#REF!,6,0)*I408/1000),0,VLOOKUP($F408,#REF!,6,0)*I408/1000)</f>
        <v>0</v>
      </c>
      <c r="O408" s="21">
        <f>IF(ISERROR(VLOOKUP($F408,#REF!,6,0)*J408/1000),0,VLOOKUP($F408,#REF!,6,0)*J408/1000)</f>
        <v>0</v>
      </c>
      <c r="P408" s="21">
        <f>IF(ISERROR(VLOOKUP(F408,#REF!,6,0)*K408/1000),0,VLOOKUP(F408,#REF!,6,0)*K408/1000)</f>
        <v>0</v>
      </c>
      <c r="Q408" s="6">
        <f>IF(ISERROR(VLOOKUP(F408,#REF!,3,0)),0,VLOOKUP(F408,#REF!,3,0))</f>
        <v>0</v>
      </c>
      <c r="R408" s="6">
        <f>IF(ISERROR(VLOOKUP(F408,#REF!,4,0)),0,VLOOKUP(F408,#REF!,4,0))</f>
        <v>0</v>
      </c>
      <c r="S408" s="8">
        <f>IF(ISERROR(VLOOKUP(F408,#REF!,4,0)),0,VLOOKUP(F408,#REF!,10,0)/60*K408)</f>
        <v>0</v>
      </c>
      <c r="T408" s="3"/>
      <c r="U408" s="3"/>
      <c r="V408" s="4"/>
    </row>
    <row r="409" spans="1:22" x14ac:dyDescent="0.3">
      <c r="A409" s="5">
        <f t="shared" si="19"/>
        <v>0</v>
      </c>
      <c r="B409" s="6">
        <f t="shared" si="20"/>
        <v>0</v>
      </c>
      <c r="K409" s="18">
        <f t="shared" si="18"/>
        <v>0</v>
      </c>
      <c r="L409" s="21">
        <f>IF(ISERROR(VLOOKUP($F409,#REF!,6,0)*G409/1000),0,VLOOKUP($F409,#REF!,6,0)*G409/1000)</f>
        <v>0</v>
      </c>
      <c r="M409" s="21">
        <f>IF(ISERROR(VLOOKUP($F409,#REF!,6,0)*H409/1000),0,VLOOKUP($F409,#REF!,6,0)*H409/1000)</f>
        <v>0</v>
      </c>
      <c r="N409" s="21">
        <f>IF(ISERROR(VLOOKUP($F409,#REF!,6,0)*I409/1000),0,VLOOKUP($F409,#REF!,6,0)*I409/1000)</f>
        <v>0</v>
      </c>
      <c r="O409" s="21">
        <f>IF(ISERROR(VLOOKUP($F409,#REF!,6,0)*J409/1000),0,VLOOKUP($F409,#REF!,6,0)*J409/1000)</f>
        <v>0</v>
      </c>
      <c r="P409" s="21">
        <f>IF(ISERROR(VLOOKUP(F409,#REF!,6,0)*K409/1000),0,VLOOKUP(F409,#REF!,6,0)*K409/1000)</f>
        <v>0</v>
      </c>
      <c r="Q409" s="6">
        <f>IF(ISERROR(VLOOKUP(F409,#REF!,3,0)),0,VLOOKUP(F409,#REF!,3,0))</f>
        <v>0</v>
      </c>
      <c r="R409" s="6">
        <f>IF(ISERROR(VLOOKUP(F409,#REF!,4,0)),0,VLOOKUP(F409,#REF!,4,0))</f>
        <v>0</v>
      </c>
      <c r="S409" s="8">
        <f>IF(ISERROR(VLOOKUP(F409,#REF!,4,0)),0,VLOOKUP(F409,#REF!,10,0)/60*K409)</f>
        <v>0</v>
      </c>
      <c r="T409" s="3"/>
      <c r="U409" s="3"/>
      <c r="V409" s="4"/>
    </row>
    <row r="410" spans="1:22" x14ac:dyDescent="0.3">
      <c r="A410" s="5">
        <f t="shared" si="19"/>
        <v>0</v>
      </c>
      <c r="B410" s="6">
        <f t="shared" si="20"/>
        <v>0</v>
      </c>
      <c r="K410" s="18">
        <f t="shared" si="18"/>
        <v>0</v>
      </c>
      <c r="L410" s="21">
        <f>IF(ISERROR(VLOOKUP($F410,#REF!,6,0)*G410/1000),0,VLOOKUP($F410,#REF!,6,0)*G410/1000)</f>
        <v>0</v>
      </c>
      <c r="M410" s="21">
        <f>IF(ISERROR(VLOOKUP($F410,#REF!,6,0)*H410/1000),0,VLOOKUP($F410,#REF!,6,0)*H410/1000)</f>
        <v>0</v>
      </c>
      <c r="N410" s="21">
        <f>IF(ISERROR(VLOOKUP($F410,#REF!,6,0)*I410/1000),0,VLOOKUP($F410,#REF!,6,0)*I410/1000)</f>
        <v>0</v>
      </c>
      <c r="O410" s="21">
        <f>IF(ISERROR(VLOOKUP($F410,#REF!,6,0)*J410/1000),0,VLOOKUP($F410,#REF!,6,0)*J410/1000)</f>
        <v>0</v>
      </c>
      <c r="P410" s="21">
        <f>IF(ISERROR(VLOOKUP(F410,#REF!,6,0)*K410/1000),0,VLOOKUP(F410,#REF!,6,0)*K410/1000)</f>
        <v>0</v>
      </c>
      <c r="Q410" s="6">
        <f>IF(ISERROR(VLOOKUP(F410,#REF!,3,0)),0,VLOOKUP(F410,#REF!,3,0))</f>
        <v>0</v>
      </c>
      <c r="R410" s="6">
        <f>IF(ISERROR(VLOOKUP(F410,#REF!,4,0)),0,VLOOKUP(F410,#REF!,4,0))</f>
        <v>0</v>
      </c>
      <c r="S410" s="8">
        <f>IF(ISERROR(VLOOKUP(F410,#REF!,4,0)),0,VLOOKUP(F410,#REF!,10,0)/60*K410)</f>
        <v>0</v>
      </c>
      <c r="T410" s="3"/>
      <c r="U410" s="3"/>
      <c r="V410" s="4"/>
    </row>
    <row r="411" spans="1:22" x14ac:dyDescent="0.3">
      <c r="A411" s="5">
        <f t="shared" si="19"/>
        <v>0</v>
      </c>
      <c r="B411" s="6">
        <f t="shared" si="20"/>
        <v>0</v>
      </c>
      <c r="K411" s="18">
        <f t="shared" si="18"/>
        <v>0</v>
      </c>
      <c r="L411" s="21">
        <f>IF(ISERROR(VLOOKUP($F411,#REF!,6,0)*G411/1000),0,VLOOKUP($F411,#REF!,6,0)*G411/1000)</f>
        <v>0</v>
      </c>
      <c r="M411" s="21">
        <f>IF(ISERROR(VLOOKUP($F411,#REF!,6,0)*H411/1000),0,VLOOKUP($F411,#REF!,6,0)*H411/1000)</f>
        <v>0</v>
      </c>
      <c r="N411" s="21">
        <f>IF(ISERROR(VLOOKUP($F411,#REF!,6,0)*I411/1000),0,VLOOKUP($F411,#REF!,6,0)*I411/1000)</f>
        <v>0</v>
      </c>
      <c r="O411" s="21">
        <f>IF(ISERROR(VLOOKUP($F411,#REF!,6,0)*J411/1000),0,VLOOKUP($F411,#REF!,6,0)*J411/1000)</f>
        <v>0</v>
      </c>
      <c r="P411" s="21">
        <f>IF(ISERROR(VLOOKUP(F411,#REF!,6,0)*K411/1000),0,VLOOKUP(F411,#REF!,6,0)*K411/1000)</f>
        <v>0</v>
      </c>
      <c r="Q411" s="6">
        <f>IF(ISERROR(VLOOKUP(F411,#REF!,3,0)),0,VLOOKUP(F411,#REF!,3,0))</f>
        <v>0</v>
      </c>
      <c r="R411" s="6">
        <f>IF(ISERROR(VLOOKUP(F411,#REF!,4,0)),0,VLOOKUP(F411,#REF!,4,0))</f>
        <v>0</v>
      </c>
      <c r="S411" s="8">
        <f>IF(ISERROR(VLOOKUP(F411,#REF!,4,0)),0,VLOOKUP(F411,#REF!,10,0)/60*K411)</f>
        <v>0</v>
      </c>
      <c r="T411" s="3"/>
      <c r="U411" s="3"/>
      <c r="V411" s="4"/>
    </row>
    <row r="412" spans="1:22" x14ac:dyDescent="0.3">
      <c r="A412" s="5">
        <f t="shared" si="19"/>
        <v>0</v>
      </c>
      <c r="B412" s="6">
        <f t="shared" si="20"/>
        <v>0</v>
      </c>
      <c r="K412" s="18">
        <f t="shared" si="18"/>
        <v>0</v>
      </c>
      <c r="L412" s="21">
        <f>IF(ISERROR(VLOOKUP($F412,#REF!,6,0)*G412/1000),0,VLOOKUP($F412,#REF!,6,0)*G412/1000)</f>
        <v>0</v>
      </c>
      <c r="M412" s="21">
        <f>IF(ISERROR(VLOOKUP($F412,#REF!,6,0)*H412/1000),0,VLOOKUP($F412,#REF!,6,0)*H412/1000)</f>
        <v>0</v>
      </c>
      <c r="N412" s="21">
        <f>IF(ISERROR(VLOOKUP($F412,#REF!,6,0)*I412/1000),0,VLOOKUP($F412,#REF!,6,0)*I412/1000)</f>
        <v>0</v>
      </c>
      <c r="O412" s="21">
        <f>IF(ISERROR(VLOOKUP($F412,#REF!,6,0)*J412/1000),0,VLOOKUP($F412,#REF!,6,0)*J412/1000)</f>
        <v>0</v>
      </c>
      <c r="P412" s="21">
        <f>IF(ISERROR(VLOOKUP(F412,#REF!,6,0)*K412/1000),0,VLOOKUP(F412,#REF!,6,0)*K412/1000)</f>
        <v>0</v>
      </c>
      <c r="Q412" s="6">
        <f>IF(ISERROR(VLOOKUP(F412,#REF!,3,0)),0,VLOOKUP(F412,#REF!,3,0))</f>
        <v>0</v>
      </c>
      <c r="R412" s="6">
        <f>IF(ISERROR(VLOOKUP(F412,#REF!,4,0)),0,VLOOKUP(F412,#REF!,4,0))</f>
        <v>0</v>
      </c>
      <c r="S412" s="8">
        <f>IF(ISERROR(VLOOKUP(F412,#REF!,4,0)),0,VLOOKUP(F412,#REF!,10,0)/60*K412)</f>
        <v>0</v>
      </c>
      <c r="T412" s="3"/>
      <c r="U412" s="3"/>
      <c r="V412" s="4"/>
    </row>
    <row r="413" spans="1:22" x14ac:dyDescent="0.3">
      <c r="A413" s="5">
        <f t="shared" si="19"/>
        <v>0</v>
      </c>
      <c r="B413" s="6">
        <f t="shared" si="20"/>
        <v>0</v>
      </c>
      <c r="K413" s="18">
        <f t="shared" si="18"/>
        <v>0</v>
      </c>
      <c r="L413" s="21">
        <f>IF(ISERROR(VLOOKUP($F413,#REF!,6,0)*G413/1000),0,VLOOKUP($F413,#REF!,6,0)*G413/1000)</f>
        <v>0</v>
      </c>
      <c r="M413" s="21">
        <f>IF(ISERROR(VLOOKUP($F413,#REF!,6,0)*H413/1000),0,VLOOKUP($F413,#REF!,6,0)*H413/1000)</f>
        <v>0</v>
      </c>
      <c r="N413" s="21">
        <f>IF(ISERROR(VLOOKUP($F413,#REF!,6,0)*I413/1000),0,VLOOKUP($F413,#REF!,6,0)*I413/1000)</f>
        <v>0</v>
      </c>
      <c r="O413" s="21">
        <f>IF(ISERROR(VLOOKUP($F413,#REF!,6,0)*J413/1000),0,VLOOKUP($F413,#REF!,6,0)*J413/1000)</f>
        <v>0</v>
      </c>
      <c r="P413" s="21">
        <f>IF(ISERROR(VLOOKUP(F413,#REF!,6,0)*K413/1000),0,VLOOKUP(F413,#REF!,6,0)*K413/1000)</f>
        <v>0</v>
      </c>
      <c r="Q413" s="6">
        <f>IF(ISERROR(VLOOKUP(F413,#REF!,3,0)),0,VLOOKUP(F413,#REF!,3,0))</f>
        <v>0</v>
      </c>
      <c r="R413" s="6">
        <f>IF(ISERROR(VLOOKUP(F413,#REF!,4,0)),0,VLOOKUP(F413,#REF!,4,0))</f>
        <v>0</v>
      </c>
      <c r="S413" s="8">
        <f>IF(ISERROR(VLOOKUP(F413,#REF!,4,0)),0,VLOOKUP(F413,#REF!,10,0)/60*K413)</f>
        <v>0</v>
      </c>
      <c r="T413" s="3"/>
      <c r="U413" s="3"/>
      <c r="V413" s="4"/>
    </row>
    <row r="414" spans="1:22" x14ac:dyDescent="0.3">
      <c r="A414" s="5">
        <f t="shared" si="19"/>
        <v>0</v>
      </c>
      <c r="B414" s="6">
        <f t="shared" si="20"/>
        <v>0</v>
      </c>
      <c r="K414" s="18">
        <f t="shared" si="18"/>
        <v>0</v>
      </c>
      <c r="L414" s="21">
        <f>IF(ISERROR(VLOOKUP($F414,#REF!,6,0)*G414/1000),0,VLOOKUP($F414,#REF!,6,0)*G414/1000)</f>
        <v>0</v>
      </c>
      <c r="M414" s="21">
        <f>IF(ISERROR(VLOOKUP($F414,#REF!,6,0)*H414/1000),0,VLOOKUP($F414,#REF!,6,0)*H414/1000)</f>
        <v>0</v>
      </c>
      <c r="N414" s="21">
        <f>IF(ISERROR(VLOOKUP($F414,#REF!,6,0)*I414/1000),0,VLOOKUP($F414,#REF!,6,0)*I414/1000)</f>
        <v>0</v>
      </c>
      <c r="O414" s="21">
        <f>IF(ISERROR(VLOOKUP($F414,#REF!,6,0)*J414/1000),0,VLOOKUP($F414,#REF!,6,0)*J414/1000)</f>
        <v>0</v>
      </c>
      <c r="P414" s="21">
        <f>IF(ISERROR(VLOOKUP(F414,#REF!,6,0)*K414/1000),0,VLOOKUP(F414,#REF!,6,0)*K414/1000)</f>
        <v>0</v>
      </c>
      <c r="Q414" s="6">
        <f>IF(ISERROR(VLOOKUP(F414,#REF!,3,0)),0,VLOOKUP(F414,#REF!,3,0))</f>
        <v>0</v>
      </c>
      <c r="R414" s="6">
        <f>IF(ISERROR(VLOOKUP(F414,#REF!,4,0)),0,VLOOKUP(F414,#REF!,4,0))</f>
        <v>0</v>
      </c>
      <c r="S414" s="8">
        <f>IF(ISERROR(VLOOKUP(F414,#REF!,4,0)),0,VLOOKUP(F414,#REF!,10,0)/60*K414)</f>
        <v>0</v>
      </c>
      <c r="T414" s="3"/>
      <c r="U414" s="3"/>
      <c r="V414" s="4"/>
    </row>
    <row r="415" spans="1:22" x14ac:dyDescent="0.3">
      <c r="A415" s="5">
        <f t="shared" si="19"/>
        <v>0</v>
      </c>
      <c r="B415" s="6">
        <f t="shared" si="20"/>
        <v>0</v>
      </c>
      <c r="K415" s="18">
        <f t="shared" si="18"/>
        <v>0</v>
      </c>
      <c r="L415" s="21">
        <f>IF(ISERROR(VLOOKUP($F415,#REF!,6,0)*G415/1000),0,VLOOKUP($F415,#REF!,6,0)*G415/1000)</f>
        <v>0</v>
      </c>
      <c r="M415" s="21">
        <f>IF(ISERROR(VLOOKUP($F415,#REF!,6,0)*H415/1000),0,VLOOKUP($F415,#REF!,6,0)*H415/1000)</f>
        <v>0</v>
      </c>
      <c r="N415" s="21">
        <f>IF(ISERROR(VLOOKUP($F415,#REF!,6,0)*I415/1000),0,VLOOKUP($F415,#REF!,6,0)*I415/1000)</f>
        <v>0</v>
      </c>
      <c r="O415" s="21">
        <f>IF(ISERROR(VLOOKUP($F415,#REF!,6,0)*J415/1000),0,VLOOKUP($F415,#REF!,6,0)*J415/1000)</f>
        <v>0</v>
      </c>
      <c r="P415" s="21">
        <f>IF(ISERROR(VLOOKUP(F415,#REF!,6,0)*K415/1000),0,VLOOKUP(F415,#REF!,6,0)*K415/1000)</f>
        <v>0</v>
      </c>
      <c r="Q415" s="6">
        <f>IF(ISERROR(VLOOKUP(F415,#REF!,3,0)),0,VLOOKUP(F415,#REF!,3,0))</f>
        <v>0</v>
      </c>
      <c r="R415" s="6">
        <f>IF(ISERROR(VLOOKUP(F415,#REF!,4,0)),0,VLOOKUP(F415,#REF!,4,0))</f>
        <v>0</v>
      </c>
      <c r="S415" s="8">
        <f>IF(ISERROR(VLOOKUP(F415,#REF!,4,0)),0,VLOOKUP(F415,#REF!,10,0)/60*K415)</f>
        <v>0</v>
      </c>
      <c r="T415" s="3"/>
      <c r="U415" s="3"/>
      <c r="V415" s="4"/>
    </row>
    <row r="416" spans="1:22" x14ac:dyDescent="0.3">
      <c r="A416" s="5">
        <f t="shared" si="19"/>
        <v>0</v>
      </c>
      <c r="B416" s="6">
        <f t="shared" si="20"/>
        <v>0</v>
      </c>
      <c r="K416" s="18">
        <f t="shared" si="18"/>
        <v>0</v>
      </c>
      <c r="L416" s="21">
        <f>IF(ISERROR(VLOOKUP($F416,#REF!,6,0)*G416/1000),0,VLOOKUP($F416,#REF!,6,0)*G416/1000)</f>
        <v>0</v>
      </c>
      <c r="M416" s="21">
        <f>IF(ISERROR(VLOOKUP($F416,#REF!,6,0)*H416/1000),0,VLOOKUP($F416,#REF!,6,0)*H416/1000)</f>
        <v>0</v>
      </c>
      <c r="N416" s="21">
        <f>IF(ISERROR(VLOOKUP($F416,#REF!,6,0)*I416/1000),0,VLOOKUP($F416,#REF!,6,0)*I416/1000)</f>
        <v>0</v>
      </c>
      <c r="O416" s="21">
        <f>IF(ISERROR(VLOOKUP($F416,#REF!,6,0)*J416/1000),0,VLOOKUP($F416,#REF!,6,0)*J416/1000)</f>
        <v>0</v>
      </c>
      <c r="P416" s="21">
        <f>IF(ISERROR(VLOOKUP(F416,#REF!,6,0)*K416/1000),0,VLOOKUP(F416,#REF!,6,0)*K416/1000)</f>
        <v>0</v>
      </c>
      <c r="Q416" s="6">
        <f>IF(ISERROR(VLOOKUP(F416,#REF!,3,0)),0,VLOOKUP(F416,#REF!,3,0))</f>
        <v>0</v>
      </c>
      <c r="R416" s="6">
        <f>IF(ISERROR(VLOOKUP(F416,#REF!,4,0)),0,VLOOKUP(F416,#REF!,4,0))</f>
        <v>0</v>
      </c>
      <c r="S416" s="8">
        <f>IF(ISERROR(VLOOKUP(F416,#REF!,4,0)),0,VLOOKUP(F416,#REF!,10,0)/60*K416)</f>
        <v>0</v>
      </c>
      <c r="T416" s="3"/>
      <c r="U416" s="3"/>
      <c r="V416" s="4"/>
    </row>
    <row r="417" spans="1:22" x14ac:dyDescent="0.3">
      <c r="A417" s="5">
        <f t="shared" si="19"/>
        <v>0</v>
      </c>
      <c r="B417" s="6">
        <f t="shared" si="20"/>
        <v>0</v>
      </c>
      <c r="K417" s="18">
        <f t="shared" si="18"/>
        <v>0</v>
      </c>
      <c r="L417" s="21">
        <f>IF(ISERROR(VLOOKUP($F417,#REF!,6,0)*G417/1000),0,VLOOKUP($F417,#REF!,6,0)*G417/1000)</f>
        <v>0</v>
      </c>
      <c r="M417" s="21">
        <f>IF(ISERROR(VLOOKUP($F417,#REF!,6,0)*H417/1000),0,VLOOKUP($F417,#REF!,6,0)*H417/1000)</f>
        <v>0</v>
      </c>
      <c r="N417" s="21">
        <f>IF(ISERROR(VLOOKUP($F417,#REF!,6,0)*I417/1000),0,VLOOKUP($F417,#REF!,6,0)*I417/1000)</f>
        <v>0</v>
      </c>
      <c r="O417" s="21">
        <f>IF(ISERROR(VLOOKUP($F417,#REF!,6,0)*J417/1000),0,VLOOKUP($F417,#REF!,6,0)*J417/1000)</f>
        <v>0</v>
      </c>
      <c r="P417" s="21">
        <f>IF(ISERROR(VLOOKUP(F417,#REF!,6,0)*K417/1000),0,VLOOKUP(F417,#REF!,6,0)*K417/1000)</f>
        <v>0</v>
      </c>
      <c r="Q417" s="6">
        <f>IF(ISERROR(VLOOKUP(F417,#REF!,3,0)),0,VLOOKUP(F417,#REF!,3,0))</f>
        <v>0</v>
      </c>
      <c r="R417" s="6">
        <f>IF(ISERROR(VLOOKUP(F417,#REF!,4,0)),0,VLOOKUP(F417,#REF!,4,0))</f>
        <v>0</v>
      </c>
      <c r="S417" s="8">
        <f>IF(ISERROR(VLOOKUP(F417,#REF!,4,0)),0,VLOOKUP(F417,#REF!,10,0)/60*K417)</f>
        <v>0</v>
      </c>
      <c r="T417" s="3"/>
      <c r="U417" s="3"/>
      <c r="V417" s="4"/>
    </row>
    <row r="418" spans="1:22" x14ac:dyDescent="0.3">
      <c r="A418" s="5">
        <f t="shared" si="19"/>
        <v>0</v>
      </c>
      <c r="B418" s="6">
        <f t="shared" si="20"/>
        <v>0</v>
      </c>
      <c r="K418" s="18">
        <f t="shared" si="18"/>
        <v>0</v>
      </c>
      <c r="L418" s="21">
        <f>IF(ISERROR(VLOOKUP($F418,#REF!,6,0)*G418/1000),0,VLOOKUP($F418,#REF!,6,0)*G418/1000)</f>
        <v>0</v>
      </c>
      <c r="M418" s="21">
        <f>IF(ISERROR(VLOOKUP($F418,#REF!,6,0)*H418/1000),0,VLOOKUP($F418,#REF!,6,0)*H418/1000)</f>
        <v>0</v>
      </c>
      <c r="N418" s="21">
        <f>IF(ISERROR(VLOOKUP($F418,#REF!,6,0)*I418/1000),0,VLOOKUP($F418,#REF!,6,0)*I418/1000)</f>
        <v>0</v>
      </c>
      <c r="O418" s="21">
        <f>IF(ISERROR(VLOOKUP($F418,#REF!,6,0)*J418/1000),0,VLOOKUP($F418,#REF!,6,0)*J418/1000)</f>
        <v>0</v>
      </c>
      <c r="P418" s="21">
        <f>IF(ISERROR(VLOOKUP(F418,#REF!,6,0)*K418/1000),0,VLOOKUP(F418,#REF!,6,0)*K418/1000)</f>
        <v>0</v>
      </c>
      <c r="Q418" s="6">
        <f>IF(ISERROR(VLOOKUP(F418,#REF!,3,0)),0,VLOOKUP(F418,#REF!,3,0))</f>
        <v>0</v>
      </c>
      <c r="R418" s="6">
        <f>IF(ISERROR(VLOOKUP(F418,#REF!,4,0)),0,VLOOKUP(F418,#REF!,4,0))</f>
        <v>0</v>
      </c>
      <c r="S418" s="8">
        <f>IF(ISERROR(VLOOKUP(F418,#REF!,4,0)),0,VLOOKUP(F418,#REF!,10,0)/60*K418)</f>
        <v>0</v>
      </c>
      <c r="T418" s="3"/>
      <c r="U418" s="3"/>
      <c r="V418" s="4"/>
    </row>
    <row r="419" spans="1:22" x14ac:dyDescent="0.3">
      <c r="A419" s="5">
        <f t="shared" si="19"/>
        <v>0</v>
      </c>
      <c r="B419" s="6">
        <f t="shared" si="20"/>
        <v>0</v>
      </c>
      <c r="K419" s="18">
        <f t="shared" si="18"/>
        <v>0</v>
      </c>
      <c r="L419" s="21">
        <f>IF(ISERROR(VLOOKUP($F419,#REF!,6,0)*G419/1000),0,VLOOKUP($F419,#REF!,6,0)*G419/1000)</f>
        <v>0</v>
      </c>
      <c r="M419" s="21">
        <f>IF(ISERROR(VLOOKUP($F419,#REF!,6,0)*H419/1000),0,VLOOKUP($F419,#REF!,6,0)*H419/1000)</f>
        <v>0</v>
      </c>
      <c r="N419" s="21">
        <f>IF(ISERROR(VLOOKUP($F419,#REF!,6,0)*I419/1000),0,VLOOKUP($F419,#REF!,6,0)*I419/1000)</f>
        <v>0</v>
      </c>
      <c r="O419" s="21">
        <f>IF(ISERROR(VLOOKUP($F419,#REF!,6,0)*J419/1000),0,VLOOKUP($F419,#REF!,6,0)*J419/1000)</f>
        <v>0</v>
      </c>
      <c r="P419" s="21">
        <f>IF(ISERROR(VLOOKUP(F419,#REF!,6,0)*K419/1000),0,VLOOKUP(F419,#REF!,6,0)*K419/1000)</f>
        <v>0</v>
      </c>
      <c r="Q419" s="6">
        <f>IF(ISERROR(VLOOKUP(F419,#REF!,3,0)),0,VLOOKUP(F419,#REF!,3,0))</f>
        <v>0</v>
      </c>
      <c r="R419" s="6">
        <f>IF(ISERROR(VLOOKUP(F419,#REF!,4,0)),0,VLOOKUP(F419,#REF!,4,0))</f>
        <v>0</v>
      </c>
      <c r="S419" s="8">
        <f>IF(ISERROR(VLOOKUP(F419,#REF!,4,0)),0,VLOOKUP(F419,#REF!,10,0)/60*K419)</f>
        <v>0</v>
      </c>
      <c r="T419" s="3"/>
      <c r="U419" s="3"/>
      <c r="V419" s="4"/>
    </row>
    <row r="420" spans="1:22" x14ac:dyDescent="0.3">
      <c r="A420" s="5">
        <f t="shared" si="19"/>
        <v>0</v>
      </c>
      <c r="B420" s="6">
        <f t="shared" si="20"/>
        <v>0</v>
      </c>
      <c r="K420" s="18">
        <f t="shared" si="18"/>
        <v>0</v>
      </c>
      <c r="L420" s="21">
        <f>IF(ISERROR(VLOOKUP($F420,#REF!,6,0)*G420/1000),0,VLOOKUP($F420,#REF!,6,0)*G420/1000)</f>
        <v>0</v>
      </c>
      <c r="M420" s="21">
        <f>IF(ISERROR(VLOOKUP($F420,#REF!,6,0)*H420/1000),0,VLOOKUP($F420,#REF!,6,0)*H420/1000)</f>
        <v>0</v>
      </c>
      <c r="N420" s="21">
        <f>IF(ISERROR(VLOOKUP($F420,#REF!,6,0)*I420/1000),0,VLOOKUP($F420,#REF!,6,0)*I420/1000)</f>
        <v>0</v>
      </c>
      <c r="O420" s="21">
        <f>IF(ISERROR(VLOOKUP($F420,#REF!,6,0)*J420/1000),0,VLOOKUP($F420,#REF!,6,0)*J420/1000)</f>
        <v>0</v>
      </c>
      <c r="P420" s="21">
        <f>IF(ISERROR(VLOOKUP(F420,#REF!,6,0)*K420/1000),0,VLOOKUP(F420,#REF!,6,0)*K420/1000)</f>
        <v>0</v>
      </c>
      <c r="Q420" s="6">
        <f>IF(ISERROR(VLOOKUP(F420,#REF!,3,0)),0,VLOOKUP(F420,#REF!,3,0))</f>
        <v>0</v>
      </c>
      <c r="R420" s="6">
        <f>IF(ISERROR(VLOOKUP(F420,#REF!,4,0)),0,VLOOKUP(F420,#REF!,4,0))</f>
        <v>0</v>
      </c>
      <c r="S420" s="8">
        <f>IF(ISERROR(VLOOKUP(F420,#REF!,4,0)),0,VLOOKUP(F420,#REF!,10,0)/60*K420)</f>
        <v>0</v>
      </c>
      <c r="T420" s="3"/>
      <c r="U420" s="3"/>
      <c r="V420" s="4"/>
    </row>
    <row r="421" spans="1:22" x14ac:dyDescent="0.3">
      <c r="A421" s="5">
        <f t="shared" si="19"/>
        <v>0</v>
      </c>
      <c r="B421" s="6">
        <f t="shared" si="20"/>
        <v>0</v>
      </c>
      <c r="K421" s="18">
        <f t="shared" si="18"/>
        <v>0</v>
      </c>
      <c r="L421" s="21">
        <f>IF(ISERROR(VLOOKUP($F421,#REF!,6,0)*G421/1000),0,VLOOKUP($F421,#REF!,6,0)*G421/1000)</f>
        <v>0</v>
      </c>
      <c r="M421" s="21">
        <f>IF(ISERROR(VLOOKUP($F421,#REF!,6,0)*H421/1000),0,VLOOKUP($F421,#REF!,6,0)*H421/1000)</f>
        <v>0</v>
      </c>
      <c r="N421" s="21">
        <f>IF(ISERROR(VLOOKUP($F421,#REF!,6,0)*I421/1000),0,VLOOKUP($F421,#REF!,6,0)*I421/1000)</f>
        <v>0</v>
      </c>
      <c r="O421" s="21">
        <f>IF(ISERROR(VLOOKUP($F421,#REF!,6,0)*J421/1000),0,VLOOKUP($F421,#REF!,6,0)*J421/1000)</f>
        <v>0</v>
      </c>
      <c r="P421" s="21">
        <f>IF(ISERROR(VLOOKUP(F421,#REF!,6,0)*K421/1000),0,VLOOKUP(F421,#REF!,6,0)*K421/1000)</f>
        <v>0</v>
      </c>
      <c r="Q421" s="6">
        <f>IF(ISERROR(VLOOKUP(F421,#REF!,3,0)),0,VLOOKUP(F421,#REF!,3,0))</f>
        <v>0</v>
      </c>
      <c r="R421" s="6">
        <f>IF(ISERROR(VLOOKUP(F421,#REF!,4,0)),0,VLOOKUP(F421,#REF!,4,0))</f>
        <v>0</v>
      </c>
      <c r="S421" s="8">
        <f>IF(ISERROR(VLOOKUP(F421,#REF!,4,0)),0,VLOOKUP(F421,#REF!,10,0)/60*K421)</f>
        <v>0</v>
      </c>
      <c r="T421" s="3"/>
      <c r="U421" s="3"/>
      <c r="V421" s="4"/>
    </row>
    <row r="422" spans="1:22" x14ac:dyDescent="0.3">
      <c r="A422" s="5">
        <f t="shared" si="19"/>
        <v>0</v>
      </c>
      <c r="B422" s="6">
        <f t="shared" si="20"/>
        <v>0</v>
      </c>
      <c r="K422" s="18">
        <f t="shared" si="18"/>
        <v>0</v>
      </c>
      <c r="L422" s="21">
        <f>IF(ISERROR(VLOOKUP($F422,#REF!,6,0)*G422/1000),0,VLOOKUP($F422,#REF!,6,0)*G422/1000)</f>
        <v>0</v>
      </c>
      <c r="M422" s="21">
        <f>IF(ISERROR(VLOOKUP($F422,#REF!,6,0)*H422/1000),0,VLOOKUP($F422,#REF!,6,0)*H422/1000)</f>
        <v>0</v>
      </c>
      <c r="N422" s="21">
        <f>IF(ISERROR(VLOOKUP($F422,#REF!,6,0)*I422/1000),0,VLOOKUP($F422,#REF!,6,0)*I422/1000)</f>
        <v>0</v>
      </c>
      <c r="O422" s="21">
        <f>IF(ISERROR(VLOOKUP($F422,#REF!,6,0)*J422/1000),0,VLOOKUP($F422,#REF!,6,0)*J422/1000)</f>
        <v>0</v>
      </c>
      <c r="P422" s="21">
        <f>IF(ISERROR(VLOOKUP(F422,#REF!,6,0)*K422/1000),0,VLOOKUP(F422,#REF!,6,0)*K422/1000)</f>
        <v>0</v>
      </c>
      <c r="Q422" s="6">
        <f>IF(ISERROR(VLOOKUP(F422,#REF!,3,0)),0,VLOOKUP(F422,#REF!,3,0))</f>
        <v>0</v>
      </c>
      <c r="R422" s="6">
        <f>IF(ISERROR(VLOOKUP(F422,#REF!,4,0)),0,VLOOKUP(F422,#REF!,4,0))</f>
        <v>0</v>
      </c>
      <c r="S422" s="8">
        <f>IF(ISERROR(VLOOKUP(F422,#REF!,4,0)),0,VLOOKUP(F422,#REF!,10,0)/60*K422)</f>
        <v>0</v>
      </c>
      <c r="T422" s="3"/>
      <c r="U422" s="3"/>
      <c r="V422" s="4"/>
    </row>
    <row r="423" spans="1:22" x14ac:dyDescent="0.3">
      <c r="A423" s="5">
        <f t="shared" si="19"/>
        <v>0</v>
      </c>
      <c r="B423" s="6">
        <f t="shared" si="20"/>
        <v>0</v>
      </c>
      <c r="K423" s="18">
        <f t="shared" si="18"/>
        <v>0</v>
      </c>
      <c r="L423" s="21">
        <f>IF(ISERROR(VLOOKUP($F423,#REF!,6,0)*G423/1000),0,VLOOKUP($F423,#REF!,6,0)*G423/1000)</f>
        <v>0</v>
      </c>
      <c r="M423" s="21">
        <f>IF(ISERROR(VLOOKUP($F423,#REF!,6,0)*H423/1000),0,VLOOKUP($F423,#REF!,6,0)*H423/1000)</f>
        <v>0</v>
      </c>
      <c r="N423" s="21">
        <f>IF(ISERROR(VLOOKUP($F423,#REF!,6,0)*I423/1000),0,VLOOKUP($F423,#REF!,6,0)*I423/1000)</f>
        <v>0</v>
      </c>
      <c r="O423" s="21">
        <f>IF(ISERROR(VLOOKUP($F423,#REF!,6,0)*J423/1000),0,VLOOKUP($F423,#REF!,6,0)*J423/1000)</f>
        <v>0</v>
      </c>
      <c r="P423" s="21">
        <f>IF(ISERROR(VLOOKUP(F423,#REF!,6,0)*K423/1000),0,VLOOKUP(F423,#REF!,6,0)*K423/1000)</f>
        <v>0</v>
      </c>
      <c r="Q423" s="6">
        <f>IF(ISERROR(VLOOKUP(F423,#REF!,3,0)),0,VLOOKUP(F423,#REF!,3,0))</f>
        <v>0</v>
      </c>
      <c r="R423" s="6">
        <f>IF(ISERROR(VLOOKUP(F423,#REF!,4,0)),0,VLOOKUP(F423,#REF!,4,0))</f>
        <v>0</v>
      </c>
      <c r="S423" s="8">
        <f>IF(ISERROR(VLOOKUP(F423,#REF!,4,0)),0,VLOOKUP(F423,#REF!,10,0)/60*K423)</f>
        <v>0</v>
      </c>
      <c r="T423" s="3"/>
      <c r="U423" s="3"/>
      <c r="V423" s="4"/>
    </row>
    <row r="424" spans="1:22" x14ac:dyDescent="0.3">
      <c r="A424" s="5">
        <f t="shared" si="19"/>
        <v>0</v>
      </c>
      <c r="B424" s="6">
        <f t="shared" si="20"/>
        <v>0</v>
      </c>
      <c r="K424" s="18">
        <f t="shared" si="18"/>
        <v>0</v>
      </c>
      <c r="L424" s="21">
        <f>IF(ISERROR(VLOOKUP($F424,#REF!,6,0)*G424/1000),0,VLOOKUP($F424,#REF!,6,0)*G424/1000)</f>
        <v>0</v>
      </c>
      <c r="M424" s="21">
        <f>IF(ISERROR(VLOOKUP($F424,#REF!,6,0)*H424/1000),0,VLOOKUP($F424,#REF!,6,0)*H424/1000)</f>
        <v>0</v>
      </c>
      <c r="N424" s="21">
        <f>IF(ISERROR(VLOOKUP($F424,#REF!,6,0)*I424/1000),0,VLOOKUP($F424,#REF!,6,0)*I424/1000)</f>
        <v>0</v>
      </c>
      <c r="O424" s="21">
        <f>IF(ISERROR(VLOOKUP($F424,#REF!,6,0)*J424/1000),0,VLOOKUP($F424,#REF!,6,0)*J424/1000)</f>
        <v>0</v>
      </c>
      <c r="P424" s="21">
        <f>IF(ISERROR(VLOOKUP(F424,#REF!,6,0)*K424/1000),0,VLOOKUP(F424,#REF!,6,0)*K424/1000)</f>
        <v>0</v>
      </c>
      <c r="Q424" s="6">
        <f>IF(ISERROR(VLOOKUP(F424,#REF!,3,0)),0,VLOOKUP(F424,#REF!,3,0))</f>
        <v>0</v>
      </c>
      <c r="R424" s="6">
        <f>IF(ISERROR(VLOOKUP(F424,#REF!,4,0)),0,VLOOKUP(F424,#REF!,4,0))</f>
        <v>0</v>
      </c>
      <c r="S424" s="8">
        <f>IF(ISERROR(VLOOKUP(F424,#REF!,4,0)),0,VLOOKUP(F424,#REF!,10,0)/60*K424)</f>
        <v>0</v>
      </c>
      <c r="T424" s="3"/>
      <c r="U424" s="3"/>
      <c r="V424" s="4"/>
    </row>
    <row r="425" spans="1:22" x14ac:dyDescent="0.3">
      <c r="A425" s="5">
        <f t="shared" si="19"/>
        <v>0</v>
      </c>
      <c r="B425" s="6">
        <f t="shared" si="20"/>
        <v>0</v>
      </c>
      <c r="K425" s="18">
        <f t="shared" si="18"/>
        <v>0</v>
      </c>
      <c r="L425" s="21">
        <f>IF(ISERROR(VLOOKUP($F425,#REF!,6,0)*G425/1000),0,VLOOKUP($F425,#REF!,6,0)*G425/1000)</f>
        <v>0</v>
      </c>
      <c r="M425" s="21">
        <f>IF(ISERROR(VLOOKUP($F425,#REF!,6,0)*H425/1000),0,VLOOKUP($F425,#REF!,6,0)*H425/1000)</f>
        <v>0</v>
      </c>
      <c r="N425" s="21">
        <f>IF(ISERROR(VLOOKUP($F425,#REF!,6,0)*I425/1000),0,VLOOKUP($F425,#REF!,6,0)*I425/1000)</f>
        <v>0</v>
      </c>
      <c r="O425" s="21">
        <f>IF(ISERROR(VLOOKUP($F425,#REF!,6,0)*J425/1000),0,VLOOKUP($F425,#REF!,6,0)*J425/1000)</f>
        <v>0</v>
      </c>
      <c r="P425" s="21">
        <f>IF(ISERROR(VLOOKUP(F425,#REF!,6,0)*K425/1000),0,VLOOKUP(F425,#REF!,6,0)*K425/1000)</f>
        <v>0</v>
      </c>
      <c r="Q425" s="6">
        <f>IF(ISERROR(VLOOKUP(F425,#REF!,3,0)),0,VLOOKUP(F425,#REF!,3,0))</f>
        <v>0</v>
      </c>
      <c r="R425" s="6">
        <f>IF(ISERROR(VLOOKUP(F425,#REF!,4,0)),0,VLOOKUP(F425,#REF!,4,0))</f>
        <v>0</v>
      </c>
      <c r="S425" s="8">
        <f>IF(ISERROR(VLOOKUP(F425,#REF!,4,0)),0,VLOOKUP(F425,#REF!,10,0)/60*K425)</f>
        <v>0</v>
      </c>
      <c r="T425" s="3"/>
      <c r="U425" s="3"/>
      <c r="V425" s="4"/>
    </row>
    <row r="426" spans="1:22" x14ac:dyDescent="0.3">
      <c r="A426" s="5">
        <f t="shared" si="19"/>
        <v>0</v>
      </c>
      <c r="B426" s="6">
        <f t="shared" si="20"/>
        <v>0</v>
      </c>
      <c r="K426" s="18">
        <f t="shared" si="18"/>
        <v>0</v>
      </c>
      <c r="L426" s="21">
        <f>IF(ISERROR(VLOOKUP($F426,#REF!,6,0)*G426/1000),0,VLOOKUP($F426,#REF!,6,0)*G426/1000)</f>
        <v>0</v>
      </c>
      <c r="M426" s="21">
        <f>IF(ISERROR(VLOOKUP($F426,#REF!,6,0)*H426/1000),0,VLOOKUP($F426,#REF!,6,0)*H426/1000)</f>
        <v>0</v>
      </c>
      <c r="N426" s="21">
        <f>IF(ISERROR(VLOOKUP($F426,#REF!,6,0)*I426/1000),0,VLOOKUP($F426,#REF!,6,0)*I426/1000)</f>
        <v>0</v>
      </c>
      <c r="O426" s="21">
        <f>IF(ISERROR(VLOOKUP($F426,#REF!,6,0)*J426/1000),0,VLOOKUP($F426,#REF!,6,0)*J426/1000)</f>
        <v>0</v>
      </c>
      <c r="P426" s="21">
        <f>IF(ISERROR(VLOOKUP(F426,#REF!,6,0)*K426/1000),0,VLOOKUP(F426,#REF!,6,0)*K426/1000)</f>
        <v>0</v>
      </c>
      <c r="Q426" s="6">
        <f>IF(ISERROR(VLOOKUP(F426,#REF!,3,0)),0,VLOOKUP(F426,#REF!,3,0))</f>
        <v>0</v>
      </c>
      <c r="R426" s="6">
        <f>IF(ISERROR(VLOOKUP(F426,#REF!,4,0)),0,VLOOKUP(F426,#REF!,4,0))</f>
        <v>0</v>
      </c>
      <c r="S426" s="8">
        <f>IF(ISERROR(VLOOKUP(F426,#REF!,4,0)),0,VLOOKUP(F426,#REF!,10,0)/60*K426)</f>
        <v>0</v>
      </c>
      <c r="T426" s="3"/>
      <c r="U426" s="3"/>
      <c r="V426" s="4"/>
    </row>
    <row r="427" spans="1:22" x14ac:dyDescent="0.3">
      <c r="A427" s="5">
        <f t="shared" si="19"/>
        <v>0</v>
      </c>
      <c r="B427" s="6">
        <f t="shared" si="20"/>
        <v>0</v>
      </c>
      <c r="K427" s="18">
        <f t="shared" si="18"/>
        <v>0</v>
      </c>
      <c r="L427" s="21">
        <f>IF(ISERROR(VLOOKUP($F427,#REF!,6,0)*G427/1000),0,VLOOKUP($F427,#REF!,6,0)*G427/1000)</f>
        <v>0</v>
      </c>
      <c r="M427" s="21">
        <f>IF(ISERROR(VLOOKUP($F427,#REF!,6,0)*H427/1000),0,VLOOKUP($F427,#REF!,6,0)*H427/1000)</f>
        <v>0</v>
      </c>
      <c r="N427" s="21">
        <f>IF(ISERROR(VLOOKUP($F427,#REF!,6,0)*I427/1000),0,VLOOKUP($F427,#REF!,6,0)*I427/1000)</f>
        <v>0</v>
      </c>
      <c r="O427" s="21">
        <f>IF(ISERROR(VLOOKUP($F427,#REF!,6,0)*J427/1000),0,VLOOKUP($F427,#REF!,6,0)*J427/1000)</f>
        <v>0</v>
      </c>
      <c r="P427" s="21">
        <f>IF(ISERROR(VLOOKUP(F427,#REF!,6,0)*K427/1000),0,VLOOKUP(F427,#REF!,6,0)*K427/1000)</f>
        <v>0</v>
      </c>
      <c r="Q427" s="6">
        <f>IF(ISERROR(VLOOKUP(F427,#REF!,3,0)),0,VLOOKUP(F427,#REF!,3,0))</f>
        <v>0</v>
      </c>
      <c r="R427" s="6">
        <f>IF(ISERROR(VLOOKUP(F427,#REF!,4,0)),0,VLOOKUP(F427,#REF!,4,0))</f>
        <v>0</v>
      </c>
      <c r="S427" s="8">
        <f>IF(ISERROR(VLOOKUP(F427,#REF!,4,0)),0,VLOOKUP(F427,#REF!,10,0)/60*K427)</f>
        <v>0</v>
      </c>
      <c r="T427" s="3"/>
      <c r="U427" s="3"/>
      <c r="V427" s="4"/>
    </row>
    <row r="428" spans="1:22" x14ac:dyDescent="0.3">
      <c r="A428" s="5">
        <f t="shared" si="19"/>
        <v>0</v>
      </c>
      <c r="B428" s="6">
        <f t="shared" si="20"/>
        <v>0</v>
      </c>
      <c r="K428" s="18">
        <f t="shared" si="18"/>
        <v>0</v>
      </c>
      <c r="L428" s="21">
        <f>IF(ISERROR(VLOOKUP($F428,#REF!,6,0)*G428/1000),0,VLOOKUP($F428,#REF!,6,0)*G428/1000)</f>
        <v>0</v>
      </c>
      <c r="M428" s="21">
        <f>IF(ISERROR(VLOOKUP($F428,#REF!,6,0)*H428/1000),0,VLOOKUP($F428,#REF!,6,0)*H428/1000)</f>
        <v>0</v>
      </c>
      <c r="N428" s="21">
        <f>IF(ISERROR(VLOOKUP($F428,#REF!,6,0)*I428/1000),0,VLOOKUP($F428,#REF!,6,0)*I428/1000)</f>
        <v>0</v>
      </c>
      <c r="O428" s="21">
        <f>IF(ISERROR(VLOOKUP($F428,#REF!,6,0)*J428/1000),0,VLOOKUP($F428,#REF!,6,0)*J428/1000)</f>
        <v>0</v>
      </c>
      <c r="P428" s="21">
        <f>IF(ISERROR(VLOOKUP(F428,#REF!,6,0)*K428/1000),0,VLOOKUP(F428,#REF!,6,0)*K428/1000)</f>
        <v>0</v>
      </c>
      <c r="Q428" s="6">
        <f>IF(ISERROR(VLOOKUP(F428,#REF!,3,0)),0,VLOOKUP(F428,#REF!,3,0))</f>
        <v>0</v>
      </c>
      <c r="R428" s="6">
        <f>IF(ISERROR(VLOOKUP(F428,#REF!,4,0)),0,VLOOKUP(F428,#REF!,4,0))</f>
        <v>0</v>
      </c>
      <c r="S428" s="8">
        <f>IF(ISERROR(VLOOKUP(F428,#REF!,4,0)),0,VLOOKUP(F428,#REF!,10,0)/60*K428)</f>
        <v>0</v>
      </c>
      <c r="T428" s="3"/>
      <c r="U428" s="3"/>
      <c r="V428" s="4"/>
    </row>
    <row r="429" spans="1:22" x14ac:dyDescent="0.3">
      <c r="A429" s="5">
        <f t="shared" si="19"/>
        <v>0</v>
      </c>
      <c r="B429" s="6">
        <f t="shared" si="20"/>
        <v>0</v>
      </c>
      <c r="K429" s="18">
        <f t="shared" si="18"/>
        <v>0</v>
      </c>
      <c r="L429" s="21">
        <f>IF(ISERROR(VLOOKUP($F429,#REF!,6,0)*G429/1000),0,VLOOKUP($F429,#REF!,6,0)*G429/1000)</f>
        <v>0</v>
      </c>
      <c r="M429" s="21">
        <f>IF(ISERROR(VLOOKUP($F429,#REF!,6,0)*H429/1000),0,VLOOKUP($F429,#REF!,6,0)*H429/1000)</f>
        <v>0</v>
      </c>
      <c r="N429" s="21">
        <f>IF(ISERROR(VLOOKUP($F429,#REF!,6,0)*I429/1000),0,VLOOKUP($F429,#REF!,6,0)*I429/1000)</f>
        <v>0</v>
      </c>
      <c r="O429" s="21">
        <f>IF(ISERROR(VLOOKUP($F429,#REF!,6,0)*J429/1000),0,VLOOKUP($F429,#REF!,6,0)*J429/1000)</f>
        <v>0</v>
      </c>
      <c r="P429" s="21">
        <f>IF(ISERROR(VLOOKUP(F429,#REF!,6,0)*K429/1000),0,VLOOKUP(F429,#REF!,6,0)*K429/1000)</f>
        <v>0</v>
      </c>
      <c r="Q429" s="6">
        <f>IF(ISERROR(VLOOKUP(F429,#REF!,3,0)),0,VLOOKUP(F429,#REF!,3,0))</f>
        <v>0</v>
      </c>
      <c r="R429" s="6">
        <f>IF(ISERROR(VLOOKUP(F429,#REF!,4,0)),0,VLOOKUP(F429,#REF!,4,0))</f>
        <v>0</v>
      </c>
      <c r="S429" s="8">
        <f>IF(ISERROR(VLOOKUP(F429,#REF!,4,0)),0,VLOOKUP(F429,#REF!,10,0)/60*K429)</f>
        <v>0</v>
      </c>
      <c r="T429" s="3"/>
      <c r="U429" s="3"/>
      <c r="V429" s="4"/>
    </row>
    <row r="430" spans="1:22" x14ac:dyDescent="0.3">
      <c r="A430" s="5">
        <f t="shared" si="19"/>
        <v>0</v>
      </c>
      <c r="B430" s="6">
        <f t="shared" si="20"/>
        <v>0</v>
      </c>
      <c r="K430" s="18">
        <f t="shared" si="18"/>
        <v>0</v>
      </c>
      <c r="L430" s="21">
        <f>IF(ISERROR(VLOOKUP($F430,#REF!,6,0)*G430/1000),0,VLOOKUP($F430,#REF!,6,0)*G430/1000)</f>
        <v>0</v>
      </c>
      <c r="M430" s="21">
        <f>IF(ISERROR(VLOOKUP($F430,#REF!,6,0)*H430/1000),0,VLOOKUP($F430,#REF!,6,0)*H430/1000)</f>
        <v>0</v>
      </c>
      <c r="N430" s="21">
        <f>IF(ISERROR(VLOOKUP($F430,#REF!,6,0)*I430/1000),0,VLOOKUP($F430,#REF!,6,0)*I430/1000)</f>
        <v>0</v>
      </c>
      <c r="O430" s="21">
        <f>IF(ISERROR(VLOOKUP($F430,#REF!,6,0)*J430/1000),0,VLOOKUP($F430,#REF!,6,0)*J430/1000)</f>
        <v>0</v>
      </c>
      <c r="P430" s="21">
        <f>IF(ISERROR(VLOOKUP(F430,#REF!,6,0)*K430/1000),0,VLOOKUP(F430,#REF!,6,0)*K430/1000)</f>
        <v>0</v>
      </c>
      <c r="Q430" s="6">
        <f>IF(ISERROR(VLOOKUP(F430,#REF!,3,0)),0,VLOOKUP(F430,#REF!,3,0))</f>
        <v>0</v>
      </c>
      <c r="R430" s="6">
        <f>IF(ISERROR(VLOOKUP(F430,#REF!,4,0)),0,VLOOKUP(F430,#REF!,4,0))</f>
        <v>0</v>
      </c>
      <c r="S430" s="8">
        <f>IF(ISERROR(VLOOKUP(F430,#REF!,4,0)),0,VLOOKUP(F430,#REF!,10,0)/60*K430)</f>
        <v>0</v>
      </c>
      <c r="T430" s="3"/>
      <c r="U430" s="3"/>
      <c r="V430" s="4"/>
    </row>
    <row r="431" spans="1:22" x14ac:dyDescent="0.3">
      <c r="A431" s="5">
        <f t="shared" si="19"/>
        <v>0</v>
      </c>
      <c r="B431" s="6">
        <f t="shared" si="20"/>
        <v>0</v>
      </c>
      <c r="K431" s="18">
        <f t="shared" si="18"/>
        <v>0</v>
      </c>
      <c r="L431" s="21">
        <f>IF(ISERROR(VLOOKUP($F431,#REF!,6,0)*G431/1000),0,VLOOKUP($F431,#REF!,6,0)*G431/1000)</f>
        <v>0</v>
      </c>
      <c r="M431" s="21">
        <f>IF(ISERROR(VLOOKUP($F431,#REF!,6,0)*H431/1000),0,VLOOKUP($F431,#REF!,6,0)*H431/1000)</f>
        <v>0</v>
      </c>
      <c r="N431" s="21">
        <f>IF(ISERROR(VLOOKUP($F431,#REF!,6,0)*I431/1000),0,VLOOKUP($F431,#REF!,6,0)*I431/1000)</f>
        <v>0</v>
      </c>
      <c r="O431" s="21">
        <f>IF(ISERROR(VLOOKUP($F431,#REF!,6,0)*J431/1000),0,VLOOKUP($F431,#REF!,6,0)*J431/1000)</f>
        <v>0</v>
      </c>
      <c r="P431" s="21">
        <f>IF(ISERROR(VLOOKUP(F431,#REF!,6,0)*K431/1000),0,VLOOKUP(F431,#REF!,6,0)*K431/1000)</f>
        <v>0</v>
      </c>
      <c r="Q431" s="6">
        <f>IF(ISERROR(VLOOKUP(F431,#REF!,3,0)),0,VLOOKUP(F431,#REF!,3,0))</f>
        <v>0</v>
      </c>
      <c r="R431" s="6">
        <f>IF(ISERROR(VLOOKUP(F431,#REF!,4,0)),0,VLOOKUP(F431,#REF!,4,0))</f>
        <v>0</v>
      </c>
      <c r="S431" s="8">
        <f>IF(ISERROR(VLOOKUP(F431,#REF!,4,0)),0,VLOOKUP(F431,#REF!,10,0)/60*K431)</f>
        <v>0</v>
      </c>
      <c r="T431" s="3"/>
      <c r="U431" s="3"/>
      <c r="V431" s="4"/>
    </row>
    <row r="432" spans="1:22" x14ac:dyDescent="0.3">
      <c r="A432" s="5">
        <f t="shared" si="19"/>
        <v>0</v>
      </c>
      <c r="B432" s="6">
        <f t="shared" si="20"/>
        <v>0</v>
      </c>
      <c r="K432" s="18">
        <f t="shared" si="18"/>
        <v>0</v>
      </c>
      <c r="L432" s="21">
        <f>IF(ISERROR(VLOOKUP($F432,#REF!,6,0)*G432/1000),0,VLOOKUP($F432,#REF!,6,0)*G432/1000)</f>
        <v>0</v>
      </c>
      <c r="M432" s="21">
        <f>IF(ISERROR(VLOOKUP($F432,#REF!,6,0)*H432/1000),0,VLOOKUP($F432,#REF!,6,0)*H432/1000)</f>
        <v>0</v>
      </c>
      <c r="N432" s="21">
        <f>IF(ISERROR(VLOOKUP($F432,#REF!,6,0)*I432/1000),0,VLOOKUP($F432,#REF!,6,0)*I432/1000)</f>
        <v>0</v>
      </c>
      <c r="O432" s="21">
        <f>IF(ISERROR(VLOOKUP($F432,#REF!,6,0)*J432/1000),0,VLOOKUP($F432,#REF!,6,0)*J432/1000)</f>
        <v>0</v>
      </c>
      <c r="P432" s="21">
        <f>IF(ISERROR(VLOOKUP(F432,#REF!,6,0)*K432/1000),0,VLOOKUP(F432,#REF!,6,0)*K432/1000)</f>
        <v>0</v>
      </c>
      <c r="Q432" s="6">
        <f>IF(ISERROR(VLOOKUP(F432,#REF!,3,0)),0,VLOOKUP(F432,#REF!,3,0))</f>
        <v>0</v>
      </c>
      <c r="R432" s="6">
        <f>IF(ISERROR(VLOOKUP(F432,#REF!,4,0)),0,VLOOKUP(F432,#REF!,4,0))</f>
        <v>0</v>
      </c>
      <c r="S432" s="8">
        <f>IF(ISERROR(VLOOKUP(F432,#REF!,4,0)),0,VLOOKUP(F432,#REF!,10,0)/60*K432)</f>
        <v>0</v>
      </c>
      <c r="T432" s="3"/>
      <c r="U432" s="3"/>
      <c r="V432" s="4"/>
    </row>
    <row r="433" spans="1:22" x14ac:dyDescent="0.3">
      <c r="A433" s="5">
        <f t="shared" si="19"/>
        <v>0</v>
      </c>
      <c r="B433" s="6">
        <f t="shared" si="20"/>
        <v>0</v>
      </c>
      <c r="K433" s="18">
        <f t="shared" si="18"/>
        <v>0</v>
      </c>
      <c r="L433" s="21">
        <f>IF(ISERROR(VLOOKUP($F433,#REF!,6,0)*G433/1000),0,VLOOKUP($F433,#REF!,6,0)*G433/1000)</f>
        <v>0</v>
      </c>
      <c r="M433" s="21">
        <f>IF(ISERROR(VLOOKUP($F433,#REF!,6,0)*H433/1000),0,VLOOKUP($F433,#REF!,6,0)*H433/1000)</f>
        <v>0</v>
      </c>
      <c r="N433" s="21">
        <f>IF(ISERROR(VLOOKUP($F433,#REF!,6,0)*I433/1000),0,VLOOKUP($F433,#REF!,6,0)*I433/1000)</f>
        <v>0</v>
      </c>
      <c r="O433" s="21">
        <f>IF(ISERROR(VLOOKUP($F433,#REF!,6,0)*J433/1000),0,VLOOKUP($F433,#REF!,6,0)*J433/1000)</f>
        <v>0</v>
      </c>
      <c r="P433" s="21">
        <f>IF(ISERROR(VLOOKUP(F433,#REF!,6,0)*K433/1000),0,VLOOKUP(F433,#REF!,6,0)*K433/1000)</f>
        <v>0</v>
      </c>
      <c r="Q433" s="6">
        <f>IF(ISERROR(VLOOKUP(F433,#REF!,3,0)),0,VLOOKUP(F433,#REF!,3,0))</f>
        <v>0</v>
      </c>
      <c r="R433" s="6">
        <f>IF(ISERROR(VLOOKUP(F433,#REF!,4,0)),0,VLOOKUP(F433,#REF!,4,0))</f>
        <v>0</v>
      </c>
      <c r="S433" s="8">
        <f>IF(ISERROR(VLOOKUP(F433,#REF!,4,0)),0,VLOOKUP(F433,#REF!,10,0)/60*K433)</f>
        <v>0</v>
      </c>
      <c r="T433" s="3"/>
      <c r="U433" s="3"/>
      <c r="V433" s="4"/>
    </row>
    <row r="434" spans="1:22" x14ac:dyDescent="0.3">
      <c r="A434" s="5">
        <f t="shared" si="19"/>
        <v>0</v>
      </c>
      <c r="B434" s="6">
        <f t="shared" si="20"/>
        <v>0</v>
      </c>
      <c r="K434" s="18">
        <f t="shared" si="18"/>
        <v>0</v>
      </c>
      <c r="L434" s="21">
        <f>IF(ISERROR(VLOOKUP($F434,#REF!,6,0)*G434/1000),0,VLOOKUP($F434,#REF!,6,0)*G434/1000)</f>
        <v>0</v>
      </c>
      <c r="M434" s="21">
        <f>IF(ISERROR(VLOOKUP($F434,#REF!,6,0)*H434/1000),0,VLOOKUP($F434,#REF!,6,0)*H434/1000)</f>
        <v>0</v>
      </c>
      <c r="N434" s="21">
        <f>IF(ISERROR(VLOOKUP($F434,#REF!,6,0)*I434/1000),0,VLOOKUP($F434,#REF!,6,0)*I434/1000)</f>
        <v>0</v>
      </c>
      <c r="O434" s="21">
        <f>IF(ISERROR(VLOOKUP($F434,#REF!,6,0)*J434/1000),0,VLOOKUP($F434,#REF!,6,0)*J434/1000)</f>
        <v>0</v>
      </c>
      <c r="P434" s="21">
        <f>IF(ISERROR(VLOOKUP(F434,#REF!,6,0)*K434/1000),0,VLOOKUP(F434,#REF!,6,0)*K434/1000)</f>
        <v>0</v>
      </c>
      <c r="Q434" s="6">
        <f>IF(ISERROR(VLOOKUP(F434,#REF!,3,0)),0,VLOOKUP(F434,#REF!,3,0))</f>
        <v>0</v>
      </c>
      <c r="R434" s="6">
        <f>IF(ISERROR(VLOOKUP(F434,#REF!,4,0)),0,VLOOKUP(F434,#REF!,4,0))</f>
        <v>0</v>
      </c>
      <c r="S434" s="8">
        <f>IF(ISERROR(VLOOKUP(F434,#REF!,4,0)),0,VLOOKUP(F434,#REF!,10,0)/60*K434)</f>
        <v>0</v>
      </c>
      <c r="T434" s="3"/>
      <c r="U434" s="3"/>
      <c r="V434" s="4"/>
    </row>
    <row r="435" spans="1:22" x14ac:dyDescent="0.3">
      <c r="A435" s="5">
        <f t="shared" si="19"/>
        <v>0</v>
      </c>
      <c r="B435" s="6">
        <f t="shared" si="20"/>
        <v>0</v>
      </c>
      <c r="K435" s="18">
        <f t="shared" si="18"/>
        <v>0</v>
      </c>
      <c r="L435" s="21">
        <f>IF(ISERROR(VLOOKUP($F435,#REF!,6,0)*G435/1000),0,VLOOKUP($F435,#REF!,6,0)*G435/1000)</f>
        <v>0</v>
      </c>
      <c r="M435" s="21">
        <f>IF(ISERROR(VLOOKUP($F435,#REF!,6,0)*H435/1000),0,VLOOKUP($F435,#REF!,6,0)*H435/1000)</f>
        <v>0</v>
      </c>
      <c r="N435" s="21">
        <f>IF(ISERROR(VLOOKUP($F435,#REF!,6,0)*I435/1000),0,VLOOKUP($F435,#REF!,6,0)*I435/1000)</f>
        <v>0</v>
      </c>
      <c r="O435" s="21">
        <f>IF(ISERROR(VLOOKUP($F435,#REF!,6,0)*J435/1000),0,VLOOKUP($F435,#REF!,6,0)*J435/1000)</f>
        <v>0</v>
      </c>
      <c r="P435" s="21">
        <f>IF(ISERROR(VLOOKUP(F435,#REF!,6,0)*K435/1000),0,VLOOKUP(F435,#REF!,6,0)*K435/1000)</f>
        <v>0</v>
      </c>
      <c r="Q435" s="6">
        <f>IF(ISERROR(VLOOKUP(F435,#REF!,3,0)),0,VLOOKUP(F435,#REF!,3,0))</f>
        <v>0</v>
      </c>
      <c r="R435" s="6">
        <f>IF(ISERROR(VLOOKUP(F435,#REF!,4,0)),0,VLOOKUP(F435,#REF!,4,0))</f>
        <v>0</v>
      </c>
      <c r="S435" s="8">
        <f>IF(ISERROR(VLOOKUP(F435,#REF!,4,0)),0,VLOOKUP(F435,#REF!,10,0)/60*K435)</f>
        <v>0</v>
      </c>
      <c r="T435" s="3"/>
      <c r="U435" s="3"/>
      <c r="V435" s="4"/>
    </row>
    <row r="436" spans="1:22" x14ac:dyDescent="0.3">
      <c r="A436" s="5">
        <f t="shared" si="19"/>
        <v>0</v>
      </c>
      <c r="B436" s="6">
        <f t="shared" si="20"/>
        <v>0</v>
      </c>
      <c r="K436" s="18">
        <f t="shared" si="18"/>
        <v>0</v>
      </c>
      <c r="L436" s="21">
        <f>IF(ISERROR(VLOOKUP($F436,#REF!,6,0)*G436/1000),0,VLOOKUP($F436,#REF!,6,0)*G436/1000)</f>
        <v>0</v>
      </c>
      <c r="M436" s="21">
        <f>IF(ISERROR(VLOOKUP($F436,#REF!,6,0)*H436/1000),0,VLOOKUP($F436,#REF!,6,0)*H436/1000)</f>
        <v>0</v>
      </c>
      <c r="N436" s="21">
        <f>IF(ISERROR(VLOOKUP($F436,#REF!,6,0)*I436/1000),0,VLOOKUP($F436,#REF!,6,0)*I436/1000)</f>
        <v>0</v>
      </c>
      <c r="O436" s="21">
        <f>IF(ISERROR(VLOOKUP($F436,#REF!,6,0)*J436/1000),0,VLOOKUP($F436,#REF!,6,0)*J436/1000)</f>
        <v>0</v>
      </c>
      <c r="P436" s="21">
        <f>IF(ISERROR(VLOOKUP(F436,#REF!,6,0)*K436/1000),0,VLOOKUP(F436,#REF!,6,0)*K436/1000)</f>
        <v>0</v>
      </c>
      <c r="Q436" s="6">
        <f>IF(ISERROR(VLOOKUP(F436,#REF!,3,0)),0,VLOOKUP(F436,#REF!,3,0))</f>
        <v>0</v>
      </c>
      <c r="R436" s="6">
        <f>IF(ISERROR(VLOOKUP(F436,#REF!,4,0)),0,VLOOKUP(F436,#REF!,4,0))</f>
        <v>0</v>
      </c>
      <c r="S436" s="8">
        <f>IF(ISERROR(VLOOKUP(F436,#REF!,4,0)),0,VLOOKUP(F436,#REF!,10,0)/60*K436)</f>
        <v>0</v>
      </c>
      <c r="T436" s="3"/>
      <c r="U436" s="3"/>
      <c r="V436" s="4"/>
    </row>
    <row r="437" spans="1:22" x14ac:dyDescent="0.3">
      <c r="A437" s="5">
        <f t="shared" si="19"/>
        <v>0</v>
      </c>
      <c r="B437" s="6">
        <f t="shared" si="20"/>
        <v>0</v>
      </c>
      <c r="K437" s="18">
        <f t="shared" si="18"/>
        <v>0</v>
      </c>
      <c r="L437" s="21">
        <f>IF(ISERROR(VLOOKUP($F437,#REF!,6,0)*G437/1000),0,VLOOKUP($F437,#REF!,6,0)*G437/1000)</f>
        <v>0</v>
      </c>
      <c r="M437" s="21">
        <f>IF(ISERROR(VLOOKUP($F437,#REF!,6,0)*H437/1000),0,VLOOKUP($F437,#REF!,6,0)*H437/1000)</f>
        <v>0</v>
      </c>
      <c r="N437" s="21">
        <f>IF(ISERROR(VLOOKUP($F437,#REF!,6,0)*I437/1000),0,VLOOKUP($F437,#REF!,6,0)*I437/1000)</f>
        <v>0</v>
      </c>
      <c r="O437" s="21">
        <f>IF(ISERROR(VLOOKUP($F437,#REF!,6,0)*J437/1000),0,VLOOKUP($F437,#REF!,6,0)*J437/1000)</f>
        <v>0</v>
      </c>
      <c r="P437" s="21">
        <f>IF(ISERROR(VLOOKUP(F437,#REF!,6,0)*K437/1000),0,VLOOKUP(F437,#REF!,6,0)*K437/1000)</f>
        <v>0</v>
      </c>
      <c r="Q437" s="6">
        <f>IF(ISERROR(VLOOKUP(F437,#REF!,3,0)),0,VLOOKUP(F437,#REF!,3,0))</f>
        <v>0</v>
      </c>
      <c r="R437" s="6">
        <f>IF(ISERROR(VLOOKUP(F437,#REF!,4,0)),0,VLOOKUP(F437,#REF!,4,0))</f>
        <v>0</v>
      </c>
      <c r="S437" s="8">
        <f>IF(ISERROR(VLOOKUP(F437,#REF!,4,0)),0,VLOOKUP(F437,#REF!,10,0)/60*K437)</f>
        <v>0</v>
      </c>
      <c r="T437" s="3"/>
      <c r="U437" s="3"/>
      <c r="V437" s="4"/>
    </row>
    <row r="438" spans="1:22" x14ac:dyDescent="0.3">
      <c r="A438" s="5">
        <f t="shared" si="19"/>
        <v>0</v>
      </c>
      <c r="B438" s="6">
        <f t="shared" si="20"/>
        <v>0</v>
      </c>
      <c r="K438" s="18">
        <f t="shared" si="18"/>
        <v>0</v>
      </c>
      <c r="L438" s="21">
        <f>IF(ISERROR(VLOOKUP($F438,#REF!,6,0)*G438/1000),0,VLOOKUP($F438,#REF!,6,0)*G438/1000)</f>
        <v>0</v>
      </c>
      <c r="M438" s="21">
        <f>IF(ISERROR(VLOOKUP($F438,#REF!,6,0)*H438/1000),0,VLOOKUP($F438,#REF!,6,0)*H438/1000)</f>
        <v>0</v>
      </c>
      <c r="N438" s="21">
        <f>IF(ISERROR(VLOOKUP($F438,#REF!,6,0)*I438/1000),0,VLOOKUP($F438,#REF!,6,0)*I438/1000)</f>
        <v>0</v>
      </c>
      <c r="O438" s="21">
        <f>IF(ISERROR(VLOOKUP($F438,#REF!,6,0)*J438/1000),0,VLOOKUP($F438,#REF!,6,0)*J438/1000)</f>
        <v>0</v>
      </c>
      <c r="P438" s="21">
        <f>IF(ISERROR(VLOOKUP(F438,#REF!,6,0)*K438/1000),0,VLOOKUP(F438,#REF!,6,0)*K438/1000)</f>
        <v>0</v>
      </c>
      <c r="Q438" s="6">
        <f>IF(ISERROR(VLOOKUP(F438,#REF!,3,0)),0,VLOOKUP(F438,#REF!,3,0))</f>
        <v>0</v>
      </c>
      <c r="R438" s="6">
        <f>IF(ISERROR(VLOOKUP(F438,#REF!,4,0)),0,VLOOKUP(F438,#REF!,4,0))</f>
        <v>0</v>
      </c>
      <c r="S438" s="8">
        <f>IF(ISERROR(VLOOKUP(F438,#REF!,4,0)),0,VLOOKUP(F438,#REF!,10,0)/60*K438)</f>
        <v>0</v>
      </c>
      <c r="T438" s="3"/>
      <c r="U438" s="3"/>
      <c r="V438" s="4"/>
    </row>
    <row r="439" spans="1:22" x14ac:dyDescent="0.3">
      <c r="A439" s="5">
        <f t="shared" si="19"/>
        <v>0</v>
      </c>
      <c r="B439" s="6">
        <f t="shared" si="20"/>
        <v>0</v>
      </c>
      <c r="K439" s="18">
        <f t="shared" si="18"/>
        <v>0</v>
      </c>
      <c r="L439" s="21">
        <f>IF(ISERROR(VLOOKUP($F439,#REF!,6,0)*G439/1000),0,VLOOKUP($F439,#REF!,6,0)*G439/1000)</f>
        <v>0</v>
      </c>
      <c r="M439" s="21">
        <f>IF(ISERROR(VLOOKUP($F439,#REF!,6,0)*H439/1000),0,VLOOKUP($F439,#REF!,6,0)*H439/1000)</f>
        <v>0</v>
      </c>
      <c r="N439" s="21">
        <f>IF(ISERROR(VLOOKUP($F439,#REF!,6,0)*I439/1000),0,VLOOKUP($F439,#REF!,6,0)*I439/1000)</f>
        <v>0</v>
      </c>
      <c r="O439" s="21">
        <f>IF(ISERROR(VLOOKUP($F439,#REF!,6,0)*J439/1000),0,VLOOKUP($F439,#REF!,6,0)*J439/1000)</f>
        <v>0</v>
      </c>
      <c r="P439" s="21">
        <f>IF(ISERROR(VLOOKUP(F439,#REF!,6,0)*K439/1000),0,VLOOKUP(F439,#REF!,6,0)*K439/1000)</f>
        <v>0</v>
      </c>
      <c r="Q439" s="6">
        <f>IF(ISERROR(VLOOKUP(F439,#REF!,3,0)),0,VLOOKUP(F439,#REF!,3,0))</f>
        <v>0</v>
      </c>
      <c r="R439" s="6">
        <f>IF(ISERROR(VLOOKUP(F439,#REF!,4,0)),0,VLOOKUP(F439,#REF!,4,0))</f>
        <v>0</v>
      </c>
      <c r="S439" s="8">
        <f>IF(ISERROR(VLOOKUP(F439,#REF!,4,0)),0,VLOOKUP(F439,#REF!,10,0)/60*K439)</f>
        <v>0</v>
      </c>
      <c r="T439" s="3"/>
      <c r="U439" s="3"/>
      <c r="V439" s="4"/>
    </row>
    <row r="440" spans="1:22" x14ac:dyDescent="0.3">
      <c r="A440" s="5">
        <f t="shared" si="19"/>
        <v>0</v>
      </c>
      <c r="B440" s="6">
        <f t="shared" si="20"/>
        <v>0</v>
      </c>
      <c r="K440" s="18">
        <f t="shared" si="18"/>
        <v>0</v>
      </c>
      <c r="L440" s="21">
        <f>IF(ISERROR(VLOOKUP($F440,#REF!,6,0)*G440/1000),0,VLOOKUP($F440,#REF!,6,0)*G440/1000)</f>
        <v>0</v>
      </c>
      <c r="M440" s="21">
        <f>IF(ISERROR(VLOOKUP($F440,#REF!,6,0)*H440/1000),0,VLOOKUP($F440,#REF!,6,0)*H440/1000)</f>
        <v>0</v>
      </c>
      <c r="N440" s="21">
        <f>IF(ISERROR(VLOOKUP($F440,#REF!,6,0)*I440/1000),0,VLOOKUP($F440,#REF!,6,0)*I440/1000)</f>
        <v>0</v>
      </c>
      <c r="O440" s="21">
        <f>IF(ISERROR(VLOOKUP($F440,#REF!,6,0)*J440/1000),0,VLOOKUP($F440,#REF!,6,0)*J440/1000)</f>
        <v>0</v>
      </c>
      <c r="P440" s="21">
        <f>IF(ISERROR(VLOOKUP(F440,#REF!,6,0)*K440/1000),0,VLOOKUP(F440,#REF!,6,0)*K440/1000)</f>
        <v>0</v>
      </c>
      <c r="Q440" s="6">
        <f>IF(ISERROR(VLOOKUP(F440,#REF!,3,0)),0,VLOOKUP(F440,#REF!,3,0))</f>
        <v>0</v>
      </c>
      <c r="R440" s="6">
        <f>IF(ISERROR(VLOOKUP(F440,#REF!,4,0)),0,VLOOKUP(F440,#REF!,4,0))</f>
        <v>0</v>
      </c>
      <c r="S440" s="8">
        <f>IF(ISERROR(VLOOKUP(F440,#REF!,4,0)),0,VLOOKUP(F440,#REF!,10,0)/60*K440)</f>
        <v>0</v>
      </c>
      <c r="T440" s="3"/>
      <c r="U440" s="3"/>
      <c r="V440" s="4"/>
    </row>
    <row r="441" spans="1:22" x14ac:dyDescent="0.3">
      <c r="A441" s="5">
        <f t="shared" si="19"/>
        <v>0</v>
      </c>
      <c r="B441" s="6">
        <f t="shared" si="20"/>
        <v>0</v>
      </c>
      <c r="K441" s="18">
        <f t="shared" si="18"/>
        <v>0</v>
      </c>
      <c r="L441" s="21">
        <f>IF(ISERROR(VLOOKUP($F441,#REF!,6,0)*G441/1000),0,VLOOKUP($F441,#REF!,6,0)*G441/1000)</f>
        <v>0</v>
      </c>
      <c r="M441" s="21">
        <f>IF(ISERROR(VLOOKUP($F441,#REF!,6,0)*H441/1000),0,VLOOKUP($F441,#REF!,6,0)*H441/1000)</f>
        <v>0</v>
      </c>
      <c r="N441" s="21">
        <f>IF(ISERROR(VLOOKUP($F441,#REF!,6,0)*I441/1000),0,VLOOKUP($F441,#REF!,6,0)*I441/1000)</f>
        <v>0</v>
      </c>
      <c r="O441" s="21">
        <f>IF(ISERROR(VLOOKUP($F441,#REF!,6,0)*J441/1000),0,VLOOKUP($F441,#REF!,6,0)*J441/1000)</f>
        <v>0</v>
      </c>
      <c r="P441" s="21">
        <f>IF(ISERROR(VLOOKUP(F441,#REF!,6,0)*K441/1000),0,VLOOKUP(F441,#REF!,6,0)*K441/1000)</f>
        <v>0</v>
      </c>
      <c r="Q441" s="6">
        <f>IF(ISERROR(VLOOKUP(F441,#REF!,3,0)),0,VLOOKUP(F441,#REF!,3,0))</f>
        <v>0</v>
      </c>
      <c r="R441" s="6">
        <f>IF(ISERROR(VLOOKUP(F441,#REF!,4,0)),0,VLOOKUP(F441,#REF!,4,0))</f>
        <v>0</v>
      </c>
      <c r="S441" s="8">
        <f>IF(ISERROR(VLOOKUP(F441,#REF!,4,0)),0,VLOOKUP(F441,#REF!,10,0)/60*K441)</f>
        <v>0</v>
      </c>
      <c r="T441" s="3"/>
      <c r="U441" s="3"/>
      <c r="V441" s="4"/>
    </row>
    <row r="442" spans="1:22" x14ac:dyDescent="0.3">
      <c r="A442" s="5">
        <f t="shared" si="19"/>
        <v>0</v>
      </c>
      <c r="B442" s="6">
        <f t="shared" si="20"/>
        <v>0</v>
      </c>
      <c r="K442" s="18">
        <f t="shared" si="18"/>
        <v>0</v>
      </c>
      <c r="L442" s="21">
        <f>IF(ISERROR(VLOOKUP($F442,#REF!,6,0)*G442/1000),0,VLOOKUP($F442,#REF!,6,0)*G442/1000)</f>
        <v>0</v>
      </c>
      <c r="M442" s="21">
        <f>IF(ISERROR(VLOOKUP($F442,#REF!,6,0)*H442/1000),0,VLOOKUP($F442,#REF!,6,0)*H442/1000)</f>
        <v>0</v>
      </c>
      <c r="N442" s="21">
        <f>IF(ISERROR(VLOOKUP($F442,#REF!,6,0)*I442/1000),0,VLOOKUP($F442,#REF!,6,0)*I442/1000)</f>
        <v>0</v>
      </c>
      <c r="O442" s="21">
        <f>IF(ISERROR(VLOOKUP($F442,#REF!,6,0)*J442/1000),0,VLOOKUP($F442,#REF!,6,0)*J442/1000)</f>
        <v>0</v>
      </c>
      <c r="P442" s="21">
        <f>IF(ISERROR(VLOOKUP(F442,#REF!,6,0)*K442/1000),0,VLOOKUP(F442,#REF!,6,0)*K442/1000)</f>
        <v>0</v>
      </c>
      <c r="Q442" s="6">
        <f>IF(ISERROR(VLOOKUP(F442,#REF!,3,0)),0,VLOOKUP(F442,#REF!,3,0))</f>
        <v>0</v>
      </c>
      <c r="R442" s="6">
        <f>IF(ISERROR(VLOOKUP(F442,#REF!,4,0)),0,VLOOKUP(F442,#REF!,4,0))</f>
        <v>0</v>
      </c>
      <c r="S442" s="8">
        <f>IF(ISERROR(VLOOKUP(F442,#REF!,4,0)),0,VLOOKUP(F442,#REF!,10,0)/60*K442)</f>
        <v>0</v>
      </c>
      <c r="T442" s="3"/>
      <c r="U442" s="3"/>
      <c r="V442" s="4"/>
    </row>
    <row r="443" spans="1:22" x14ac:dyDescent="0.3">
      <c r="A443" s="5">
        <f t="shared" si="19"/>
        <v>0</v>
      </c>
      <c r="B443" s="6">
        <f t="shared" si="20"/>
        <v>0</v>
      </c>
      <c r="K443" s="18">
        <f t="shared" si="18"/>
        <v>0</v>
      </c>
      <c r="L443" s="21">
        <f>IF(ISERROR(VLOOKUP($F443,#REF!,6,0)*G443/1000),0,VLOOKUP($F443,#REF!,6,0)*G443/1000)</f>
        <v>0</v>
      </c>
      <c r="M443" s="21">
        <f>IF(ISERROR(VLOOKUP($F443,#REF!,6,0)*H443/1000),0,VLOOKUP($F443,#REF!,6,0)*H443/1000)</f>
        <v>0</v>
      </c>
      <c r="N443" s="21">
        <f>IF(ISERROR(VLOOKUP($F443,#REF!,6,0)*I443/1000),0,VLOOKUP($F443,#REF!,6,0)*I443/1000)</f>
        <v>0</v>
      </c>
      <c r="O443" s="21">
        <f>IF(ISERROR(VLOOKUP($F443,#REF!,6,0)*J443/1000),0,VLOOKUP($F443,#REF!,6,0)*J443/1000)</f>
        <v>0</v>
      </c>
      <c r="P443" s="21">
        <f>IF(ISERROR(VLOOKUP(F443,#REF!,6,0)*K443/1000),0,VLOOKUP(F443,#REF!,6,0)*K443/1000)</f>
        <v>0</v>
      </c>
      <c r="Q443" s="6">
        <f>IF(ISERROR(VLOOKUP(F443,#REF!,3,0)),0,VLOOKUP(F443,#REF!,3,0))</f>
        <v>0</v>
      </c>
      <c r="R443" s="6">
        <f>IF(ISERROR(VLOOKUP(F443,#REF!,4,0)),0,VLOOKUP(F443,#REF!,4,0))</f>
        <v>0</v>
      </c>
      <c r="S443" s="8">
        <f>IF(ISERROR(VLOOKUP(F443,#REF!,4,0)),0,VLOOKUP(F443,#REF!,10,0)/60*K443)</f>
        <v>0</v>
      </c>
      <c r="T443" s="3"/>
      <c r="U443" s="3"/>
      <c r="V443" s="4"/>
    </row>
    <row r="444" spans="1:22" x14ac:dyDescent="0.3">
      <c r="A444" s="5">
        <f t="shared" si="19"/>
        <v>0</v>
      </c>
      <c r="B444" s="6">
        <f t="shared" si="20"/>
        <v>0</v>
      </c>
      <c r="K444" s="18">
        <f t="shared" si="18"/>
        <v>0</v>
      </c>
      <c r="L444" s="21">
        <f>IF(ISERROR(VLOOKUP($F444,#REF!,6,0)*G444/1000),0,VLOOKUP($F444,#REF!,6,0)*G444/1000)</f>
        <v>0</v>
      </c>
      <c r="M444" s="21">
        <f>IF(ISERROR(VLOOKUP($F444,#REF!,6,0)*H444/1000),0,VLOOKUP($F444,#REF!,6,0)*H444/1000)</f>
        <v>0</v>
      </c>
      <c r="N444" s="21">
        <f>IF(ISERROR(VLOOKUP($F444,#REF!,6,0)*I444/1000),0,VLOOKUP($F444,#REF!,6,0)*I444/1000)</f>
        <v>0</v>
      </c>
      <c r="O444" s="21">
        <f>IF(ISERROR(VLOOKUP($F444,#REF!,6,0)*J444/1000),0,VLOOKUP($F444,#REF!,6,0)*J444/1000)</f>
        <v>0</v>
      </c>
      <c r="P444" s="21">
        <f>IF(ISERROR(VLOOKUP(F444,#REF!,6,0)*K444/1000),0,VLOOKUP(F444,#REF!,6,0)*K444/1000)</f>
        <v>0</v>
      </c>
      <c r="Q444" s="6">
        <f>IF(ISERROR(VLOOKUP(F444,#REF!,3,0)),0,VLOOKUP(F444,#REF!,3,0))</f>
        <v>0</v>
      </c>
      <c r="R444" s="6">
        <f>IF(ISERROR(VLOOKUP(F444,#REF!,4,0)),0,VLOOKUP(F444,#REF!,4,0))</f>
        <v>0</v>
      </c>
      <c r="S444" s="8">
        <f>IF(ISERROR(VLOOKUP(F444,#REF!,4,0)),0,VLOOKUP(F444,#REF!,10,0)/60*K444)</f>
        <v>0</v>
      </c>
      <c r="T444" s="3"/>
      <c r="U444" s="3"/>
      <c r="V444" s="4"/>
    </row>
    <row r="445" spans="1:22" x14ac:dyDescent="0.3">
      <c r="A445" s="5">
        <f t="shared" si="19"/>
        <v>0</v>
      </c>
      <c r="B445" s="6">
        <f t="shared" si="20"/>
        <v>0</v>
      </c>
      <c r="K445" s="18">
        <f t="shared" si="18"/>
        <v>0</v>
      </c>
      <c r="L445" s="21">
        <f>IF(ISERROR(VLOOKUP($F445,#REF!,6,0)*G445/1000),0,VLOOKUP($F445,#REF!,6,0)*G445/1000)</f>
        <v>0</v>
      </c>
      <c r="M445" s="21">
        <f>IF(ISERROR(VLOOKUP($F445,#REF!,6,0)*H445/1000),0,VLOOKUP($F445,#REF!,6,0)*H445/1000)</f>
        <v>0</v>
      </c>
      <c r="N445" s="21">
        <f>IF(ISERROR(VLOOKUP($F445,#REF!,6,0)*I445/1000),0,VLOOKUP($F445,#REF!,6,0)*I445/1000)</f>
        <v>0</v>
      </c>
      <c r="O445" s="21">
        <f>IF(ISERROR(VLOOKUP($F445,#REF!,6,0)*J445/1000),0,VLOOKUP($F445,#REF!,6,0)*J445/1000)</f>
        <v>0</v>
      </c>
      <c r="P445" s="21">
        <f>IF(ISERROR(VLOOKUP(F445,#REF!,6,0)*K445/1000),0,VLOOKUP(F445,#REF!,6,0)*K445/1000)</f>
        <v>0</v>
      </c>
      <c r="Q445" s="6">
        <f>IF(ISERROR(VLOOKUP(F445,#REF!,3,0)),0,VLOOKUP(F445,#REF!,3,0))</f>
        <v>0</v>
      </c>
      <c r="R445" s="6">
        <f>IF(ISERROR(VLOOKUP(F445,#REF!,4,0)),0,VLOOKUP(F445,#REF!,4,0))</f>
        <v>0</v>
      </c>
      <c r="S445" s="8">
        <f>IF(ISERROR(VLOOKUP(F445,#REF!,4,0)),0,VLOOKUP(F445,#REF!,10,0)/60*K445)</f>
        <v>0</v>
      </c>
      <c r="T445" s="3"/>
      <c r="U445" s="3"/>
      <c r="V445" s="4"/>
    </row>
    <row r="446" spans="1:22" x14ac:dyDescent="0.3">
      <c r="A446" s="5">
        <f t="shared" si="19"/>
        <v>0</v>
      </c>
      <c r="B446" s="6">
        <f t="shared" si="20"/>
        <v>0</v>
      </c>
      <c r="K446" s="18">
        <f t="shared" si="18"/>
        <v>0</v>
      </c>
      <c r="L446" s="21">
        <f>IF(ISERROR(VLOOKUP($F446,#REF!,6,0)*G446/1000),0,VLOOKUP($F446,#REF!,6,0)*G446/1000)</f>
        <v>0</v>
      </c>
      <c r="M446" s="21">
        <f>IF(ISERROR(VLOOKUP($F446,#REF!,6,0)*H446/1000),0,VLOOKUP($F446,#REF!,6,0)*H446/1000)</f>
        <v>0</v>
      </c>
      <c r="N446" s="21">
        <f>IF(ISERROR(VLOOKUP($F446,#REF!,6,0)*I446/1000),0,VLOOKUP($F446,#REF!,6,0)*I446/1000)</f>
        <v>0</v>
      </c>
      <c r="O446" s="21">
        <f>IF(ISERROR(VLOOKUP($F446,#REF!,6,0)*J446/1000),0,VLOOKUP($F446,#REF!,6,0)*J446/1000)</f>
        <v>0</v>
      </c>
      <c r="P446" s="21">
        <f>IF(ISERROR(VLOOKUP(F446,#REF!,6,0)*K446/1000),0,VLOOKUP(F446,#REF!,6,0)*K446/1000)</f>
        <v>0</v>
      </c>
      <c r="Q446" s="6">
        <f>IF(ISERROR(VLOOKUP(F446,#REF!,3,0)),0,VLOOKUP(F446,#REF!,3,0))</f>
        <v>0</v>
      </c>
      <c r="R446" s="6">
        <f>IF(ISERROR(VLOOKUP(F446,#REF!,4,0)),0,VLOOKUP(F446,#REF!,4,0))</f>
        <v>0</v>
      </c>
      <c r="S446" s="8">
        <f>IF(ISERROR(VLOOKUP(F446,#REF!,4,0)),0,VLOOKUP(F446,#REF!,10,0)/60*K446)</f>
        <v>0</v>
      </c>
      <c r="T446" s="3"/>
      <c r="U446" s="3"/>
      <c r="V446" s="4"/>
    </row>
    <row r="447" spans="1:22" x14ac:dyDescent="0.3">
      <c r="A447" s="5">
        <f t="shared" si="19"/>
        <v>0</v>
      </c>
      <c r="B447" s="6">
        <f t="shared" si="20"/>
        <v>0</v>
      </c>
      <c r="K447" s="18">
        <f t="shared" si="18"/>
        <v>0</v>
      </c>
      <c r="L447" s="21">
        <f>IF(ISERROR(VLOOKUP($F447,#REF!,6,0)*G447/1000),0,VLOOKUP($F447,#REF!,6,0)*G447/1000)</f>
        <v>0</v>
      </c>
      <c r="M447" s="21">
        <f>IF(ISERROR(VLOOKUP($F447,#REF!,6,0)*H447/1000),0,VLOOKUP($F447,#REF!,6,0)*H447/1000)</f>
        <v>0</v>
      </c>
      <c r="N447" s="21">
        <f>IF(ISERROR(VLOOKUP($F447,#REF!,6,0)*I447/1000),0,VLOOKUP($F447,#REF!,6,0)*I447/1000)</f>
        <v>0</v>
      </c>
      <c r="O447" s="21">
        <f>IF(ISERROR(VLOOKUP($F447,#REF!,6,0)*J447/1000),0,VLOOKUP($F447,#REF!,6,0)*J447/1000)</f>
        <v>0</v>
      </c>
      <c r="P447" s="21">
        <f>IF(ISERROR(VLOOKUP(F447,#REF!,6,0)*K447/1000),0,VLOOKUP(F447,#REF!,6,0)*K447/1000)</f>
        <v>0</v>
      </c>
      <c r="Q447" s="6">
        <f>IF(ISERROR(VLOOKUP(F447,#REF!,3,0)),0,VLOOKUP(F447,#REF!,3,0))</f>
        <v>0</v>
      </c>
      <c r="R447" s="6">
        <f>IF(ISERROR(VLOOKUP(F447,#REF!,4,0)),0,VLOOKUP(F447,#REF!,4,0))</f>
        <v>0</v>
      </c>
      <c r="S447" s="8">
        <f>IF(ISERROR(VLOOKUP(F447,#REF!,4,0)),0,VLOOKUP(F447,#REF!,10,0)/60*K447)</f>
        <v>0</v>
      </c>
      <c r="T447" s="3"/>
      <c r="U447" s="3"/>
      <c r="V447" s="4"/>
    </row>
    <row r="448" spans="1:22" x14ac:dyDescent="0.3">
      <c r="A448" s="5">
        <f t="shared" si="19"/>
        <v>0</v>
      </c>
      <c r="B448" s="6">
        <f t="shared" si="20"/>
        <v>0</v>
      </c>
      <c r="K448" s="18">
        <f t="shared" si="18"/>
        <v>0</v>
      </c>
      <c r="L448" s="21">
        <f>IF(ISERROR(VLOOKUP($F448,#REF!,6,0)*G448/1000),0,VLOOKUP($F448,#REF!,6,0)*G448/1000)</f>
        <v>0</v>
      </c>
      <c r="M448" s="21">
        <f>IF(ISERROR(VLOOKUP($F448,#REF!,6,0)*H448/1000),0,VLOOKUP($F448,#REF!,6,0)*H448/1000)</f>
        <v>0</v>
      </c>
      <c r="N448" s="21">
        <f>IF(ISERROR(VLOOKUP($F448,#REF!,6,0)*I448/1000),0,VLOOKUP($F448,#REF!,6,0)*I448/1000)</f>
        <v>0</v>
      </c>
      <c r="O448" s="21">
        <f>IF(ISERROR(VLOOKUP($F448,#REF!,6,0)*J448/1000),0,VLOOKUP($F448,#REF!,6,0)*J448/1000)</f>
        <v>0</v>
      </c>
      <c r="P448" s="21">
        <f>IF(ISERROR(VLOOKUP(F448,#REF!,6,0)*K448/1000),0,VLOOKUP(F448,#REF!,6,0)*K448/1000)</f>
        <v>0</v>
      </c>
      <c r="Q448" s="6">
        <f>IF(ISERROR(VLOOKUP(F448,#REF!,3,0)),0,VLOOKUP(F448,#REF!,3,0))</f>
        <v>0</v>
      </c>
      <c r="R448" s="6">
        <f>IF(ISERROR(VLOOKUP(F448,#REF!,4,0)),0,VLOOKUP(F448,#REF!,4,0))</f>
        <v>0</v>
      </c>
      <c r="S448" s="8">
        <f>IF(ISERROR(VLOOKUP(F448,#REF!,4,0)),0,VLOOKUP(F448,#REF!,10,0)/60*K448)</f>
        <v>0</v>
      </c>
      <c r="T448" s="3"/>
      <c r="U448" s="3"/>
      <c r="V448" s="4"/>
    </row>
    <row r="449" spans="1:22" x14ac:dyDescent="0.3">
      <c r="A449" s="5">
        <f t="shared" si="19"/>
        <v>0</v>
      </c>
      <c r="B449" s="6">
        <f t="shared" si="20"/>
        <v>0</v>
      </c>
      <c r="K449" s="18">
        <f t="shared" si="18"/>
        <v>0</v>
      </c>
      <c r="L449" s="21">
        <f>IF(ISERROR(VLOOKUP($F449,#REF!,6,0)*G449/1000),0,VLOOKUP($F449,#REF!,6,0)*G449/1000)</f>
        <v>0</v>
      </c>
      <c r="M449" s="21">
        <f>IF(ISERROR(VLOOKUP($F449,#REF!,6,0)*H449/1000),0,VLOOKUP($F449,#REF!,6,0)*H449/1000)</f>
        <v>0</v>
      </c>
      <c r="N449" s="21">
        <f>IF(ISERROR(VLOOKUP($F449,#REF!,6,0)*I449/1000),0,VLOOKUP($F449,#REF!,6,0)*I449/1000)</f>
        <v>0</v>
      </c>
      <c r="O449" s="21">
        <f>IF(ISERROR(VLOOKUP($F449,#REF!,6,0)*J449/1000),0,VLOOKUP($F449,#REF!,6,0)*J449/1000)</f>
        <v>0</v>
      </c>
      <c r="P449" s="21">
        <f>IF(ISERROR(VLOOKUP(F449,#REF!,6,0)*K449/1000),0,VLOOKUP(F449,#REF!,6,0)*K449/1000)</f>
        <v>0</v>
      </c>
      <c r="Q449" s="6">
        <f>IF(ISERROR(VLOOKUP(F449,#REF!,3,0)),0,VLOOKUP(F449,#REF!,3,0))</f>
        <v>0</v>
      </c>
      <c r="R449" s="6">
        <f>IF(ISERROR(VLOOKUP(F449,#REF!,4,0)),0,VLOOKUP(F449,#REF!,4,0))</f>
        <v>0</v>
      </c>
      <c r="S449" s="8">
        <f>IF(ISERROR(VLOOKUP(F449,#REF!,4,0)),0,VLOOKUP(F449,#REF!,10,0)/60*K449)</f>
        <v>0</v>
      </c>
      <c r="T449" s="3"/>
      <c r="U449" s="3"/>
      <c r="V449" s="4"/>
    </row>
    <row r="450" spans="1:22" x14ac:dyDescent="0.3">
      <c r="A450" s="5">
        <f t="shared" si="19"/>
        <v>0</v>
      </c>
      <c r="B450" s="6">
        <f t="shared" si="20"/>
        <v>0</v>
      </c>
      <c r="K450" s="18">
        <f t="shared" si="18"/>
        <v>0</v>
      </c>
      <c r="L450" s="21">
        <f>IF(ISERROR(VLOOKUP($F450,#REF!,6,0)*G450/1000),0,VLOOKUP($F450,#REF!,6,0)*G450/1000)</f>
        <v>0</v>
      </c>
      <c r="M450" s="21">
        <f>IF(ISERROR(VLOOKUP($F450,#REF!,6,0)*H450/1000),0,VLOOKUP($F450,#REF!,6,0)*H450/1000)</f>
        <v>0</v>
      </c>
      <c r="N450" s="21">
        <f>IF(ISERROR(VLOOKUP($F450,#REF!,6,0)*I450/1000),0,VLOOKUP($F450,#REF!,6,0)*I450/1000)</f>
        <v>0</v>
      </c>
      <c r="O450" s="21">
        <f>IF(ISERROR(VLOOKUP($F450,#REF!,6,0)*J450/1000),0,VLOOKUP($F450,#REF!,6,0)*J450/1000)</f>
        <v>0</v>
      </c>
      <c r="P450" s="21">
        <f>IF(ISERROR(VLOOKUP(F450,#REF!,6,0)*K450/1000),0,VLOOKUP(F450,#REF!,6,0)*K450/1000)</f>
        <v>0</v>
      </c>
      <c r="Q450" s="6">
        <f>IF(ISERROR(VLOOKUP(F450,#REF!,3,0)),0,VLOOKUP(F450,#REF!,3,0))</f>
        <v>0</v>
      </c>
      <c r="R450" s="6">
        <f>IF(ISERROR(VLOOKUP(F450,#REF!,4,0)),0,VLOOKUP(F450,#REF!,4,0))</f>
        <v>0</v>
      </c>
      <c r="S450" s="8">
        <f>IF(ISERROR(VLOOKUP(F450,#REF!,4,0)),0,VLOOKUP(F450,#REF!,10,0)/60*K450)</f>
        <v>0</v>
      </c>
      <c r="T450" s="3"/>
      <c r="U450" s="3"/>
      <c r="V450" s="4"/>
    </row>
    <row r="451" spans="1:22" x14ac:dyDescent="0.3">
      <c r="A451" s="5">
        <f t="shared" si="19"/>
        <v>0</v>
      </c>
      <c r="B451" s="6">
        <f t="shared" si="20"/>
        <v>0</v>
      </c>
      <c r="K451" s="18">
        <f t="shared" si="18"/>
        <v>0</v>
      </c>
      <c r="L451" s="21">
        <f>IF(ISERROR(VLOOKUP($F451,#REF!,6,0)*G451/1000),0,VLOOKUP($F451,#REF!,6,0)*G451/1000)</f>
        <v>0</v>
      </c>
      <c r="M451" s="21">
        <f>IF(ISERROR(VLOOKUP($F451,#REF!,6,0)*H451/1000),0,VLOOKUP($F451,#REF!,6,0)*H451/1000)</f>
        <v>0</v>
      </c>
      <c r="N451" s="21">
        <f>IF(ISERROR(VLOOKUP($F451,#REF!,6,0)*I451/1000),0,VLOOKUP($F451,#REF!,6,0)*I451/1000)</f>
        <v>0</v>
      </c>
      <c r="O451" s="21">
        <f>IF(ISERROR(VLOOKUP($F451,#REF!,6,0)*J451/1000),0,VLOOKUP($F451,#REF!,6,0)*J451/1000)</f>
        <v>0</v>
      </c>
      <c r="P451" s="21">
        <f>IF(ISERROR(VLOOKUP(F451,#REF!,6,0)*K451/1000),0,VLOOKUP(F451,#REF!,6,0)*K451/1000)</f>
        <v>0</v>
      </c>
      <c r="Q451" s="6">
        <f>IF(ISERROR(VLOOKUP(F451,#REF!,3,0)),0,VLOOKUP(F451,#REF!,3,0))</f>
        <v>0</v>
      </c>
      <c r="R451" s="6">
        <f>IF(ISERROR(VLOOKUP(F451,#REF!,4,0)),0,VLOOKUP(F451,#REF!,4,0))</f>
        <v>0</v>
      </c>
      <c r="S451" s="8">
        <f>IF(ISERROR(VLOOKUP(F451,#REF!,4,0)),0,VLOOKUP(F451,#REF!,10,0)/60*K451)</f>
        <v>0</v>
      </c>
      <c r="T451" s="3"/>
      <c r="U451" s="3"/>
      <c r="V451" s="4"/>
    </row>
    <row r="452" spans="1:22" x14ac:dyDescent="0.3">
      <c r="A452" s="5">
        <f t="shared" si="19"/>
        <v>0</v>
      </c>
      <c r="B452" s="6">
        <f t="shared" si="20"/>
        <v>0</v>
      </c>
      <c r="K452" s="18">
        <f t="shared" ref="K452:K515" si="21">SUM(G452:J452)</f>
        <v>0</v>
      </c>
      <c r="L452" s="21">
        <f>IF(ISERROR(VLOOKUP($F452,#REF!,6,0)*G452/1000),0,VLOOKUP($F452,#REF!,6,0)*G452/1000)</f>
        <v>0</v>
      </c>
      <c r="M452" s="21">
        <f>IF(ISERROR(VLOOKUP($F452,#REF!,6,0)*H452/1000),0,VLOOKUP($F452,#REF!,6,0)*H452/1000)</f>
        <v>0</v>
      </c>
      <c r="N452" s="21">
        <f>IF(ISERROR(VLOOKUP($F452,#REF!,6,0)*I452/1000),0,VLOOKUP($F452,#REF!,6,0)*I452/1000)</f>
        <v>0</v>
      </c>
      <c r="O452" s="21">
        <f>IF(ISERROR(VLOOKUP($F452,#REF!,6,0)*J452/1000),0,VLOOKUP($F452,#REF!,6,0)*J452/1000)</f>
        <v>0</v>
      </c>
      <c r="P452" s="21">
        <f>IF(ISERROR(VLOOKUP(F452,#REF!,6,0)*K452/1000),0,VLOOKUP(F452,#REF!,6,0)*K452/1000)</f>
        <v>0</v>
      </c>
      <c r="Q452" s="6">
        <f>IF(ISERROR(VLOOKUP(F452,#REF!,3,0)),0,VLOOKUP(F452,#REF!,3,0))</f>
        <v>0</v>
      </c>
      <c r="R452" s="6">
        <f>IF(ISERROR(VLOOKUP(F452,#REF!,4,0)),0,VLOOKUP(F452,#REF!,4,0))</f>
        <v>0</v>
      </c>
      <c r="S452" s="8">
        <f>IF(ISERROR(VLOOKUP(F452,#REF!,4,0)),0,VLOOKUP(F452,#REF!,10,0)/60*K452)</f>
        <v>0</v>
      </c>
      <c r="T452" s="3"/>
      <c r="U452" s="3"/>
      <c r="V452" s="4"/>
    </row>
    <row r="453" spans="1:22" x14ac:dyDescent="0.3">
      <c r="A453" s="5">
        <f t="shared" ref="A453:A516" si="22">IF(C453=0,0,YEAR(C453))</f>
        <v>0</v>
      </c>
      <c r="B453" s="6">
        <f t="shared" ref="B453:B516" si="23">IF(C453&gt;0,VLOOKUP(MONTH($C453),$AJ$3:$AK$14,2,0),0)</f>
        <v>0</v>
      </c>
      <c r="K453" s="18">
        <f t="shared" si="21"/>
        <v>0</v>
      </c>
      <c r="L453" s="21">
        <f>IF(ISERROR(VLOOKUP($F453,#REF!,6,0)*G453/1000),0,VLOOKUP($F453,#REF!,6,0)*G453/1000)</f>
        <v>0</v>
      </c>
      <c r="M453" s="21">
        <f>IF(ISERROR(VLOOKUP($F453,#REF!,6,0)*H453/1000),0,VLOOKUP($F453,#REF!,6,0)*H453/1000)</f>
        <v>0</v>
      </c>
      <c r="N453" s="21">
        <f>IF(ISERROR(VLOOKUP($F453,#REF!,6,0)*I453/1000),0,VLOOKUP($F453,#REF!,6,0)*I453/1000)</f>
        <v>0</v>
      </c>
      <c r="O453" s="21">
        <f>IF(ISERROR(VLOOKUP($F453,#REF!,6,0)*J453/1000),0,VLOOKUP($F453,#REF!,6,0)*J453/1000)</f>
        <v>0</v>
      </c>
      <c r="P453" s="21">
        <f>IF(ISERROR(VLOOKUP(F453,#REF!,6,0)*K453/1000),0,VLOOKUP(F453,#REF!,6,0)*K453/1000)</f>
        <v>0</v>
      </c>
      <c r="Q453" s="6">
        <f>IF(ISERROR(VLOOKUP(F453,#REF!,3,0)),0,VLOOKUP(F453,#REF!,3,0))</f>
        <v>0</v>
      </c>
      <c r="R453" s="6">
        <f>IF(ISERROR(VLOOKUP(F453,#REF!,4,0)),0,VLOOKUP(F453,#REF!,4,0))</f>
        <v>0</v>
      </c>
      <c r="S453" s="8">
        <f>IF(ISERROR(VLOOKUP(F453,#REF!,4,0)),0,VLOOKUP(F453,#REF!,10,0)/60*K453)</f>
        <v>0</v>
      </c>
      <c r="T453" s="3"/>
      <c r="U453" s="3"/>
      <c r="V453" s="4"/>
    </row>
    <row r="454" spans="1:22" x14ac:dyDescent="0.3">
      <c r="A454" s="5">
        <f t="shared" si="22"/>
        <v>0</v>
      </c>
      <c r="B454" s="6">
        <f t="shared" si="23"/>
        <v>0</v>
      </c>
      <c r="K454" s="18">
        <f t="shared" si="21"/>
        <v>0</v>
      </c>
      <c r="L454" s="21">
        <f>IF(ISERROR(VLOOKUP($F454,#REF!,6,0)*G454/1000),0,VLOOKUP($F454,#REF!,6,0)*G454/1000)</f>
        <v>0</v>
      </c>
      <c r="M454" s="21">
        <f>IF(ISERROR(VLOOKUP($F454,#REF!,6,0)*H454/1000),0,VLOOKUP($F454,#REF!,6,0)*H454/1000)</f>
        <v>0</v>
      </c>
      <c r="N454" s="21">
        <f>IF(ISERROR(VLOOKUP($F454,#REF!,6,0)*I454/1000),0,VLOOKUP($F454,#REF!,6,0)*I454/1000)</f>
        <v>0</v>
      </c>
      <c r="O454" s="21">
        <f>IF(ISERROR(VLOOKUP($F454,#REF!,6,0)*J454/1000),0,VLOOKUP($F454,#REF!,6,0)*J454/1000)</f>
        <v>0</v>
      </c>
      <c r="P454" s="21">
        <f>IF(ISERROR(VLOOKUP(F454,#REF!,6,0)*K454/1000),0,VLOOKUP(F454,#REF!,6,0)*K454/1000)</f>
        <v>0</v>
      </c>
      <c r="Q454" s="6">
        <f>IF(ISERROR(VLOOKUP(F454,#REF!,3,0)),0,VLOOKUP(F454,#REF!,3,0))</f>
        <v>0</v>
      </c>
      <c r="R454" s="6">
        <f>IF(ISERROR(VLOOKUP(F454,#REF!,4,0)),0,VLOOKUP(F454,#REF!,4,0))</f>
        <v>0</v>
      </c>
      <c r="S454" s="8">
        <f>IF(ISERROR(VLOOKUP(F454,#REF!,4,0)),0,VLOOKUP(F454,#REF!,10,0)/60*K454)</f>
        <v>0</v>
      </c>
      <c r="T454" s="3"/>
      <c r="U454" s="3"/>
      <c r="V454" s="4"/>
    </row>
    <row r="455" spans="1:22" x14ac:dyDescent="0.3">
      <c r="A455" s="5">
        <f t="shared" si="22"/>
        <v>0</v>
      </c>
      <c r="B455" s="6">
        <f t="shared" si="23"/>
        <v>0</v>
      </c>
      <c r="K455" s="18">
        <f t="shared" si="21"/>
        <v>0</v>
      </c>
      <c r="L455" s="21">
        <f>IF(ISERROR(VLOOKUP($F455,#REF!,6,0)*G455/1000),0,VLOOKUP($F455,#REF!,6,0)*G455/1000)</f>
        <v>0</v>
      </c>
      <c r="M455" s="21">
        <f>IF(ISERROR(VLOOKUP($F455,#REF!,6,0)*H455/1000),0,VLOOKUP($F455,#REF!,6,0)*H455/1000)</f>
        <v>0</v>
      </c>
      <c r="N455" s="21">
        <f>IF(ISERROR(VLOOKUP($F455,#REF!,6,0)*I455/1000),0,VLOOKUP($F455,#REF!,6,0)*I455/1000)</f>
        <v>0</v>
      </c>
      <c r="O455" s="21">
        <f>IF(ISERROR(VLOOKUP($F455,#REF!,6,0)*J455/1000),0,VLOOKUP($F455,#REF!,6,0)*J455/1000)</f>
        <v>0</v>
      </c>
      <c r="P455" s="21">
        <f>IF(ISERROR(VLOOKUP(F455,#REF!,6,0)*K455/1000),0,VLOOKUP(F455,#REF!,6,0)*K455/1000)</f>
        <v>0</v>
      </c>
      <c r="Q455" s="6">
        <f>IF(ISERROR(VLOOKUP(F455,#REF!,3,0)),0,VLOOKUP(F455,#REF!,3,0))</f>
        <v>0</v>
      </c>
      <c r="R455" s="6">
        <f>IF(ISERROR(VLOOKUP(F455,#REF!,4,0)),0,VLOOKUP(F455,#REF!,4,0))</f>
        <v>0</v>
      </c>
      <c r="S455" s="8">
        <f>IF(ISERROR(VLOOKUP(F455,#REF!,4,0)),0,VLOOKUP(F455,#REF!,10,0)/60*K455)</f>
        <v>0</v>
      </c>
      <c r="T455" s="3"/>
      <c r="U455" s="3"/>
      <c r="V455" s="4"/>
    </row>
    <row r="456" spans="1:22" x14ac:dyDescent="0.3">
      <c r="A456" s="5">
        <f t="shared" si="22"/>
        <v>0</v>
      </c>
      <c r="B456" s="6">
        <f t="shared" si="23"/>
        <v>0</v>
      </c>
      <c r="K456" s="18">
        <f t="shared" si="21"/>
        <v>0</v>
      </c>
      <c r="L456" s="21">
        <f>IF(ISERROR(VLOOKUP($F456,#REF!,6,0)*G456/1000),0,VLOOKUP($F456,#REF!,6,0)*G456/1000)</f>
        <v>0</v>
      </c>
      <c r="M456" s="21">
        <f>IF(ISERROR(VLOOKUP($F456,#REF!,6,0)*H456/1000),0,VLOOKUP($F456,#REF!,6,0)*H456/1000)</f>
        <v>0</v>
      </c>
      <c r="N456" s="21">
        <f>IF(ISERROR(VLOOKUP($F456,#REF!,6,0)*I456/1000),0,VLOOKUP($F456,#REF!,6,0)*I456/1000)</f>
        <v>0</v>
      </c>
      <c r="O456" s="21">
        <f>IF(ISERROR(VLOOKUP($F456,#REF!,6,0)*J456/1000),0,VLOOKUP($F456,#REF!,6,0)*J456/1000)</f>
        <v>0</v>
      </c>
      <c r="P456" s="21">
        <f>IF(ISERROR(VLOOKUP(F456,#REF!,6,0)*K456/1000),0,VLOOKUP(F456,#REF!,6,0)*K456/1000)</f>
        <v>0</v>
      </c>
      <c r="Q456" s="6">
        <f>IF(ISERROR(VLOOKUP(F456,#REF!,3,0)),0,VLOOKUP(F456,#REF!,3,0))</f>
        <v>0</v>
      </c>
      <c r="R456" s="6">
        <f>IF(ISERROR(VLOOKUP(F456,#REF!,4,0)),0,VLOOKUP(F456,#REF!,4,0))</f>
        <v>0</v>
      </c>
      <c r="S456" s="8">
        <f>IF(ISERROR(VLOOKUP(F456,#REF!,4,0)),0,VLOOKUP(F456,#REF!,10,0)/60*K456)</f>
        <v>0</v>
      </c>
      <c r="T456" s="3"/>
      <c r="U456" s="3"/>
      <c r="V456" s="4"/>
    </row>
    <row r="457" spans="1:22" x14ac:dyDescent="0.3">
      <c r="A457" s="5">
        <f t="shared" si="22"/>
        <v>0</v>
      </c>
      <c r="B457" s="6">
        <f t="shared" si="23"/>
        <v>0</v>
      </c>
      <c r="K457" s="18">
        <f t="shared" si="21"/>
        <v>0</v>
      </c>
      <c r="L457" s="21">
        <f>IF(ISERROR(VLOOKUP($F457,#REF!,6,0)*G457/1000),0,VLOOKUP($F457,#REF!,6,0)*G457/1000)</f>
        <v>0</v>
      </c>
      <c r="M457" s="21">
        <f>IF(ISERROR(VLOOKUP($F457,#REF!,6,0)*H457/1000),0,VLOOKUP($F457,#REF!,6,0)*H457/1000)</f>
        <v>0</v>
      </c>
      <c r="N457" s="21">
        <f>IF(ISERROR(VLOOKUP($F457,#REF!,6,0)*I457/1000),0,VLOOKUP($F457,#REF!,6,0)*I457/1000)</f>
        <v>0</v>
      </c>
      <c r="O457" s="21">
        <f>IF(ISERROR(VLOOKUP($F457,#REF!,6,0)*J457/1000),0,VLOOKUP($F457,#REF!,6,0)*J457/1000)</f>
        <v>0</v>
      </c>
      <c r="P457" s="21">
        <f>IF(ISERROR(VLOOKUP(F457,#REF!,6,0)*K457/1000),0,VLOOKUP(F457,#REF!,6,0)*K457/1000)</f>
        <v>0</v>
      </c>
      <c r="Q457" s="6">
        <f>IF(ISERROR(VLOOKUP(F457,#REF!,3,0)),0,VLOOKUP(F457,#REF!,3,0))</f>
        <v>0</v>
      </c>
      <c r="R457" s="6">
        <f>IF(ISERROR(VLOOKUP(F457,#REF!,4,0)),0,VLOOKUP(F457,#REF!,4,0))</f>
        <v>0</v>
      </c>
      <c r="S457" s="8">
        <f>IF(ISERROR(VLOOKUP(F457,#REF!,4,0)),0,VLOOKUP(F457,#REF!,10,0)/60*K457)</f>
        <v>0</v>
      </c>
      <c r="T457" s="3"/>
      <c r="U457" s="3"/>
      <c r="V457" s="4"/>
    </row>
    <row r="458" spans="1:22" x14ac:dyDescent="0.3">
      <c r="A458" s="5">
        <f t="shared" si="22"/>
        <v>0</v>
      </c>
      <c r="B458" s="6">
        <f t="shared" si="23"/>
        <v>0</v>
      </c>
      <c r="K458" s="18">
        <f t="shared" si="21"/>
        <v>0</v>
      </c>
      <c r="L458" s="21">
        <f>IF(ISERROR(VLOOKUP($F458,#REF!,6,0)*G458/1000),0,VLOOKUP($F458,#REF!,6,0)*G458/1000)</f>
        <v>0</v>
      </c>
      <c r="M458" s="21">
        <f>IF(ISERROR(VLOOKUP($F458,#REF!,6,0)*H458/1000),0,VLOOKUP($F458,#REF!,6,0)*H458/1000)</f>
        <v>0</v>
      </c>
      <c r="N458" s="21">
        <f>IF(ISERROR(VLOOKUP($F458,#REF!,6,0)*I458/1000),0,VLOOKUP($F458,#REF!,6,0)*I458/1000)</f>
        <v>0</v>
      </c>
      <c r="O458" s="21">
        <f>IF(ISERROR(VLOOKUP($F458,#REF!,6,0)*J458/1000),0,VLOOKUP($F458,#REF!,6,0)*J458/1000)</f>
        <v>0</v>
      </c>
      <c r="P458" s="21">
        <f>IF(ISERROR(VLOOKUP(F458,#REF!,6,0)*K458/1000),0,VLOOKUP(F458,#REF!,6,0)*K458/1000)</f>
        <v>0</v>
      </c>
      <c r="Q458" s="6">
        <f>IF(ISERROR(VLOOKUP(F458,#REF!,3,0)),0,VLOOKUP(F458,#REF!,3,0))</f>
        <v>0</v>
      </c>
      <c r="R458" s="6">
        <f>IF(ISERROR(VLOOKUP(F458,#REF!,4,0)),0,VLOOKUP(F458,#REF!,4,0))</f>
        <v>0</v>
      </c>
      <c r="S458" s="8">
        <f>IF(ISERROR(VLOOKUP(F458,#REF!,4,0)),0,VLOOKUP(F458,#REF!,10,0)/60*K458)</f>
        <v>0</v>
      </c>
      <c r="T458" s="3"/>
      <c r="U458" s="3"/>
      <c r="V458" s="4"/>
    </row>
    <row r="459" spans="1:22" x14ac:dyDescent="0.3">
      <c r="A459" s="5">
        <f t="shared" si="22"/>
        <v>0</v>
      </c>
      <c r="B459" s="6">
        <f t="shared" si="23"/>
        <v>0</v>
      </c>
      <c r="K459" s="18">
        <f t="shared" si="21"/>
        <v>0</v>
      </c>
      <c r="L459" s="21">
        <f>IF(ISERROR(VLOOKUP($F459,#REF!,6,0)*G459/1000),0,VLOOKUP($F459,#REF!,6,0)*G459/1000)</f>
        <v>0</v>
      </c>
      <c r="M459" s="21">
        <f>IF(ISERROR(VLOOKUP($F459,#REF!,6,0)*H459/1000),0,VLOOKUP($F459,#REF!,6,0)*H459/1000)</f>
        <v>0</v>
      </c>
      <c r="N459" s="21">
        <f>IF(ISERROR(VLOOKUP($F459,#REF!,6,0)*I459/1000),0,VLOOKUP($F459,#REF!,6,0)*I459/1000)</f>
        <v>0</v>
      </c>
      <c r="O459" s="21">
        <f>IF(ISERROR(VLOOKUP($F459,#REF!,6,0)*J459/1000),0,VLOOKUP($F459,#REF!,6,0)*J459/1000)</f>
        <v>0</v>
      </c>
      <c r="P459" s="21">
        <f>IF(ISERROR(VLOOKUP(F459,#REF!,6,0)*K459/1000),0,VLOOKUP(F459,#REF!,6,0)*K459/1000)</f>
        <v>0</v>
      </c>
      <c r="Q459" s="6">
        <f>IF(ISERROR(VLOOKUP(F459,#REF!,3,0)),0,VLOOKUP(F459,#REF!,3,0))</f>
        <v>0</v>
      </c>
      <c r="R459" s="6">
        <f>IF(ISERROR(VLOOKUP(F459,#REF!,4,0)),0,VLOOKUP(F459,#REF!,4,0))</f>
        <v>0</v>
      </c>
      <c r="S459" s="8">
        <f>IF(ISERROR(VLOOKUP(F459,#REF!,4,0)),0,VLOOKUP(F459,#REF!,10,0)/60*K459)</f>
        <v>0</v>
      </c>
      <c r="T459" s="3"/>
      <c r="U459" s="3"/>
      <c r="V459" s="4"/>
    </row>
    <row r="460" spans="1:22" x14ac:dyDescent="0.3">
      <c r="A460" s="5">
        <f t="shared" si="22"/>
        <v>0</v>
      </c>
      <c r="B460" s="6">
        <f t="shared" si="23"/>
        <v>0</v>
      </c>
      <c r="K460" s="18">
        <f t="shared" si="21"/>
        <v>0</v>
      </c>
      <c r="L460" s="21">
        <f>IF(ISERROR(VLOOKUP($F460,#REF!,6,0)*G460/1000),0,VLOOKUP($F460,#REF!,6,0)*G460/1000)</f>
        <v>0</v>
      </c>
      <c r="M460" s="21">
        <f>IF(ISERROR(VLOOKUP($F460,#REF!,6,0)*H460/1000),0,VLOOKUP($F460,#REF!,6,0)*H460/1000)</f>
        <v>0</v>
      </c>
      <c r="N460" s="21">
        <f>IF(ISERROR(VLOOKUP($F460,#REF!,6,0)*I460/1000),0,VLOOKUP($F460,#REF!,6,0)*I460/1000)</f>
        <v>0</v>
      </c>
      <c r="O460" s="21">
        <f>IF(ISERROR(VLOOKUP($F460,#REF!,6,0)*J460/1000),0,VLOOKUP($F460,#REF!,6,0)*J460/1000)</f>
        <v>0</v>
      </c>
      <c r="P460" s="21">
        <f>IF(ISERROR(VLOOKUP(F460,#REF!,6,0)*K460/1000),0,VLOOKUP(F460,#REF!,6,0)*K460/1000)</f>
        <v>0</v>
      </c>
      <c r="Q460" s="6">
        <f>IF(ISERROR(VLOOKUP(F460,#REF!,3,0)),0,VLOOKUP(F460,#REF!,3,0))</f>
        <v>0</v>
      </c>
      <c r="R460" s="6">
        <f>IF(ISERROR(VLOOKUP(F460,#REF!,4,0)),0,VLOOKUP(F460,#REF!,4,0))</f>
        <v>0</v>
      </c>
      <c r="S460" s="8">
        <f>IF(ISERROR(VLOOKUP(F460,#REF!,4,0)),0,VLOOKUP(F460,#REF!,10,0)/60*K460)</f>
        <v>0</v>
      </c>
      <c r="T460" s="3"/>
      <c r="U460" s="3"/>
      <c r="V460" s="4"/>
    </row>
    <row r="461" spans="1:22" x14ac:dyDescent="0.3">
      <c r="A461" s="5">
        <f t="shared" si="22"/>
        <v>0</v>
      </c>
      <c r="B461" s="6">
        <f t="shared" si="23"/>
        <v>0</v>
      </c>
      <c r="K461" s="18">
        <f t="shared" si="21"/>
        <v>0</v>
      </c>
      <c r="L461" s="21">
        <f>IF(ISERROR(VLOOKUP($F461,#REF!,6,0)*G461/1000),0,VLOOKUP($F461,#REF!,6,0)*G461/1000)</f>
        <v>0</v>
      </c>
      <c r="M461" s="21">
        <f>IF(ISERROR(VLOOKUP($F461,#REF!,6,0)*H461/1000),0,VLOOKUP($F461,#REF!,6,0)*H461/1000)</f>
        <v>0</v>
      </c>
      <c r="N461" s="21">
        <f>IF(ISERROR(VLOOKUP($F461,#REF!,6,0)*I461/1000),0,VLOOKUP($F461,#REF!,6,0)*I461/1000)</f>
        <v>0</v>
      </c>
      <c r="O461" s="21">
        <f>IF(ISERROR(VLOOKUP($F461,#REF!,6,0)*J461/1000),0,VLOOKUP($F461,#REF!,6,0)*J461/1000)</f>
        <v>0</v>
      </c>
      <c r="P461" s="21">
        <f>IF(ISERROR(VLOOKUP(F461,#REF!,6,0)*K461/1000),0,VLOOKUP(F461,#REF!,6,0)*K461/1000)</f>
        <v>0</v>
      </c>
      <c r="Q461" s="6">
        <f>IF(ISERROR(VLOOKUP(F461,#REF!,3,0)),0,VLOOKUP(F461,#REF!,3,0))</f>
        <v>0</v>
      </c>
      <c r="R461" s="6">
        <f>IF(ISERROR(VLOOKUP(F461,#REF!,4,0)),0,VLOOKUP(F461,#REF!,4,0))</f>
        <v>0</v>
      </c>
      <c r="S461" s="8">
        <f>IF(ISERROR(VLOOKUP(F461,#REF!,4,0)),0,VLOOKUP(F461,#REF!,10,0)/60*K461)</f>
        <v>0</v>
      </c>
      <c r="T461" s="3"/>
      <c r="U461" s="3"/>
      <c r="V461" s="4"/>
    </row>
    <row r="462" spans="1:22" x14ac:dyDescent="0.3">
      <c r="A462" s="5">
        <f t="shared" si="22"/>
        <v>0</v>
      </c>
      <c r="B462" s="6">
        <f t="shared" si="23"/>
        <v>0</v>
      </c>
      <c r="K462" s="18">
        <f t="shared" si="21"/>
        <v>0</v>
      </c>
      <c r="L462" s="21">
        <f>IF(ISERROR(VLOOKUP($F462,#REF!,6,0)*G462/1000),0,VLOOKUP($F462,#REF!,6,0)*G462/1000)</f>
        <v>0</v>
      </c>
      <c r="M462" s="21">
        <f>IF(ISERROR(VLOOKUP($F462,#REF!,6,0)*H462/1000),0,VLOOKUP($F462,#REF!,6,0)*H462/1000)</f>
        <v>0</v>
      </c>
      <c r="N462" s="21">
        <f>IF(ISERROR(VLOOKUP($F462,#REF!,6,0)*I462/1000),0,VLOOKUP($F462,#REF!,6,0)*I462/1000)</f>
        <v>0</v>
      </c>
      <c r="O462" s="21">
        <f>IF(ISERROR(VLOOKUP($F462,#REF!,6,0)*J462/1000),0,VLOOKUP($F462,#REF!,6,0)*J462/1000)</f>
        <v>0</v>
      </c>
      <c r="P462" s="21">
        <f>IF(ISERROR(VLOOKUP(F462,#REF!,6,0)*K462/1000),0,VLOOKUP(F462,#REF!,6,0)*K462/1000)</f>
        <v>0</v>
      </c>
      <c r="Q462" s="6">
        <f>IF(ISERROR(VLOOKUP(F462,#REF!,3,0)),0,VLOOKUP(F462,#REF!,3,0))</f>
        <v>0</v>
      </c>
      <c r="R462" s="6">
        <f>IF(ISERROR(VLOOKUP(F462,#REF!,4,0)),0,VLOOKUP(F462,#REF!,4,0))</f>
        <v>0</v>
      </c>
      <c r="S462" s="8">
        <f>IF(ISERROR(VLOOKUP(F462,#REF!,4,0)),0,VLOOKUP(F462,#REF!,10,0)/60*K462)</f>
        <v>0</v>
      </c>
      <c r="T462" s="3"/>
      <c r="U462" s="3"/>
      <c r="V462" s="4"/>
    </row>
    <row r="463" spans="1:22" x14ac:dyDescent="0.3">
      <c r="A463" s="5">
        <f t="shared" si="22"/>
        <v>0</v>
      </c>
      <c r="B463" s="6">
        <f t="shared" si="23"/>
        <v>0</v>
      </c>
      <c r="K463" s="18">
        <f t="shared" si="21"/>
        <v>0</v>
      </c>
      <c r="L463" s="21">
        <f>IF(ISERROR(VLOOKUP($F463,#REF!,6,0)*G463/1000),0,VLOOKUP($F463,#REF!,6,0)*G463/1000)</f>
        <v>0</v>
      </c>
      <c r="M463" s="21">
        <f>IF(ISERROR(VLOOKUP($F463,#REF!,6,0)*H463/1000),0,VLOOKUP($F463,#REF!,6,0)*H463/1000)</f>
        <v>0</v>
      </c>
      <c r="N463" s="21">
        <f>IF(ISERROR(VLOOKUP($F463,#REF!,6,0)*I463/1000),0,VLOOKUP($F463,#REF!,6,0)*I463/1000)</f>
        <v>0</v>
      </c>
      <c r="O463" s="21">
        <f>IF(ISERROR(VLOOKUP($F463,#REF!,6,0)*J463/1000),0,VLOOKUP($F463,#REF!,6,0)*J463/1000)</f>
        <v>0</v>
      </c>
      <c r="P463" s="21">
        <f>IF(ISERROR(VLOOKUP(F463,#REF!,6,0)*K463/1000),0,VLOOKUP(F463,#REF!,6,0)*K463/1000)</f>
        <v>0</v>
      </c>
      <c r="Q463" s="6">
        <f>IF(ISERROR(VLOOKUP(F463,#REF!,3,0)),0,VLOOKUP(F463,#REF!,3,0))</f>
        <v>0</v>
      </c>
      <c r="R463" s="6">
        <f>IF(ISERROR(VLOOKUP(F463,#REF!,4,0)),0,VLOOKUP(F463,#REF!,4,0))</f>
        <v>0</v>
      </c>
      <c r="S463" s="8">
        <f>IF(ISERROR(VLOOKUP(F463,#REF!,4,0)),0,VLOOKUP(F463,#REF!,10,0)/60*K463)</f>
        <v>0</v>
      </c>
      <c r="T463" s="3"/>
      <c r="U463" s="3"/>
      <c r="V463" s="4"/>
    </row>
    <row r="464" spans="1:22" x14ac:dyDescent="0.3">
      <c r="A464" s="5">
        <f t="shared" si="22"/>
        <v>0</v>
      </c>
      <c r="B464" s="6">
        <f t="shared" si="23"/>
        <v>0</v>
      </c>
      <c r="K464" s="18">
        <f t="shared" si="21"/>
        <v>0</v>
      </c>
      <c r="L464" s="21">
        <f>IF(ISERROR(VLOOKUP($F464,#REF!,6,0)*G464/1000),0,VLOOKUP($F464,#REF!,6,0)*G464/1000)</f>
        <v>0</v>
      </c>
      <c r="M464" s="21">
        <f>IF(ISERROR(VLOOKUP($F464,#REF!,6,0)*H464/1000),0,VLOOKUP($F464,#REF!,6,0)*H464/1000)</f>
        <v>0</v>
      </c>
      <c r="N464" s="21">
        <f>IF(ISERROR(VLOOKUP($F464,#REF!,6,0)*I464/1000),0,VLOOKUP($F464,#REF!,6,0)*I464/1000)</f>
        <v>0</v>
      </c>
      <c r="O464" s="21">
        <f>IF(ISERROR(VLOOKUP($F464,#REF!,6,0)*J464/1000),0,VLOOKUP($F464,#REF!,6,0)*J464/1000)</f>
        <v>0</v>
      </c>
      <c r="P464" s="21">
        <f>IF(ISERROR(VLOOKUP(F464,#REF!,6,0)*K464/1000),0,VLOOKUP(F464,#REF!,6,0)*K464/1000)</f>
        <v>0</v>
      </c>
      <c r="Q464" s="6">
        <f>IF(ISERROR(VLOOKUP(F464,#REF!,3,0)),0,VLOOKUP(F464,#REF!,3,0))</f>
        <v>0</v>
      </c>
      <c r="R464" s="6">
        <f>IF(ISERROR(VLOOKUP(F464,#REF!,4,0)),0,VLOOKUP(F464,#REF!,4,0))</f>
        <v>0</v>
      </c>
      <c r="S464" s="8">
        <f>IF(ISERROR(VLOOKUP(F464,#REF!,4,0)),0,VLOOKUP(F464,#REF!,10,0)/60*K464)</f>
        <v>0</v>
      </c>
      <c r="T464" s="3"/>
      <c r="U464" s="3"/>
      <c r="V464" s="4"/>
    </row>
    <row r="465" spans="1:22" x14ac:dyDescent="0.3">
      <c r="A465" s="5">
        <f t="shared" si="22"/>
        <v>0</v>
      </c>
      <c r="B465" s="6">
        <f t="shared" si="23"/>
        <v>0</v>
      </c>
      <c r="K465" s="18">
        <f t="shared" si="21"/>
        <v>0</v>
      </c>
      <c r="L465" s="21">
        <f>IF(ISERROR(VLOOKUP($F465,#REF!,6,0)*G465/1000),0,VLOOKUP($F465,#REF!,6,0)*G465/1000)</f>
        <v>0</v>
      </c>
      <c r="M465" s="21">
        <f>IF(ISERROR(VLOOKUP($F465,#REF!,6,0)*H465/1000),0,VLOOKUP($F465,#REF!,6,0)*H465/1000)</f>
        <v>0</v>
      </c>
      <c r="N465" s="21">
        <f>IF(ISERROR(VLOOKUP($F465,#REF!,6,0)*I465/1000),0,VLOOKUP($F465,#REF!,6,0)*I465/1000)</f>
        <v>0</v>
      </c>
      <c r="O465" s="21">
        <f>IF(ISERROR(VLOOKUP($F465,#REF!,6,0)*J465/1000),0,VLOOKUP($F465,#REF!,6,0)*J465/1000)</f>
        <v>0</v>
      </c>
      <c r="P465" s="21">
        <f>IF(ISERROR(VLOOKUP(F465,#REF!,6,0)*K465/1000),0,VLOOKUP(F465,#REF!,6,0)*K465/1000)</f>
        <v>0</v>
      </c>
      <c r="Q465" s="6">
        <f>IF(ISERROR(VLOOKUP(F465,#REF!,3,0)),0,VLOOKUP(F465,#REF!,3,0))</f>
        <v>0</v>
      </c>
      <c r="R465" s="6">
        <f>IF(ISERROR(VLOOKUP(F465,#REF!,4,0)),0,VLOOKUP(F465,#REF!,4,0))</f>
        <v>0</v>
      </c>
      <c r="S465" s="8">
        <f>IF(ISERROR(VLOOKUP(F465,#REF!,4,0)),0,VLOOKUP(F465,#REF!,10,0)/60*K465)</f>
        <v>0</v>
      </c>
      <c r="T465" s="3"/>
      <c r="U465" s="3"/>
      <c r="V465" s="4"/>
    </row>
    <row r="466" spans="1:22" x14ac:dyDescent="0.3">
      <c r="A466" s="5">
        <f t="shared" si="22"/>
        <v>0</v>
      </c>
      <c r="B466" s="6">
        <f t="shared" si="23"/>
        <v>0</v>
      </c>
      <c r="K466" s="18">
        <f t="shared" si="21"/>
        <v>0</v>
      </c>
      <c r="L466" s="21">
        <f>IF(ISERROR(VLOOKUP($F466,#REF!,6,0)*G466/1000),0,VLOOKUP($F466,#REF!,6,0)*G466/1000)</f>
        <v>0</v>
      </c>
      <c r="M466" s="21">
        <f>IF(ISERROR(VLOOKUP($F466,#REF!,6,0)*H466/1000),0,VLOOKUP($F466,#REF!,6,0)*H466/1000)</f>
        <v>0</v>
      </c>
      <c r="N466" s="21">
        <f>IF(ISERROR(VLOOKUP($F466,#REF!,6,0)*I466/1000),0,VLOOKUP($F466,#REF!,6,0)*I466/1000)</f>
        <v>0</v>
      </c>
      <c r="O466" s="21">
        <f>IF(ISERROR(VLOOKUP($F466,#REF!,6,0)*J466/1000),0,VLOOKUP($F466,#REF!,6,0)*J466/1000)</f>
        <v>0</v>
      </c>
      <c r="P466" s="21">
        <f>IF(ISERROR(VLOOKUP(F466,#REF!,6,0)*K466/1000),0,VLOOKUP(F466,#REF!,6,0)*K466/1000)</f>
        <v>0</v>
      </c>
      <c r="Q466" s="6">
        <f>IF(ISERROR(VLOOKUP(F466,#REF!,3,0)),0,VLOOKUP(F466,#REF!,3,0))</f>
        <v>0</v>
      </c>
      <c r="R466" s="6">
        <f>IF(ISERROR(VLOOKUP(F466,#REF!,4,0)),0,VLOOKUP(F466,#REF!,4,0))</f>
        <v>0</v>
      </c>
      <c r="S466" s="8">
        <f>IF(ISERROR(VLOOKUP(F466,#REF!,4,0)),0,VLOOKUP(F466,#REF!,10,0)/60*K466)</f>
        <v>0</v>
      </c>
      <c r="T466" s="3"/>
      <c r="U466" s="3"/>
      <c r="V466" s="4"/>
    </row>
    <row r="467" spans="1:22" x14ac:dyDescent="0.3">
      <c r="A467" s="5">
        <f t="shared" si="22"/>
        <v>0</v>
      </c>
      <c r="B467" s="6">
        <f t="shared" si="23"/>
        <v>0</v>
      </c>
      <c r="K467" s="18">
        <f t="shared" si="21"/>
        <v>0</v>
      </c>
      <c r="L467" s="21">
        <f>IF(ISERROR(VLOOKUP($F467,#REF!,6,0)*G467/1000),0,VLOOKUP($F467,#REF!,6,0)*G467/1000)</f>
        <v>0</v>
      </c>
      <c r="M467" s="21">
        <f>IF(ISERROR(VLOOKUP($F467,#REF!,6,0)*H467/1000),0,VLOOKUP($F467,#REF!,6,0)*H467/1000)</f>
        <v>0</v>
      </c>
      <c r="N467" s="21">
        <f>IF(ISERROR(VLOOKUP($F467,#REF!,6,0)*I467/1000),0,VLOOKUP($F467,#REF!,6,0)*I467/1000)</f>
        <v>0</v>
      </c>
      <c r="O467" s="21">
        <f>IF(ISERROR(VLOOKUP($F467,#REF!,6,0)*J467/1000),0,VLOOKUP($F467,#REF!,6,0)*J467/1000)</f>
        <v>0</v>
      </c>
      <c r="P467" s="21">
        <f>IF(ISERROR(VLOOKUP(F467,#REF!,6,0)*K467/1000),0,VLOOKUP(F467,#REF!,6,0)*K467/1000)</f>
        <v>0</v>
      </c>
      <c r="Q467" s="6">
        <f>IF(ISERROR(VLOOKUP(F467,#REF!,3,0)),0,VLOOKUP(F467,#REF!,3,0))</f>
        <v>0</v>
      </c>
      <c r="R467" s="6">
        <f>IF(ISERROR(VLOOKUP(F467,#REF!,4,0)),0,VLOOKUP(F467,#REF!,4,0))</f>
        <v>0</v>
      </c>
      <c r="S467" s="8">
        <f>IF(ISERROR(VLOOKUP(F467,#REF!,4,0)),0,VLOOKUP(F467,#REF!,10,0)/60*K467)</f>
        <v>0</v>
      </c>
      <c r="T467" s="3"/>
      <c r="U467" s="3"/>
      <c r="V467" s="4"/>
    </row>
    <row r="468" spans="1:22" x14ac:dyDescent="0.3">
      <c r="A468" s="5">
        <f t="shared" si="22"/>
        <v>0</v>
      </c>
      <c r="B468" s="6">
        <f t="shared" si="23"/>
        <v>0</v>
      </c>
      <c r="K468" s="18">
        <f t="shared" si="21"/>
        <v>0</v>
      </c>
      <c r="L468" s="21">
        <f>IF(ISERROR(VLOOKUP($F468,#REF!,6,0)*G468/1000),0,VLOOKUP($F468,#REF!,6,0)*G468/1000)</f>
        <v>0</v>
      </c>
      <c r="M468" s="21">
        <f>IF(ISERROR(VLOOKUP($F468,#REF!,6,0)*H468/1000),0,VLOOKUP($F468,#REF!,6,0)*H468/1000)</f>
        <v>0</v>
      </c>
      <c r="N468" s="21">
        <f>IF(ISERROR(VLOOKUP($F468,#REF!,6,0)*I468/1000),0,VLOOKUP($F468,#REF!,6,0)*I468/1000)</f>
        <v>0</v>
      </c>
      <c r="O468" s="21">
        <f>IF(ISERROR(VLOOKUP($F468,#REF!,6,0)*J468/1000),0,VLOOKUP($F468,#REF!,6,0)*J468/1000)</f>
        <v>0</v>
      </c>
      <c r="P468" s="21">
        <f>IF(ISERROR(VLOOKUP(F468,#REF!,6,0)*K468/1000),0,VLOOKUP(F468,#REF!,6,0)*K468/1000)</f>
        <v>0</v>
      </c>
      <c r="Q468" s="6">
        <f>IF(ISERROR(VLOOKUP(F468,#REF!,3,0)),0,VLOOKUP(F468,#REF!,3,0))</f>
        <v>0</v>
      </c>
      <c r="R468" s="6">
        <f>IF(ISERROR(VLOOKUP(F468,#REF!,4,0)),0,VLOOKUP(F468,#REF!,4,0))</f>
        <v>0</v>
      </c>
      <c r="S468" s="8">
        <f>IF(ISERROR(VLOOKUP(F468,#REF!,4,0)),0,VLOOKUP(F468,#REF!,10,0)/60*K468)</f>
        <v>0</v>
      </c>
      <c r="T468" s="3"/>
      <c r="U468" s="3"/>
      <c r="V468" s="4"/>
    </row>
    <row r="469" spans="1:22" x14ac:dyDescent="0.3">
      <c r="A469" s="5">
        <f t="shared" si="22"/>
        <v>0</v>
      </c>
      <c r="B469" s="6">
        <f t="shared" si="23"/>
        <v>0</v>
      </c>
      <c r="K469" s="18">
        <f t="shared" si="21"/>
        <v>0</v>
      </c>
      <c r="L469" s="21">
        <f>IF(ISERROR(VLOOKUP($F469,#REF!,6,0)*G469/1000),0,VLOOKUP($F469,#REF!,6,0)*G469/1000)</f>
        <v>0</v>
      </c>
      <c r="M469" s="21">
        <f>IF(ISERROR(VLOOKUP($F469,#REF!,6,0)*H469/1000),0,VLOOKUP($F469,#REF!,6,0)*H469/1000)</f>
        <v>0</v>
      </c>
      <c r="N469" s="21">
        <f>IF(ISERROR(VLOOKUP($F469,#REF!,6,0)*I469/1000),0,VLOOKUP($F469,#REF!,6,0)*I469/1000)</f>
        <v>0</v>
      </c>
      <c r="O469" s="21">
        <f>IF(ISERROR(VLOOKUP($F469,#REF!,6,0)*J469/1000),0,VLOOKUP($F469,#REF!,6,0)*J469/1000)</f>
        <v>0</v>
      </c>
      <c r="P469" s="21">
        <f>IF(ISERROR(VLOOKUP(F469,#REF!,6,0)*K469/1000),0,VLOOKUP(F469,#REF!,6,0)*K469/1000)</f>
        <v>0</v>
      </c>
      <c r="Q469" s="6">
        <f>IF(ISERROR(VLOOKUP(F469,#REF!,3,0)),0,VLOOKUP(F469,#REF!,3,0))</f>
        <v>0</v>
      </c>
      <c r="R469" s="6">
        <f>IF(ISERROR(VLOOKUP(F469,#REF!,4,0)),0,VLOOKUP(F469,#REF!,4,0))</f>
        <v>0</v>
      </c>
      <c r="S469" s="8">
        <f>IF(ISERROR(VLOOKUP(F469,#REF!,4,0)),0,VLOOKUP(F469,#REF!,10,0)/60*K469)</f>
        <v>0</v>
      </c>
      <c r="T469" s="3"/>
      <c r="U469" s="3"/>
      <c r="V469" s="4"/>
    </row>
    <row r="470" spans="1:22" x14ac:dyDescent="0.3">
      <c r="A470" s="5">
        <f t="shared" si="22"/>
        <v>0</v>
      </c>
      <c r="B470" s="6">
        <f t="shared" si="23"/>
        <v>0</v>
      </c>
      <c r="K470" s="18">
        <f t="shared" si="21"/>
        <v>0</v>
      </c>
      <c r="L470" s="21">
        <f>IF(ISERROR(VLOOKUP($F470,#REF!,6,0)*G470/1000),0,VLOOKUP($F470,#REF!,6,0)*G470/1000)</f>
        <v>0</v>
      </c>
      <c r="M470" s="21">
        <f>IF(ISERROR(VLOOKUP($F470,#REF!,6,0)*H470/1000),0,VLOOKUP($F470,#REF!,6,0)*H470/1000)</f>
        <v>0</v>
      </c>
      <c r="N470" s="21">
        <f>IF(ISERROR(VLOOKUP($F470,#REF!,6,0)*I470/1000),0,VLOOKUP($F470,#REF!,6,0)*I470/1000)</f>
        <v>0</v>
      </c>
      <c r="O470" s="21">
        <f>IF(ISERROR(VLOOKUP($F470,#REF!,6,0)*J470/1000),0,VLOOKUP($F470,#REF!,6,0)*J470/1000)</f>
        <v>0</v>
      </c>
      <c r="P470" s="21">
        <f>IF(ISERROR(VLOOKUP(F470,#REF!,6,0)*K470/1000),0,VLOOKUP(F470,#REF!,6,0)*K470/1000)</f>
        <v>0</v>
      </c>
      <c r="Q470" s="6">
        <f>IF(ISERROR(VLOOKUP(F470,#REF!,3,0)),0,VLOOKUP(F470,#REF!,3,0))</f>
        <v>0</v>
      </c>
      <c r="R470" s="6">
        <f>IF(ISERROR(VLOOKUP(F470,#REF!,4,0)),0,VLOOKUP(F470,#REF!,4,0))</f>
        <v>0</v>
      </c>
      <c r="S470" s="8">
        <f>IF(ISERROR(VLOOKUP(F470,#REF!,4,0)),0,VLOOKUP(F470,#REF!,10,0)/60*K470)</f>
        <v>0</v>
      </c>
      <c r="T470" s="3"/>
      <c r="U470" s="3"/>
      <c r="V470" s="4"/>
    </row>
    <row r="471" spans="1:22" x14ac:dyDescent="0.3">
      <c r="A471" s="5">
        <f t="shared" si="22"/>
        <v>0</v>
      </c>
      <c r="B471" s="6">
        <f t="shared" si="23"/>
        <v>0</v>
      </c>
      <c r="K471" s="18">
        <f t="shared" si="21"/>
        <v>0</v>
      </c>
      <c r="L471" s="21">
        <f>IF(ISERROR(VLOOKUP($F471,#REF!,6,0)*G471/1000),0,VLOOKUP($F471,#REF!,6,0)*G471/1000)</f>
        <v>0</v>
      </c>
      <c r="M471" s="21">
        <f>IF(ISERROR(VLOOKUP($F471,#REF!,6,0)*H471/1000),0,VLOOKUP($F471,#REF!,6,0)*H471/1000)</f>
        <v>0</v>
      </c>
      <c r="N471" s="21">
        <f>IF(ISERROR(VLOOKUP($F471,#REF!,6,0)*I471/1000),0,VLOOKUP($F471,#REF!,6,0)*I471/1000)</f>
        <v>0</v>
      </c>
      <c r="O471" s="21">
        <f>IF(ISERROR(VLOOKUP($F471,#REF!,6,0)*J471/1000),0,VLOOKUP($F471,#REF!,6,0)*J471/1000)</f>
        <v>0</v>
      </c>
      <c r="P471" s="21">
        <f>IF(ISERROR(VLOOKUP(F471,#REF!,6,0)*K471/1000),0,VLOOKUP(F471,#REF!,6,0)*K471/1000)</f>
        <v>0</v>
      </c>
      <c r="Q471" s="6">
        <f>IF(ISERROR(VLOOKUP(F471,#REF!,3,0)),0,VLOOKUP(F471,#REF!,3,0))</f>
        <v>0</v>
      </c>
      <c r="R471" s="6">
        <f>IF(ISERROR(VLOOKUP(F471,#REF!,4,0)),0,VLOOKUP(F471,#REF!,4,0))</f>
        <v>0</v>
      </c>
      <c r="S471" s="8">
        <f>IF(ISERROR(VLOOKUP(F471,#REF!,4,0)),0,VLOOKUP(F471,#REF!,10,0)/60*K471)</f>
        <v>0</v>
      </c>
      <c r="T471" s="3"/>
      <c r="U471" s="3"/>
      <c r="V471" s="4"/>
    </row>
    <row r="472" spans="1:22" x14ac:dyDescent="0.3">
      <c r="A472" s="5">
        <f t="shared" si="22"/>
        <v>0</v>
      </c>
      <c r="B472" s="6">
        <f t="shared" si="23"/>
        <v>0</v>
      </c>
      <c r="K472" s="18">
        <f t="shared" si="21"/>
        <v>0</v>
      </c>
      <c r="L472" s="21">
        <f>IF(ISERROR(VLOOKUP($F472,#REF!,6,0)*G472/1000),0,VLOOKUP($F472,#REF!,6,0)*G472/1000)</f>
        <v>0</v>
      </c>
      <c r="M472" s="21">
        <f>IF(ISERROR(VLOOKUP($F472,#REF!,6,0)*H472/1000),0,VLOOKUP($F472,#REF!,6,0)*H472/1000)</f>
        <v>0</v>
      </c>
      <c r="N472" s="21">
        <f>IF(ISERROR(VLOOKUP($F472,#REF!,6,0)*I472/1000),0,VLOOKUP($F472,#REF!,6,0)*I472/1000)</f>
        <v>0</v>
      </c>
      <c r="O472" s="21">
        <f>IF(ISERROR(VLOOKUP($F472,#REF!,6,0)*J472/1000),0,VLOOKUP($F472,#REF!,6,0)*J472/1000)</f>
        <v>0</v>
      </c>
      <c r="P472" s="21">
        <f>IF(ISERROR(VLOOKUP(F472,#REF!,6,0)*K472/1000),0,VLOOKUP(F472,#REF!,6,0)*K472/1000)</f>
        <v>0</v>
      </c>
      <c r="Q472" s="6">
        <f>IF(ISERROR(VLOOKUP(F472,#REF!,3,0)),0,VLOOKUP(F472,#REF!,3,0))</f>
        <v>0</v>
      </c>
      <c r="R472" s="6">
        <f>IF(ISERROR(VLOOKUP(F472,#REF!,4,0)),0,VLOOKUP(F472,#REF!,4,0))</f>
        <v>0</v>
      </c>
      <c r="S472" s="8">
        <f>IF(ISERROR(VLOOKUP(F472,#REF!,4,0)),0,VLOOKUP(F472,#REF!,10,0)/60*K472)</f>
        <v>0</v>
      </c>
      <c r="T472" s="3"/>
      <c r="U472" s="3"/>
      <c r="V472" s="4"/>
    </row>
    <row r="473" spans="1:22" x14ac:dyDescent="0.3">
      <c r="A473" s="5">
        <f t="shared" si="22"/>
        <v>0</v>
      </c>
      <c r="B473" s="6">
        <f t="shared" si="23"/>
        <v>0</v>
      </c>
      <c r="K473" s="18">
        <f t="shared" si="21"/>
        <v>0</v>
      </c>
      <c r="L473" s="21">
        <f>IF(ISERROR(VLOOKUP($F473,#REF!,6,0)*G473/1000),0,VLOOKUP($F473,#REF!,6,0)*G473/1000)</f>
        <v>0</v>
      </c>
      <c r="M473" s="21">
        <f>IF(ISERROR(VLOOKUP($F473,#REF!,6,0)*H473/1000),0,VLOOKUP($F473,#REF!,6,0)*H473/1000)</f>
        <v>0</v>
      </c>
      <c r="N473" s="21">
        <f>IF(ISERROR(VLOOKUP($F473,#REF!,6,0)*I473/1000),0,VLOOKUP($F473,#REF!,6,0)*I473/1000)</f>
        <v>0</v>
      </c>
      <c r="O473" s="21">
        <f>IF(ISERROR(VLOOKUP($F473,#REF!,6,0)*J473/1000),0,VLOOKUP($F473,#REF!,6,0)*J473/1000)</f>
        <v>0</v>
      </c>
      <c r="P473" s="21">
        <f>IF(ISERROR(VLOOKUP(F473,#REF!,6,0)*K473/1000),0,VLOOKUP(F473,#REF!,6,0)*K473/1000)</f>
        <v>0</v>
      </c>
      <c r="Q473" s="6">
        <f>IF(ISERROR(VLOOKUP(F473,#REF!,3,0)),0,VLOOKUP(F473,#REF!,3,0))</f>
        <v>0</v>
      </c>
      <c r="R473" s="6">
        <f>IF(ISERROR(VLOOKUP(F473,#REF!,4,0)),0,VLOOKUP(F473,#REF!,4,0))</f>
        <v>0</v>
      </c>
      <c r="S473" s="8">
        <f>IF(ISERROR(VLOOKUP(F473,#REF!,4,0)),0,VLOOKUP(F473,#REF!,10,0)/60*K473)</f>
        <v>0</v>
      </c>
      <c r="T473" s="3"/>
      <c r="U473" s="3"/>
      <c r="V473" s="4"/>
    </row>
    <row r="474" spans="1:22" x14ac:dyDescent="0.3">
      <c r="A474" s="5">
        <f t="shared" si="22"/>
        <v>0</v>
      </c>
      <c r="B474" s="6">
        <f t="shared" si="23"/>
        <v>0</v>
      </c>
      <c r="K474" s="18">
        <f t="shared" si="21"/>
        <v>0</v>
      </c>
      <c r="L474" s="21">
        <f>IF(ISERROR(VLOOKUP($F474,#REF!,6,0)*G474/1000),0,VLOOKUP($F474,#REF!,6,0)*G474/1000)</f>
        <v>0</v>
      </c>
      <c r="M474" s="21">
        <f>IF(ISERROR(VLOOKUP($F474,#REF!,6,0)*H474/1000),0,VLOOKUP($F474,#REF!,6,0)*H474/1000)</f>
        <v>0</v>
      </c>
      <c r="N474" s="21">
        <f>IF(ISERROR(VLOOKUP($F474,#REF!,6,0)*I474/1000),0,VLOOKUP($F474,#REF!,6,0)*I474/1000)</f>
        <v>0</v>
      </c>
      <c r="O474" s="21">
        <f>IF(ISERROR(VLOOKUP($F474,#REF!,6,0)*J474/1000),0,VLOOKUP($F474,#REF!,6,0)*J474/1000)</f>
        <v>0</v>
      </c>
      <c r="P474" s="21">
        <f>IF(ISERROR(VLOOKUP(F474,#REF!,6,0)*K474/1000),0,VLOOKUP(F474,#REF!,6,0)*K474/1000)</f>
        <v>0</v>
      </c>
      <c r="Q474" s="6">
        <f>IF(ISERROR(VLOOKUP(F474,#REF!,3,0)),0,VLOOKUP(F474,#REF!,3,0))</f>
        <v>0</v>
      </c>
      <c r="R474" s="6">
        <f>IF(ISERROR(VLOOKUP(F474,#REF!,4,0)),0,VLOOKUP(F474,#REF!,4,0))</f>
        <v>0</v>
      </c>
      <c r="S474" s="8">
        <f>IF(ISERROR(VLOOKUP(F474,#REF!,4,0)),0,VLOOKUP(F474,#REF!,10,0)/60*K474)</f>
        <v>0</v>
      </c>
      <c r="T474" s="3"/>
      <c r="U474" s="3"/>
      <c r="V474" s="4"/>
    </row>
    <row r="475" spans="1:22" x14ac:dyDescent="0.3">
      <c r="A475" s="5">
        <f t="shared" si="22"/>
        <v>0</v>
      </c>
      <c r="B475" s="6">
        <f t="shared" si="23"/>
        <v>0</v>
      </c>
      <c r="K475" s="18">
        <f t="shared" si="21"/>
        <v>0</v>
      </c>
      <c r="L475" s="21">
        <f>IF(ISERROR(VLOOKUP($F475,#REF!,6,0)*G475/1000),0,VLOOKUP($F475,#REF!,6,0)*G475/1000)</f>
        <v>0</v>
      </c>
      <c r="M475" s="21">
        <f>IF(ISERROR(VLOOKUP($F475,#REF!,6,0)*H475/1000),0,VLOOKUP($F475,#REF!,6,0)*H475/1000)</f>
        <v>0</v>
      </c>
      <c r="N475" s="21">
        <f>IF(ISERROR(VLOOKUP($F475,#REF!,6,0)*I475/1000),0,VLOOKUP($F475,#REF!,6,0)*I475/1000)</f>
        <v>0</v>
      </c>
      <c r="O475" s="21">
        <f>IF(ISERROR(VLOOKUP($F475,#REF!,6,0)*J475/1000),0,VLOOKUP($F475,#REF!,6,0)*J475/1000)</f>
        <v>0</v>
      </c>
      <c r="P475" s="21">
        <f>IF(ISERROR(VLOOKUP(F475,#REF!,6,0)*K475/1000),0,VLOOKUP(F475,#REF!,6,0)*K475/1000)</f>
        <v>0</v>
      </c>
      <c r="Q475" s="6">
        <f>IF(ISERROR(VLOOKUP(F475,#REF!,3,0)),0,VLOOKUP(F475,#REF!,3,0))</f>
        <v>0</v>
      </c>
      <c r="R475" s="6">
        <f>IF(ISERROR(VLOOKUP(F475,#REF!,4,0)),0,VLOOKUP(F475,#REF!,4,0))</f>
        <v>0</v>
      </c>
      <c r="S475" s="8">
        <f>IF(ISERROR(VLOOKUP(F475,#REF!,4,0)),0,VLOOKUP(F475,#REF!,10,0)/60*K475)</f>
        <v>0</v>
      </c>
      <c r="T475" s="3"/>
      <c r="U475" s="3"/>
      <c r="V475" s="4"/>
    </row>
    <row r="476" spans="1:22" x14ac:dyDescent="0.3">
      <c r="A476" s="5">
        <f t="shared" si="22"/>
        <v>0</v>
      </c>
      <c r="B476" s="6">
        <f t="shared" si="23"/>
        <v>0</v>
      </c>
      <c r="K476" s="18">
        <f t="shared" si="21"/>
        <v>0</v>
      </c>
      <c r="L476" s="21">
        <f>IF(ISERROR(VLOOKUP($F476,#REF!,6,0)*G476/1000),0,VLOOKUP($F476,#REF!,6,0)*G476/1000)</f>
        <v>0</v>
      </c>
      <c r="M476" s="21">
        <f>IF(ISERROR(VLOOKUP($F476,#REF!,6,0)*H476/1000),0,VLOOKUP($F476,#REF!,6,0)*H476/1000)</f>
        <v>0</v>
      </c>
      <c r="N476" s="21">
        <f>IF(ISERROR(VLOOKUP($F476,#REF!,6,0)*I476/1000),0,VLOOKUP($F476,#REF!,6,0)*I476/1000)</f>
        <v>0</v>
      </c>
      <c r="O476" s="21">
        <f>IF(ISERROR(VLOOKUP($F476,#REF!,6,0)*J476/1000),0,VLOOKUP($F476,#REF!,6,0)*J476/1000)</f>
        <v>0</v>
      </c>
      <c r="P476" s="21">
        <f>IF(ISERROR(VLOOKUP(F476,#REF!,6,0)*K476/1000),0,VLOOKUP(F476,#REF!,6,0)*K476/1000)</f>
        <v>0</v>
      </c>
      <c r="Q476" s="6">
        <f>IF(ISERROR(VLOOKUP(F476,#REF!,3,0)),0,VLOOKUP(F476,#REF!,3,0))</f>
        <v>0</v>
      </c>
      <c r="R476" s="6">
        <f>IF(ISERROR(VLOOKUP(F476,#REF!,4,0)),0,VLOOKUP(F476,#REF!,4,0))</f>
        <v>0</v>
      </c>
      <c r="S476" s="8">
        <f>IF(ISERROR(VLOOKUP(F476,#REF!,4,0)),0,VLOOKUP(F476,#REF!,10,0)/60*K476)</f>
        <v>0</v>
      </c>
      <c r="T476" s="3"/>
      <c r="U476" s="3"/>
      <c r="V476" s="4"/>
    </row>
    <row r="477" spans="1:22" x14ac:dyDescent="0.3">
      <c r="A477" s="5">
        <f t="shared" si="22"/>
        <v>0</v>
      </c>
      <c r="B477" s="6">
        <f t="shared" si="23"/>
        <v>0</v>
      </c>
      <c r="K477" s="18">
        <f t="shared" si="21"/>
        <v>0</v>
      </c>
      <c r="L477" s="21">
        <f>IF(ISERROR(VLOOKUP($F477,#REF!,6,0)*G477/1000),0,VLOOKUP($F477,#REF!,6,0)*G477/1000)</f>
        <v>0</v>
      </c>
      <c r="M477" s="21">
        <f>IF(ISERROR(VLOOKUP($F477,#REF!,6,0)*H477/1000),0,VLOOKUP($F477,#REF!,6,0)*H477/1000)</f>
        <v>0</v>
      </c>
      <c r="N477" s="21">
        <f>IF(ISERROR(VLOOKUP($F477,#REF!,6,0)*I477/1000),0,VLOOKUP($F477,#REF!,6,0)*I477/1000)</f>
        <v>0</v>
      </c>
      <c r="O477" s="21">
        <f>IF(ISERROR(VLOOKUP($F477,#REF!,6,0)*J477/1000),0,VLOOKUP($F477,#REF!,6,0)*J477/1000)</f>
        <v>0</v>
      </c>
      <c r="P477" s="21">
        <f>IF(ISERROR(VLOOKUP(F477,#REF!,6,0)*K477/1000),0,VLOOKUP(F477,#REF!,6,0)*K477/1000)</f>
        <v>0</v>
      </c>
      <c r="Q477" s="6">
        <f>IF(ISERROR(VLOOKUP(F477,#REF!,3,0)),0,VLOOKUP(F477,#REF!,3,0))</f>
        <v>0</v>
      </c>
      <c r="R477" s="6">
        <f>IF(ISERROR(VLOOKUP(F477,#REF!,4,0)),0,VLOOKUP(F477,#REF!,4,0))</f>
        <v>0</v>
      </c>
      <c r="S477" s="8">
        <f>IF(ISERROR(VLOOKUP(F477,#REF!,4,0)),0,VLOOKUP(F477,#REF!,10,0)/60*K477)</f>
        <v>0</v>
      </c>
      <c r="T477" s="3"/>
      <c r="U477" s="3"/>
      <c r="V477" s="4"/>
    </row>
    <row r="478" spans="1:22" x14ac:dyDescent="0.3">
      <c r="A478" s="5">
        <f t="shared" si="22"/>
        <v>0</v>
      </c>
      <c r="B478" s="6">
        <f t="shared" si="23"/>
        <v>0</v>
      </c>
      <c r="K478" s="18">
        <f t="shared" si="21"/>
        <v>0</v>
      </c>
      <c r="L478" s="21">
        <f>IF(ISERROR(VLOOKUP($F478,#REF!,6,0)*G478/1000),0,VLOOKUP($F478,#REF!,6,0)*G478/1000)</f>
        <v>0</v>
      </c>
      <c r="M478" s="21">
        <f>IF(ISERROR(VLOOKUP($F478,#REF!,6,0)*H478/1000),0,VLOOKUP($F478,#REF!,6,0)*H478/1000)</f>
        <v>0</v>
      </c>
      <c r="N478" s="21">
        <f>IF(ISERROR(VLOOKUP($F478,#REF!,6,0)*I478/1000),0,VLOOKUP($F478,#REF!,6,0)*I478/1000)</f>
        <v>0</v>
      </c>
      <c r="O478" s="21">
        <f>IF(ISERROR(VLOOKUP($F478,#REF!,6,0)*J478/1000),0,VLOOKUP($F478,#REF!,6,0)*J478/1000)</f>
        <v>0</v>
      </c>
      <c r="P478" s="21">
        <f>IF(ISERROR(VLOOKUP(F478,#REF!,6,0)*K478/1000),0,VLOOKUP(F478,#REF!,6,0)*K478/1000)</f>
        <v>0</v>
      </c>
      <c r="Q478" s="6">
        <f>IF(ISERROR(VLOOKUP(F478,#REF!,3,0)),0,VLOOKUP(F478,#REF!,3,0))</f>
        <v>0</v>
      </c>
      <c r="R478" s="6">
        <f>IF(ISERROR(VLOOKUP(F478,#REF!,4,0)),0,VLOOKUP(F478,#REF!,4,0))</f>
        <v>0</v>
      </c>
      <c r="S478" s="8">
        <f>IF(ISERROR(VLOOKUP(F478,#REF!,4,0)),0,VLOOKUP(F478,#REF!,10,0)/60*K478)</f>
        <v>0</v>
      </c>
      <c r="T478" s="3"/>
      <c r="U478" s="3"/>
      <c r="V478" s="4"/>
    </row>
    <row r="479" spans="1:22" x14ac:dyDescent="0.3">
      <c r="A479" s="5">
        <f t="shared" si="22"/>
        <v>0</v>
      </c>
      <c r="B479" s="6">
        <f t="shared" si="23"/>
        <v>0</v>
      </c>
      <c r="K479" s="18">
        <f t="shared" si="21"/>
        <v>0</v>
      </c>
      <c r="L479" s="21">
        <f>IF(ISERROR(VLOOKUP($F479,#REF!,6,0)*G479/1000),0,VLOOKUP($F479,#REF!,6,0)*G479/1000)</f>
        <v>0</v>
      </c>
      <c r="M479" s="21">
        <f>IF(ISERROR(VLOOKUP($F479,#REF!,6,0)*H479/1000),0,VLOOKUP($F479,#REF!,6,0)*H479/1000)</f>
        <v>0</v>
      </c>
      <c r="N479" s="21">
        <f>IF(ISERROR(VLOOKUP($F479,#REF!,6,0)*I479/1000),0,VLOOKUP($F479,#REF!,6,0)*I479/1000)</f>
        <v>0</v>
      </c>
      <c r="O479" s="21">
        <f>IF(ISERROR(VLOOKUP($F479,#REF!,6,0)*J479/1000),0,VLOOKUP($F479,#REF!,6,0)*J479/1000)</f>
        <v>0</v>
      </c>
      <c r="P479" s="21">
        <f>IF(ISERROR(VLOOKUP(F479,#REF!,6,0)*K479/1000),0,VLOOKUP(F479,#REF!,6,0)*K479/1000)</f>
        <v>0</v>
      </c>
      <c r="Q479" s="6">
        <f>IF(ISERROR(VLOOKUP(F479,#REF!,3,0)),0,VLOOKUP(F479,#REF!,3,0))</f>
        <v>0</v>
      </c>
      <c r="R479" s="6">
        <f>IF(ISERROR(VLOOKUP(F479,#REF!,4,0)),0,VLOOKUP(F479,#REF!,4,0))</f>
        <v>0</v>
      </c>
      <c r="S479" s="8">
        <f>IF(ISERROR(VLOOKUP(F479,#REF!,4,0)),0,VLOOKUP(F479,#REF!,10,0)/60*K479)</f>
        <v>0</v>
      </c>
      <c r="T479" s="3"/>
      <c r="U479" s="3"/>
      <c r="V479" s="4"/>
    </row>
    <row r="480" spans="1:22" x14ac:dyDescent="0.3">
      <c r="A480" s="5">
        <f t="shared" si="22"/>
        <v>0</v>
      </c>
      <c r="B480" s="6">
        <f t="shared" si="23"/>
        <v>0</v>
      </c>
      <c r="K480" s="18">
        <f t="shared" si="21"/>
        <v>0</v>
      </c>
      <c r="L480" s="21">
        <f>IF(ISERROR(VLOOKUP($F480,#REF!,6,0)*G480/1000),0,VLOOKUP($F480,#REF!,6,0)*G480/1000)</f>
        <v>0</v>
      </c>
      <c r="M480" s="21">
        <f>IF(ISERROR(VLOOKUP($F480,#REF!,6,0)*H480/1000),0,VLOOKUP($F480,#REF!,6,0)*H480/1000)</f>
        <v>0</v>
      </c>
      <c r="N480" s="21">
        <f>IF(ISERROR(VLOOKUP($F480,#REF!,6,0)*I480/1000),0,VLOOKUP($F480,#REF!,6,0)*I480/1000)</f>
        <v>0</v>
      </c>
      <c r="O480" s="21">
        <f>IF(ISERROR(VLOOKUP($F480,#REF!,6,0)*J480/1000),0,VLOOKUP($F480,#REF!,6,0)*J480/1000)</f>
        <v>0</v>
      </c>
      <c r="P480" s="21">
        <f>IF(ISERROR(VLOOKUP(F480,#REF!,6,0)*K480/1000),0,VLOOKUP(F480,#REF!,6,0)*K480/1000)</f>
        <v>0</v>
      </c>
      <c r="Q480" s="6">
        <f>IF(ISERROR(VLOOKUP(F480,#REF!,3,0)),0,VLOOKUP(F480,#REF!,3,0))</f>
        <v>0</v>
      </c>
      <c r="R480" s="6">
        <f>IF(ISERROR(VLOOKUP(F480,#REF!,4,0)),0,VLOOKUP(F480,#REF!,4,0))</f>
        <v>0</v>
      </c>
      <c r="S480" s="8">
        <f>IF(ISERROR(VLOOKUP(F480,#REF!,4,0)),0,VLOOKUP(F480,#REF!,10,0)/60*K480)</f>
        <v>0</v>
      </c>
      <c r="T480" s="3"/>
      <c r="U480" s="3"/>
      <c r="V480" s="4"/>
    </row>
    <row r="481" spans="1:22" x14ac:dyDescent="0.3">
      <c r="A481" s="5">
        <f t="shared" si="22"/>
        <v>0</v>
      </c>
      <c r="B481" s="6">
        <f t="shared" si="23"/>
        <v>0</v>
      </c>
      <c r="K481" s="18">
        <f t="shared" si="21"/>
        <v>0</v>
      </c>
      <c r="L481" s="21">
        <f>IF(ISERROR(VLOOKUP($F481,#REF!,6,0)*G481/1000),0,VLOOKUP($F481,#REF!,6,0)*G481/1000)</f>
        <v>0</v>
      </c>
      <c r="M481" s="21">
        <f>IF(ISERROR(VLOOKUP($F481,#REF!,6,0)*H481/1000),0,VLOOKUP($F481,#REF!,6,0)*H481/1000)</f>
        <v>0</v>
      </c>
      <c r="N481" s="21">
        <f>IF(ISERROR(VLOOKUP($F481,#REF!,6,0)*I481/1000),0,VLOOKUP($F481,#REF!,6,0)*I481/1000)</f>
        <v>0</v>
      </c>
      <c r="O481" s="21">
        <f>IF(ISERROR(VLOOKUP($F481,#REF!,6,0)*J481/1000),0,VLOOKUP($F481,#REF!,6,0)*J481/1000)</f>
        <v>0</v>
      </c>
      <c r="P481" s="21">
        <f>IF(ISERROR(VLOOKUP(F481,#REF!,6,0)*K481/1000),0,VLOOKUP(F481,#REF!,6,0)*K481/1000)</f>
        <v>0</v>
      </c>
      <c r="Q481" s="6">
        <f>IF(ISERROR(VLOOKUP(F481,#REF!,3,0)),0,VLOOKUP(F481,#REF!,3,0))</f>
        <v>0</v>
      </c>
      <c r="R481" s="6">
        <f>IF(ISERROR(VLOOKUP(F481,#REF!,4,0)),0,VLOOKUP(F481,#REF!,4,0))</f>
        <v>0</v>
      </c>
      <c r="S481" s="8">
        <f>IF(ISERROR(VLOOKUP(F481,#REF!,4,0)),0,VLOOKUP(F481,#REF!,10,0)/60*K481)</f>
        <v>0</v>
      </c>
      <c r="T481" s="3"/>
      <c r="U481" s="3"/>
      <c r="V481" s="4"/>
    </row>
    <row r="482" spans="1:22" x14ac:dyDescent="0.3">
      <c r="A482" s="5">
        <f t="shared" si="22"/>
        <v>0</v>
      </c>
      <c r="B482" s="6">
        <f t="shared" si="23"/>
        <v>0</v>
      </c>
      <c r="K482" s="18">
        <f t="shared" si="21"/>
        <v>0</v>
      </c>
      <c r="L482" s="21">
        <f>IF(ISERROR(VLOOKUP($F482,#REF!,6,0)*G482/1000),0,VLOOKUP($F482,#REF!,6,0)*G482/1000)</f>
        <v>0</v>
      </c>
      <c r="M482" s="21">
        <f>IF(ISERROR(VLOOKUP($F482,#REF!,6,0)*H482/1000),0,VLOOKUP($F482,#REF!,6,0)*H482/1000)</f>
        <v>0</v>
      </c>
      <c r="N482" s="21">
        <f>IF(ISERROR(VLOOKUP($F482,#REF!,6,0)*I482/1000),0,VLOOKUP($F482,#REF!,6,0)*I482/1000)</f>
        <v>0</v>
      </c>
      <c r="O482" s="21">
        <f>IF(ISERROR(VLOOKUP($F482,#REF!,6,0)*J482/1000),0,VLOOKUP($F482,#REF!,6,0)*J482/1000)</f>
        <v>0</v>
      </c>
      <c r="P482" s="21">
        <f>IF(ISERROR(VLOOKUP(F482,#REF!,6,0)*K482/1000),0,VLOOKUP(F482,#REF!,6,0)*K482/1000)</f>
        <v>0</v>
      </c>
      <c r="Q482" s="6">
        <f>IF(ISERROR(VLOOKUP(F482,#REF!,3,0)),0,VLOOKUP(F482,#REF!,3,0))</f>
        <v>0</v>
      </c>
      <c r="R482" s="6">
        <f>IF(ISERROR(VLOOKUP(F482,#REF!,4,0)),0,VLOOKUP(F482,#REF!,4,0))</f>
        <v>0</v>
      </c>
      <c r="S482" s="8">
        <f>IF(ISERROR(VLOOKUP(F482,#REF!,4,0)),0,VLOOKUP(F482,#REF!,10,0)/60*K482)</f>
        <v>0</v>
      </c>
      <c r="T482" s="3"/>
      <c r="U482" s="3"/>
      <c r="V482" s="4"/>
    </row>
    <row r="483" spans="1:22" x14ac:dyDescent="0.3">
      <c r="A483" s="5">
        <f t="shared" si="22"/>
        <v>0</v>
      </c>
      <c r="B483" s="6">
        <f t="shared" si="23"/>
        <v>0</v>
      </c>
      <c r="K483" s="18">
        <f t="shared" si="21"/>
        <v>0</v>
      </c>
      <c r="L483" s="21">
        <f>IF(ISERROR(VLOOKUP($F483,#REF!,6,0)*G483/1000),0,VLOOKUP($F483,#REF!,6,0)*G483/1000)</f>
        <v>0</v>
      </c>
      <c r="M483" s="21">
        <f>IF(ISERROR(VLOOKUP($F483,#REF!,6,0)*H483/1000),0,VLOOKUP($F483,#REF!,6,0)*H483/1000)</f>
        <v>0</v>
      </c>
      <c r="N483" s="21">
        <f>IF(ISERROR(VLOOKUP($F483,#REF!,6,0)*I483/1000),0,VLOOKUP($F483,#REF!,6,0)*I483/1000)</f>
        <v>0</v>
      </c>
      <c r="O483" s="21">
        <f>IF(ISERROR(VLOOKUP($F483,#REF!,6,0)*J483/1000),0,VLOOKUP($F483,#REF!,6,0)*J483/1000)</f>
        <v>0</v>
      </c>
      <c r="P483" s="21">
        <f>IF(ISERROR(VLOOKUP(F483,#REF!,6,0)*K483/1000),0,VLOOKUP(F483,#REF!,6,0)*K483/1000)</f>
        <v>0</v>
      </c>
      <c r="Q483" s="6">
        <f>IF(ISERROR(VLOOKUP(F483,#REF!,3,0)),0,VLOOKUP(F483,#REF!,3,0))</f>
        <v>0</v>
      </c>
      <c r="R483" s="6">
        <f>IF(ISERROR(VLOOKUP(F483,#REF!,4,0)),0,VLOOKUP(F483,#REF!,4,0))</f>
        <v>0</v>
      </c>
      <c r="S483" s="8">
        <f>IF(ISERROR(VLOOKUP(F483,#REF!,4,0)),0,VLOOKUP(F483,#REF!,10,0)/60*K483)</f>
        <v>0</v>
      </c>
      <c r="T483" s="3"/>
      <c r="U483" s="3"/>
      <c r="V483" s="4"/>
    </row>
    <row r="484" spans="1:22" x14ac:dyDescent="0.3">
      <c r="A484" s="5">
        <f t="shared" si="22"/>
        <v>0</v>
      </c>
      <c r="B484" s="6">
        <f t="shared" si="23"/>
        <v>0</v>
      </c>
      <c r="K484" s="18">
        <f t="shared" si="21"/>
        <v>0</v>
      </c>
      <c r="L484" s="21">
        <f>IF(ISERROR(VLOOKUP($F484,#REF!,6,0)*G484/1000),0,VLOOKUP($F484,#REF!,6,0)*G484/1000)</f>
        <v>0</v>
      </c>
      <c r="M484" s="21">
        <f>IF(ISERROR(VLOOKUP($F484,#REF!,6,0)*H484/1000),0,VLOOKUP($F484,#REF!,6,0)*H484/1000)</f>
        <v>0</v>
      </c>
      <c r="N484" s="21">
        <f>IF(ISERROR(VLOOKUP($F484,#REF!,6,0)*I484/1000),0,VLOOKUP($F484,#REF!,6,0)*I484/1000)</f>
        <v>0</v>
      </c>
      <c r="O484" s="21">
        <f>IF(ISERROR(VLOOKUP($F484,#REF!,6,0)*J484/1000),0,VLOOKUP($F484,#REF!,6,0)*J484/1000)</f>
        <v>0</v>
      </c>
      <c r="P484" s="21">
        <f>IF(ISERROR(VLOOKUP(F484,#REF!,6,0)*K484/1000),0,VLOOKUP(F484,#REF!,6,0)*K484/1000)</f>
        <v>0</v>
      </c>
      <c r="Q484" s="6">
        <f>IF(ISERROR(VLOOKUP(F484,#REF!,3,0)),0,VLOOKUP(F484,#REF!,3,0))</f>
        <v>0</v>
      </c>
      <c r="R484" s="6">
        <f>IF(ISERROR(VLOOKUP(F484,#REF!,4,0)),0,VLOOKUP(F484,#REF!,4,0))</f>
        <v>0</v>
      </c>
      <c r="S484" s="8">
        <f>IF(ISERROR(VLOOKUP(F484,#REF!,4,0)),0,VLOOKUP(F484,#REF!,10,0)/60*K484)</f>
        <v>0</v>
      </c>
      <c r="T484" s="3"/>
      <c r="U484" s="3"/>
      <c r="V484" s="4"/>
    </row>
    <row r="485" spans="1:22" x14ac:dyDescent="0.3">
      <c r="A485" s="5">
        <f t="shared" si="22"/>
        <v>0</v>
      </c>
      <c r="B485" s="6">
        <f t="shared" si="23"/>
        <v>0</v>
      </c>
      <c r="K485" s="18">
        <f t="shared" si="21"/>
        <v>0</v>
      </c>
      <c r="L485" s="21">
        <f>IF(ISERROR(VLOOKUP($F485,#REF!,6,0)*G485/1000),0,VLOOKUP($F485,#REF!,6,0)*G485/1000)</f>
        <v>0</v>
      </c>
      <c r="M485" s="21">
        <f>IF(ISERROR(VLOOKUP($F485,#REF!,6,0)*H485/1000),0,VLOOKUP($F485,#REF!,6,0)*H485/1000)</f>
        <v>0</v>
      </c>
      <c r="N485" s="21">
        <f>IF(ISERROR(VLOOKUP($F485,#REF!,6,0)*I485/1000),0,VLOOKUP($F485,#REF!,6,0)*I485/1000)</f>
        <v>0</v>
      </c>
      <c r="O485" s="21">
        <f>IF(ISERROR(VLOOKUP($F485,#REF!,6,0)*J485/1000),0,VLOOKUP($F485,#REF!,6,0)*J485/1000)</f>
        <v>0</v>
      </c>
      <c r="P485" s="21">
        <f>IF(ISERROR(VLOOKUP(F485,#REF!,6,0)*K485/1000),0,VLOOKUP(F485,#REF!,6,0)*K485/1000)</f>
        <v>0</v>
      </c>
      <c r="Q485" s="6">
        <f>IF(ISERROR(VLOOKUP(F485,#REF!,3,0)),0,VLOOKUP(F485,#REF!,3,0))</f>
        <v>0</v>
      </c>
      <c r="R485" s="6">
        <f>IF(ISERROR(VLOOKUP(F485,#REF!,4,0)),0,VLOOKUP(F485,#REF!,4,0))</f>
        <v>0</v>
      </c>
      <c r="S485" s="8">
        <f>IF(ISERROR(VLOOKUP(F485,#REF!,4,0)),0,VLOOKUP(F485,#REF!,10,0)/60*K485)</f>
        <v>0</v>
      </c>
      <c r="T485" s="3"/>
      <c r="U485" s="3"/>
      <c r="V485" s="4"/>
    </row>
    <row r="486" spans="1:22" x14ac:dyDescent="0.3">
      <c r="A486" s="5">
        <f t="shared" si="22"/>
        <v>0</v>
      </c>
      <c r="B486" s="6">
        <f t="shared" si="23"/>
        <v>0</v>
      </c>
      <c r="K486" s="18">
        <f t="shared" si="21"/>
        <v>0</v>
      </c>
      <c r="L486" s="21">
        <f>IF(ISERROR(VLOOKUP($F486,#REF!,6,0)*G486/1000),0,VLOOKUP($F486,#REF!,6,0)*G486/1000)</f>
        <v>0</v>
      </c>
      <c r="M486" s="21">
        <f>IF(ISERROR(VLOOKUP($F486,#REF!,6,0)*H486/1000),0,VLOOKUP($F486,#REF!,6,0)*H486/1000)</f>
        <v>0</v>
      </c>
      <c r="N486" s="21">
        <f>IF(ISERROR(VLOOKUP($F486,#REF!,6,0)*I486/1000),0,VLOOKUP($F486,#REF!,6,0)*I486/1000)</f>
        <v>0</v>
      </c>
      <c r="O486" s="21">
        <f>IF(ISERROR(VLOOKUP($F486,#REF!,6,0)*J486/1000),0,VLOOKUP($F486,#REF!,6,0)*J486/1000)</f>
        <v>0</v>
      </c>
      <c r="P486" s="21">
        <f>IF(ISERROR(VLOOKUP(F486,#REF!,6,0)*K486/1000),0,VLOOKUP(F486,#REF!,6,0)*K486/1000)</f>
        <v>0</v>
      </c>
      <c r="Q486" s="6">
        <f>IF(ISERROR(VLOOKUP(F486,#REF!,3,0)),0,VLOOKUP(F486,#REF!,3,0))</f>
        <v>0</v>
      </c>
      <c r="R486" s="6">
        <f>IF(ISERROR(VLOOKUP(F486,#REF!,4,0)),0,VLOOKUP(F486,#REF!,4,0))</f>
        <v>0</v>
      </c>
      <c r="S486" s="8">
        <f>IF(ISERROR(VLOOKUP(F486,#REF!,4,0)),0,VLOOKUP(F486,#REF!,10,0)/60*K486)</f>
        <v>0</v>
      </c>
      <c r="T486" s="3"/>
      <c r="U486" s="3"/>
      <c r="V486" s="4"/>
    </row>
    <row r="487" spans="1:22" x14ac:dyDescent="0.3">
      <c r="A487" s="5">
        <f t="shared" si="22"/>
        <v>0</v>
      </c>
      <c r="B487" s="6">
        <f t="shared" si="23"/>
        <v>0</v>
      </c>
      <c r="K487" s="18">
        <f t="shared" si="21"/>
        <v>0</v>
      </c>
      <c r="L487" s="21">
        <f>IF(ISERROR(VLOOKUP($F487,#REF!,6,0)*G487/1000),0,VLOOKUP($F487,#REF!,6,0)*G487/1000)</f>
        <v>0</v>
      </c>
      <c r="M487" s="21">
        <f>IF(ISERROR(VLOOKUP($F487,#REF!,6,0)*H487/1000),0,VLOOKUP($F487,#REF!,6,0)*H487/1000)</f>
        <v>0</v>
      </c>
      <c r="N487" s="21">
        <f>IF(ISERROR(VLOOKUP($F487,#REF!,6,0)*I487/1000),0,VLOOKUP($F487,#REF!,6,0)*I487/1000)</f>
        <v>0</v>
      </c>
      <c r="O487" s="21">
        <f>IF(ISERROR(VLOOKUP($F487,#REF!,6,0)*J487/1000),0,VLOOKUP($F487,#REF!,6,0)*J487/1000)</f>
        <v>0</v>
      </c>
      <c r="P487" s="21">
        <f>IF(ISERROR(VLOOKUP(F487,#REF!,6,0)*K487/1000),0,VLOOKUP(F487,#REF!,6,0)*K487/1000)</f>
        <v>0</v>
      </c>
      <c r="Q487" s="6">
        <f>IF(ISERROR(VLOOKUP(F487,#REF!,3,0)),0,VLOOKUP(F487,#REF!,3,0))</f>
        <v>0</v>
      </c>
      <c r="R487" s="6">
        <f>IF(ISERROR(VLOOKUP(F487,#REF!,4,0)),0,VLOOKUP(F487,#REF!,4,0))</f>
        <v>0</v>
      </c>
      <c r="S487" s="8">
        <f>IF(ISERROR(VLOOKUP(F487,#REF!,4,0)),0,VLOOKUP(F487,#REF!,10,0)/60*K487)</f>
        <v>0</v>
      </c>
      <c r="T487" s="3"/>
      <c r="U487" s="3"/>
      <c r="V487" s="4"/>
    </row>
    <row r="488" spans="1:22" x14ac:dyDescent="0.3">
      <c r="A488" s="5">
        <f t="shared" si="22"/>
        <v>0</v>
      </c>
      <c r="B488" s="6">
        <f t="shared" si="23"/>
        <v>0</v>
      </c>
      <c r="K488" s="18">
        <f t="shared" si="21"/>
        <v>0</v>
      </c>
      <c r="L488" s="21">
        <f>IF(ISERROR(VLOOKUP($F488,#REF!,6,0)*G488/1000),0,VLOOKUP($F488,#REF!,6,0)*G488/1000)</f>
        <v>0</v>
      </c>
      <c r="M488" s="21">
        <f>IF(ISERROR(VLOOKUP($F488,#REF!,6,0)*H488/1000),0,VLOOKUP($F488,#REF!,6,0)*H488/1000)</f>
        <v>0</v>
      </c>
      <c r="N488" s="21">
        <f>IF(ISERROR(VLOOKUP($F488,#REF!,6,0)*I488/1000),0,VLOOKUP($F488,#REF!,6,0)*I488/1000)</f>
        <v>0</v>
      </c>
      <c r="O488" s="21">
        <f>IF(ISERROR(VLOOKUP($F488,#REF!,6,0)*J488/1000),0,VLOOKUP($F488,#REF!,6,0)*J488/1000)</f>
        <v>0</v>
      </c>
      <c r="P488" s="21">
        <f>IF(ISERROR(VLOOKUP(F488,#REF!,6,0)*K488/1000),0,VLOOKUP(F488,#REF!,6,0)*K488/1000)</f>
        <v>0</v>
      </c>
      <c r="Q488" s="6">
        <f>IF(ISERROR(VLOOKUP(F488,#REF!,3,0)),0,VLOOKUP(F488,#REF!,3,0))</f>
        <v>0</v>
      </c>
      <c r="R488" s="6">
        <f>IF(ISERROR(VLOOKUP(F488,#REF!,4,0)),0,VLOOKUP(F488,#REF!,4,0))</f>
        <v>0</v>
      </c>
      <c r="S488" s="8">
        <f>IF(ISERROR(VLOOKUP(F488,#REF!,4,0)),0,VLOOKUP(F488,#REF!,10,0)/60*K488)</f>
        <v>0</v>
      </c>
      <c r="T488" s="3"/>
      <c r="U488" s="3"/>
      <c r="V488" s="4"/>
    </row>
    <row r="489" spans="1:22" x14ac:dyDescent="0.3">
      <c r="A489" s="5">
        <f t="shared" si="22"/>
        <v>0</v>
      </c>
      <c r="B489" s="6">
        <f t="shared" si="23"/>
        <v>0</v>
      </c>
      <c r="K489" s="18">
        <f t="shared" si="21"/>
        <v>0</v>
      </c>
      <c r="L489" s="21">
        <f>IF(ISERROR(VLOOKUP($F489,#REF!,6,0)*G489/1000),0,VLOOKUP($F489,#REF!,6,0)*G489/1000)</f>
        <v>0</v>
      </c>
      <c r="M489" s="21">
        <f>IF(ISERROR(VLOOKUP($F489,#REF!,6,0)*H489/1000),0,VLOOKUP($F489,#REF!,6,0)*H489/1000)</f>
        <v>0</v>
      </c>
      <c r="N489" s="21">
        <f>IF(ISERROR(VLOOKUP($F489,#REF!,6,0)*I489/1000),0,VLOOKUP($F489,#REF!,6,0)*I489/1000)</f>
        <v>0</v>
      </c>
      <c r="O489" s="21">
        <f>IF(ISERROR(VLOOKUP($F489,#REF!,6,0)*J489/1000),0,VLOOKUP($F489,#REF!,6,0)*J489/1000)</f>
        <v>0</v>
      </c>
      <c r="P489" s="21">
        <f>IF(ISERROR(VLOOKUP(F489,#REF!,6,0)*K489/1000),0,VLOOKUP(F489,#REF!,6,0)*K489/1000)</f>
        <v>0</v>
      </c>
      <c r="Q489" s="6">
        <f>IF(ISERROR(VLOOKUP(F489,#REF!,3,0)),0,VLOOKUP(F489,#REF!,3,0))</f>
        <v>0</v>
      </c>
      <c r="R489" s="6">
        <f>IF(ISERROR(VLOOKUP(F489,#REF!,4,0)),0,VLOOKUP(F489,#REF!,4,0))</f>
        <v>0</v>
      </c>
      <c r="S489" s="8">
        <f>IF(ISERROR(VLOOKUP(F489,#REF!,4,0)),0,VLOOKUP(F489,#REF!,10,0)/60*K489)</f>
        <v>0</v>
      </c>
      <c r="T489" s="3"/>
      <c r="U489" s="3"/>
      <c r="V489" s="4"/>
    </row>
    <row r="490" spans="1:22" x14ac:dyDescent="0.3">
      <c r="A490" s="5">
        <f t="shared" si="22"/>
        <v>0</v>
      </c>
      <c r="B490" s="6">
        <f t="shared" si="23"/>
        <v>0</v>
      </c>
      <c r="K490" s="18">
        <f t="shared" si="21"/>
        <v>0</v>
      </c>
      <c r="L490" s="21">
        <f>IF(ISERROR(VLOOKUP($F490,#REF!,6,0)*G490/1000),0,VLOOKUP($F490,#REF!,6,0)*G490/1000)</f>
        <v>0</v>
      </c>
      <c r="M490" s="21">
        <f>IF(ISERROR(VLOOKUP($F490,#REF!,6,0)*H490/1000),0,VLOOKUP($F490,#REF!,6,0)*H490/1000)</f>
        <v>0</v>
      </c>
      <c r="N490" s="21">
        <f>IF(ISERROR(VLOOKUP($F490,#REF!,6,0)*I490/1000),0,VLOOKUP($F490,#REF!,6,0)*I490/1000)</f>
        <v>0</v>
      </c>
      <c r="O490" s="21">
        <f>IF(ISERROR(VLOOKUP($F490,#REF!,6,0)*J490/1000),0,VLOOKUP($F490,#REF!,6,0)*J490/1000)</f>
        <v>0</v>
      </c>
      <c r="P490" s="21">
        <f>IF(ISERROR(VLOOKUP(F490,#REF!,6,0)*K490/1000),0,VLOOKUP(F490,#REF!,6,0)*K490/1000)</f>
        <v>0</v>
      </c>
      <c r="Q490" s="6">
        <f>IF(ISERROR(VLOOKUP(F490,#REF!,3,0)),0,VLOOKUP(F490,#REF!,3,0))</f>
        <v>0</v>
      </c>
      <c r="R490" s="6">
        <f>IF(ISERROR(VLOOKUP(F490,#REF!,4,0)),0,VLOOKUP(F490,#REF!,4,0))</f>
        <v>0</v>
      </c>
      <c r="S490" s="8">
        <f>IF(ISERROR(VLOOKUP(F490,#REF!,4,0)),0,VLOOKUP(F490,#REF!,10,0)/60*K490)</f>
        <v>0</v>
      </c>
      <c r="T490" s="3"/>
      <c r="U490" s="3"/>
      <c r="V490" s="4"/>
    </row>
    <row r="491" spans="1:22" x14ac:dyDescent="0.3">
      <c r="A491" s="5">
        <f t="shared" si="22"/>
        <v>0</v>
      </c>
      <c r="B491" s="6">
        <f t="shared" si="23"/>
        <v>0</v>
      </c>
      <c r="K491" s="18">
        <f t="shared" si="21"/>
        <v>0</v>
      </c>
      <c r="L491" s="21">
        <f>IF(ISERROR(VLOOKUP($F491,#REF!,6,0)*G491/1000),0,VLOOKUP($F491,#REF!,6,0)*G491/1000)</f>
        <v>0</v>
      </c>
      <c r="M491" s="21">
        <f>IF(ISERROR(VLOOKUP($F491,#REF!,6,0)*H491/1000),0,VLOOKUP($F491,#REF!,6,0)*H491/1000)</f>
        <v>0</v>
      </c>
      <c r="N491" s="21">
        <f>IF(ISERROR(VLOOKUP($F491,#REF!,6,0)*I491/1000),0,VLOOKUP($F491,#REF!,6,0)*I491/1000)</f>
        <v>0</v>
      </c>
      <c r="O491" s="21">
        <f>IF(ISERROR(VLOOKUP($F491,#REF!,6,0)*J491/1000),0,VLOOKUP($F491,#REF!,6,0)*J491/1000)</f>
        <v>0</v>
      </c>
      <c r="P491" s="21">
        <f>IF(ISERROR(VLOOKUP(F491,#REF!,6,0)*K491/1000),0,VLOOKUP(F491,#REF!,6,0)*K491/1000)</f>
        <v>0</v>
      </c>
      <c r="Q491" s="6">
        <f>IF(ISERROR(VLOOKUP(F491,#REF!,3,0)),0,VLOOKUP(F491,#REF!,3,0))</f>
        <v>0</v>
      </c>
      <c r="R491" s="6">
        <f>IF(ISERROR(VLOOKUP(F491,#REF!,4,0)),0,VLOOKUP(F491,#REF!,4,0))</f>
        <v>0</v>
      </c>
      <c r="S491" s="8">
        <f>IF(ISERROR(VLOOKUP(F491,#REF!,4,0)),0,VLOOKUP(F491,#REF!,10,0)/60*K491)</f>
        <v>0</v>
      </c>
      <c r="T491" s="3"/>
      <c r="U491" s="3"/>
      <c r="V491" s="4"/>
    </row>
    <row r="492" spans="1:22" x14ac:dyDescent="0.3">
      <c r="A492" s="5">
        <f t="shared" si="22"/>
        <v>0</v>
      </c>
      <c r="B492" s="6">
        <f t="shared" si="23"/>
        <v>0</v>
      </c>
      <c r="K492" s="18">
        <f t="shared" si="21"/>
        <v>0</v>
      </c>
      <c r="L492" s="21">
        <f>IF(ISERROR(VLOOKUP($F492,#REF!,6,0)*G492/1000),0,VLOOKUP($F492,#REF!,6,0)*G492/1000)</f>
        <v>0</v>
      </c>
      <c r="M492" s="21">
        <f>IF(ISERROR(VLOOKUP($F492,#REF!,6,0)*H492/1000),0,VLOOKUP($F492,#REF!,6,0)*H492/1000)</f>
        <v>0</v>
      </c>
      <c r="N492" s="21">
        <f>IF(ISERROR(VLOOKUP($F492,#REF!,6,0)*I492/1000),0,VLOOKUP($F492,#REF!,6,0)*I492/1000)</f>
        <v>0</v>
      </c>
      <c r="O492" s="21">
        <f>IF(ISERROR(VLOOKUP($F492,#REF!,6,0)*J492/1000),0,VLOOKUP($F492,#REF!,6,0)*J492/1000)</f>
        <v>0</v>
      </c>
      <c r="P492" s="21">
        <f>IF(ISERROR(VLOOKUP(F492,#REF!,6,0)*K492/1000),0,VLOOKUP(F492,#REF!,6,0)*K492/1000)</f>
        <v>0</v>
      </c>
      <c r="Q492" s="6">
        <f>IF(ISERROR(VLOOKUP(F492,#REF!,3,0)),0,VLOOKUP(F492,#REF!,3,0))</f>
        <v>0</v>
      </c>
      <c r="R492" s="6">
        <f>IF(ISERROR(VLOOKUP(F492,#REF!,4,0)),0,VLOOKUP(F492,#REF!,4,0))</f>
        <v>0</v>
      </c>
      <c r="S492" s="8">
        <f>IF(ISERROR(VLOOKUP(F492,#REF!,4,0)),0,VLOOKUP(F492,#REF!,10,0)/60*K492)</f>
        <v>0</v>
      </c>
      <c r="T492" s="3"/>
      <c r="U492" s="3"/>
      <c r="V492" s="4"/>
    </row>
    <row r="493" spans="1:22" x14ac:dyDescent="0.3">
      <c r="A493" s="5">
        <f t="shared" si="22"/>
        <v>0</v>
      </c>
      <c r="B493" s="6">
        <f t="shared" si="23"/>
        <v>0</v>
      </c>
      <c r="K493" s="18">
        <f t="shared" si="21"/>
        <v>0</v>
      </c>
      <c r="L493" s="21">
        <f>IF(ISERROR(VLOOKUP($F493,#REF!,6,0)*G493/1000),0,VLOOKUP($F493,#REF!,6,0)*G493/1000)</f>
        <v>0</v>
      </c>
      <c r="M493" s="21">
        <f>IF(ISERROR(VLOOKUP($F493,#REF!,6,0)*H493/1000),0,VLOOKUP($F493,#REF!,6,0)*H493/1000)</f>
        <v>0</v>
      </c>
      <c r="N493" s="21">
        <f>IF(ISERROR(VLOOKUP($F493,#REF!,6,0)*I493/1000),0,VLOOKUP($F493,#REF!,6,0)*I493/1000)</f>
        <v>0</v>
      </c>
      <c r="O493" s="21">
        <f>IF(ISERROR(VLOOKUP($F493,#REF!,6,0)*J493/1000),0,VLOOKUP($F493,#REF!,6,0)*J493/1000)</f>
        <v>0</v>
      </c>
      <c r="P493" s="21">
        <f>IF(ISERROR(VLOOKUP(F493,#REF!,6,0)*K493/1000),0,VLOOKUP(F493,#REF!,6,0)*K493/1000)</f>
        <v>0</v>
      </c>
      <c r="Q493" s="6">
        <f>IF(ISERROR(VLOOKUP(F493,#REF!,3,0)),0,VLOOKUP(F493,#REF!,3,0))</f>
        <v>0</v>
      </c>
      <c r="R493" s="6">
        <f>IF(ISERROR(VLOOKUP(F493,#REF!,4,0)),0,VLOOKUP(F493,#REF!,4,0))</f>
        <v>0</v>
      </c>
      <c r="S493" s="8">
        <f>IF(ISERROR(VLOOKUP(F493,#REF!,4,0)),0,VLOOKUP(F493,#REF!,10,0)/60*K493)</f>
        <v>0</v>
      </c>
      <c r="T493" s="3"/>
      <c r="U493" s="3"/>
      <c r="V493" s="4"/>
    </row>
    <row r="494" spans="1:22" x14ac:dyDescent="0.3">
      <c r="A494" s="5">
        <f t="shared" si="22"/>
        <v>0</v>
      </c>
      <c r="B494" s="6">
        <f t="shared" si="23"/>
        <v>0</v>
      </c>
      <c r="K494" s="18">
        <f t="shared" si="21"/>
        <v>0</v>
      </c>
      <c r="L494" s="21">
        <f>IF(ISERROR(VLOOKUP($F494,#REF!,6,0)*G494/1000),0,VLOOKUP($F494,#REF!,6,0)*G494/1000)</f>
        <v>0</v>
      </c>
      <c r="M494" s="21">
        <f>IF(ISERROR(VLOOKUP($F494,#REF!,6,0)*H494/1000),0,VLOOKUP($F494,#REF!,6,0)*H494/1000)</f>
        <v>0</v>
      </c>
      <c r="N494" s="21">
        <f>IF(ISERROR(VLOOKUP($F494,#REF!,6,0)*I494/1000),0,VLOOKUP($F494,#REF!,6,0)*I494/1000)</f>
        <v>0</v>
      </c>
      <c r="O494" s="21">
        <f>IF(ISERROR(VLOOKUP($F494,#REF!,6,0)*J494/1000),0,VLOOKUP($F494,#REF!,6,0)*J494/1000)</f>
        <v>0</v>
      </c>
      <c r="P494" s="21">
        <f>IF(ISERROR(VLOOKUP(F494,#REF!,6,0)*K494/1000),0,VLOOKUP(F494,#REF!,6,0)*K494/1000)</f>
        <v>0</v>
      </c>
      <c r="Q494" s="6">
        <f>IF(ISERROR(VLOOKUP(F494,#REF!,3,0)),0,VLOOKUP(F494,#REF!,3,0))</f>
        <v>0</v>
      </c>
      <c r="R494" s="6">
        <f>IF(ISERROR(VLOOKUP(F494,#REF!,4,0)),0,VLOOKUP(F494,#REF!,4,0))</f>
        <v>0</v>
      </c>
      <c r="S494" s="8">
        <f>IF(ISERROR(VLOOKUP(F494,#REF!,4,0)),0,VLOOKUP(F494,#REF!,10,0)/60*K494)</f>
        <v>0</v>
      </c>
      <c r="T494" s="3"/>
      <c r="U494" s="3"/>
      <c r="V494" s="4"/>
    </row>
    <row r="495" spans="1:22" x14ac:dyDescent="0.3">
      <c r="A495" s="5">
        <f t="shared" si="22"/>
        <v>0</v>
      </c>
      <c r="B495" s="6">
        <f t="shared" si="23"/>
        <v>0</v>
      </c>
      <c r="K495" s="18">
        <f t="shared" si="21"/>
        <v>0</v>
      </c>
      <c r="L495" s="21">
        <f>IF(ISERROR(VLOOKUP($F495,#REF!,6,0)*G495/1000),0,VLOOKUP($F495,#REF!,6,0)*G495/1000)</f>
        <v>0</v>
      </c>
      <c r="M495" s="21">
        <f>IF(ISERROR(VLOOKUP($F495,#REF!,6,0)*H495/1000),0,VLOOKUP($F495,#REF!,6,0)*H495/1000)</f>
        <v>0</v>
      </c>
      <c r="N495" s="21">
        <f>IF(ISERROR(VLOOKUP($F495,#REF!,6,0)*I495/1000),0,VLOOKUP($F495,#REF!,6,0)*I495/1000)</f>
        <v>0</v>
      </c>
      <c r="O495" s="21">
        <f>IF(ISERROR(VLOOKUP($F495,#REF!,6,0)*J495/1000),0,VLOOKUP($F495,#REF!,6,0)*J495/1000)</f>
        <v>0</v>
      </c>
      <c r="P495" s="21">
        <f>IF(ISERROR(VLOOKUP(F495,#REF!,6,0)*K495/1000),0,VLOOKUP(F495,#REF!,6,0)*K495/1000)</f>
        <v>0</v>
      </c>
      <c r="Q495" s="6">
        <f>IF(ISERROR(VLOOKUP(F495,#REF!,3,0)),0,VLOOKUP(F495,#REF!,3,0))</f>
        <v>0</v>
      </c>
      <c r="R495" s="6">
        <f>IF(ISERROR(VLOOKUP(F495,#REF!,4,0)),0,VLOOKUP(F495,#REF!,4,0))</f>
        <v>0</v>
      </c>
      <c r="S495" s="8">
        <f>IF(ISERROR(VLOOKUP(F495,#REF!,4,0)),0,VLOOKUP(F495,#REF!,10,0)/60*K495)</f>
        <v>0</v>
      </c>
      <c r="T495" s="3"/>
      <c r="U495" s="3"/>
      <c r="V495" s="4"/>
    </row>
    <row r="496" spans="1:22" x14ac:dyDescent="0.3">
      <c r="A496" s="5">
        <f t="shared" si="22"/>
        <v>0</v>
      </c>
      <c r="B496" s="6">
        <f t="shared" si="23"/>
        <v>0</v>
      </c>
      <c r="K496" s="18">
        <f t="shared" si="21"/>
        <v>0</v>
      </c>
      <c r="L496" s="21">
        <f>IF(ISERROR(VLOOKUP($F496,#REF!,6,0)*G496/1000),0,VLOOKUP($F496,#REF!,6,0)*G496/1000)</f>
        <v>0</v>
      </c>
      <c r="M496" s="21">
        <f>IF(ISERROR(VLOOKUP($F496,#REF!,6,0)*H496/1000),0,VLOOKUP($F496,#REF!,6,0)*H496/1000)</f>
        <v>0</v>
      </c>
      <c r="N496" s="21">
        <f>IF(ISERROR(VLOOKUP($F496,#REF!,6,0)*I496/1000),0,VLOOKUP($F496,#REF!,6,0)*I496/1000)</f>
        <v>0</v>
      </c>
      <c r="O496" s="21">
        <f>IF(ISERROR(VLOOKUP($F496,#REF!,6,0)*J496/1000),0,VLOOKUP($F496,#REF!,6,0)*J496/1000)</f>
        <v>0</v>
      </c>
      <c r="P496" s="21">
        <f>IF(ISERROR(VLOOKUP(F496,#REF!,6,0)*K496/1000),0,VLOOKUP(F496,#REF!,6,0)*K496/1000)</f>
        <v>0</v>
      </c>
      <c r="Q496" s="6">
        <f>IF(ISERROR(VLOOKUP(F496,#REF!,3,0)),0,VLOOKUP(F496,#REF!,3,0))</f>
        <v>0</v>
      </c>
      <c r="R496" s="6">
        <f>IF(ISERROR(VLOOKUP(F496,#REF!,4,0)),0,VLOOKUP(F496,#REF!,4,0))</f>
        <v>0</v>
      </c>
      <c r="S496" s="8">
        <f>IF(ISERROR(VLOOKUP(F496,#REF!,4,0)),0,VLOOKUP(F496,#REF!,10,0)/60*K496)</f>
        <v>0</v>
      </c>
      <c r="T496" s="3"/>
      <c r="U496" s="3"/>
      <c r="V496" s="4"/>
    </row>
    <row r="497" spans="1:22" x14ac:dyDescent="0.3">
      <c r="A497" s="5">
        <f t="shared" si="22"/>
        <v>0</v>
      </c>
      <c r="B497" s="6">
        <f t="shared" si="23"/>
        <v>0</v>
      </c>
      <c r="K497" s="18">
        <f t="shared" si="21"/>
        <v>0</v>
      </c>
      <c r="L497" s="21">
        <f>IF(ISERROR(VLOOKUP($F497,#REF!,6,0)*G497/1000),0,VLOOKUP($F497,#REF!,6,0)*G497/1000)</f>
        <v>0</v>
      </c>
      <c r="M497" s="21">
        <f>IF(ISERROR(VLOOKUP($F497,#REF!,6,0)*H497/1000),0,VLOOKUP($F497,#REF!,6,0)*H497/1000)</f>
        <v>0</v>
      </c>
      <c r="N497" s="21">
        <f>IF(ISERROR(VLOOKUP($F497,#REF!,6,0)*I497/1000),0,VLOOKUP($F497,#REF!,6,0)*I497/1000)</f>
        <v>0</v>
      </c>
      <c r="O497" s="21">
        <f>IF(ISERROR(VLOOKUP($F497,#REF!,6,0)*J497/1000),0,VLOOKUP($F497,#REF!,6,0)*J497/1000)</f>
        <v>0</v>
      </c>
      <c r="P497" s="21">
        <f>IF(ISERROR(VLOOKUP(F497,#REF!,6,0)*K497/1000),0,VLOOKUP(F497,#REF!,6,0)*K497/1000)</f>
        <v>0</v>
      </c>
      <c r="Q497" s="6">
        <f>IF(ISERROR(VLOOKUP(F497,#REF!,3,0)),0,VLOOKUP(F497,#REF!,3,0))</f>
        <v>0</v>
      </c>
      <c r="R497" s="6">
        <f>IF(ISERROR(VLOOKUP(F497,#REF!,4,0)),0,VLOOKUP(F497,#REF!,4,0))</f>
        <v>0</v>
      </c>
      <c r="S497" s="8">
        <f>IF(ISERROR(VLOOKUP(F497,#REF!,4,0)),0,VLOOKUP(F497,#REF!,10,0)/60*K497)</f>
        <v>0</v>
      </c>
      <c r="T497" s="3"/>
      <c r="U497" s="3"/>
      <c r="V497" s="4"/>
    </row>
    <row r="498" spans="1:22" x14ac:dyDescent="0.3">
      <c r="A498" s="5">
        <f t="shared" si="22"/>
        <v>0</v>
      </c>
      <c r="B498" s="6">
        <f t="shared" si="23"/>
        <v>0</v>
      </c>
      <c r="K498" s="18">
        <f t="shared" si="21"/>
        <v>0</v>
      </c>
      <c r="L498" s="21">
        <f>IF(ISERROR(VLOOKUP($F498,#REF!,6,0)*G498/1000),0,VLOOKUP($F498,#REF!,6,0)*G498/1000)</f>
        <v>0</v>
      </c>
      <c r="M498" s="21">
        <f>IF(ISERROR(VLOOKUP($F498,#REF!,6,0)*H498/1000),0,VLOOKUP($F498,#REF!,6,0)*H498/1000)</f>
        <v>0</v>
      </c>
      <c r="N498" s="21">
        <f>IF(ISERROR(VLOOKUP($F498,#REF!,6,0)*I498/1000),0,VLOOKUP($F498,#REF!,6,0)*I498/1000)</f>
        <v>0</v>
      </c>
      <c r="O498" s="21">
        <f>IF(ISERROR(VLOOKUP($F498,#REF!,6,0)*J498/1000),0,VLOOKUP($F498,#REF!,6,0)*J498/1000)</f>
        <v>0</v>
      </c>
      <c r="P498" s="21">
        <f>IF(ISERROR(VLOOKUP(F498,#REF!,6,0)*K498/1000),0,VLOOKUP(F498,#REF!,6,0)*K498/1000)</f>
        <v>0</v>
      </c>
      <c r="Q498" s="6">
        <f>IF(ISERROR(VLOOKUP(F498,#REF!,3,0)),0,VLOOKUP(F498,#REF!,3,0))</f>
        <v>0</v>
      </c>
      <c r="R498" s="6">
        <f>IF(ISERROR(VLOOKUP(F498,#REF!,4,0)),0,VLOOKUP(F498,#REF!,4,0))</f>
        <v>0</v>
      </c>
      <c r="S498" s="8">
        <f>IF(ISERROR(VLOOKUP(F498,#REF!,4,0)),0,VLOOKUP(F498,#REF!,10,0)/60*K498)</f>
        <v>0</v>
      </c>
      <c r="T498" s="3"/>
      <c r="U498" s="3"/>
      <c r="V498" s="4"/>
    </row>
    <row r="499" spans="1:22" x14ac:dyDescent="0.3">
      <c r="A499" s="5">
        <f t="shared" si="22"/>
        <v>0</v>
      </c>
      <c r="B499" s="6">
        <f t="shared" si="23"/>
        <v>0</v>
      </c>
      <c r="K499" s="18">
        <f t="shared" si="21"/>
        <v>0</v>
      </c>
      <c r="L499" s="21">
        <f>IF(ISERROR(VLOOKUP($F499,#REF!,6,0)*G499/1000),0,VLOOKUP($F499,#REF!,6,0)*G499/1000)</f>
        <v>0</v>
      </c>
      <c r="M499" s="21">
        <f>IF(ISERROR(VLOOKUP($F499,#REF!,6,0)*H499/1000),0,VLOOKUP($F499,#REF!,6,0)*H499/1000)</f>
        <v>0</v>
      </c>
      <c r="N499" s="21">
        <f>IF(ISERROR(VLOOKUP($F499,#REF!,6,0)*I499/1000),0,VLOOKUP($F499,#REF!,6,0)*I499/1000)</f>
        <v>0</v>
      </c>
      <c r="O499" s="21">
        <f>IF(ISERROR(VLOOKUP($F499,#REF!,6,0)*J499/1000),0,VLOOKUP($F499,#REF!,6,0)*J499/1000)</f>
        <v>0</v>
      </c>
      <c r="P499" s="21">
        <f>IF(ISERROR(VLOOKUP(F499,#REF!,6,0)*K499/1000),0,VLOOKUP(F499,#REF!,6,0)*K499/1000)</f>
        <v>0</v>
      </c>
      <c r="Q499" s="6">
        <f>IF(ISERROR(VLOOKUP(F499,#REF!,3,0)),0,VLOOKUP(F499,#REF!,3,0))</f>
        <v>0</v>
      </c>
      <c r="R499" s="6">
        <f>IF(ISERROR(VLOOKUP(F499,#REF!,4,0)),0,VLOOKUP(F499,#REF!,4,0))</f>
        <v>0</v>
      </c>
      <c r="S499" s="8">
        <f>IF(ISERROR(VLOOKUP(F499,#REF!,4,0)),0,VLOOKUP(F499,#REF!,10,0)/60*K499)</f>
        <v>0</v>
      </c>
      <c r="T499" s="3"/>
      <c r="U499" s="3"/>
      <c r="V499" s="4"/>
    </row>
    <row r="500" spans="1:22" x14ac:dyDescent="0.3">
      <c r="A500" s="5">
        <f t="shared" si="22"/>
        <v>0</v>
      </c>
      <c r="B500" s="6">
        <f t="shared" si="23"/>
        <v>0</v>
      </c>
      <c r="K500" s="18">
        <f t="shared" si="21"/>
        <v>0</v>
      </c>
      <c r="L500" s="21">
        <f>IF(ISERROR(VLOOKUP($F500,#REF!,6,0)*G500/1000),0,VLOOKUP($F500,#REF!,6,0)*G500/1000)</f>
        <v>0</v>
      </c>
      <c r="M500" s="21">
        <f>IF(ISERROR(VLOOKUP($F500,#REF!,6,0)*H500/1000),0,VLOOKUP($F500,#REF!,6,0)*H500/1000)</f>
        <v>0</v>
      </c>
      <c r="N500" s="21">
        <f>IF(ISERROR(VLOOKUP($F500,#REF!,6,0)*I500/1000),0,VLOOKUP($F500,#REF!,6,0)*I500/1000)</f>
        <v>0</v>
      </c>
      <c r="O500" s="21">
        <f>IF(ISERROR(VLOOKUP($F500,#REF!,6,0)*J500/1000),0,VLOOKUP($F500,#REF!,6,0)*J500/1000)</f>
        <v>0</v>
      </c>
      <c r="P500" s="21">
        <f>IF(ISERROR(VLOOKUP(F500,#REF!,6,0)*K500/1000),0,VLOOKUP(F500,#REF!,6,0)*K500/1000)</f>
        <v>0</v>
      </c>
      <c r="Q500" s="6">
        <f>IF(ISERROR(VLOOKUP(F500,#REF!,3,0)),0,VLOOKUP(F500,#REF!,3,0))</f>
        <v>0</v>
      </c>
      <c r="R500" s="6">
        <f>IF(ISERROR(VLOOKUP(F500,#REF!,4,0)),0,VLOOKUP(F500,#REF!,4,0))</f>
        <v>0</v>
      </c>
      <c r="S500" s="8">
        <f>IF(ISERROR(VLOOKUP(F500,#REF!,4,0)),0,VLOOKUP(F500,#REF!,10,0)/60*K500)</f>
        <v>0</v>
      </c>
      <c r="T500" s="3"/>
      <c r="U500" s="3"/>
      <c r="V500" s="4"/>
    </row>
    <row r="501" spans="1:22" x14ac:dyDescent="0.3">
      <c r="A501" s="5">
        <f t="shared" si="22"/>
        <v>0</v>
      </c>
      <c r="B501" s="6">
        <f t="shared" si="23"/>
        <v>0</v>
      </c>
      <c r="K501" s="18">
        <f t="shared" si="21"/>
        <v>0</v>
      </c>
      <c r="L501" s="21">
        <f>IF(ISERROR(VLOOKUP($F501,#REF!,6,0)*G501/1000),0,VLOOKUP($F501,#REF!,6,0)*G501/1000)</f>
        <v>0</v>
      </c>
      <c r="M501" s="21">
        <f>IF(ISERROR(VLOOKUP($F501,#REF!,6,0)*H501/1000),0,VLOOKUP($F501,#REF!,6,0)*H501/1000)</f>
        <v>0</v>
      </c>
      <c r="N501" s="21">
        <f>IF(ISERROR(VLOOKUP($F501,#REF!,6,0)*I501/1000),0,VLOOKUP($F501,#REF!,6,0)*I501/1000)</f>
        <v>0</v>
      </c>
      <c r="O501" s="21">
        <f>IF(ISERROR(VLOOKUP($F501,#REF!,6,0)*J501/1000),0,VLOOKUP($F501,#REF!,6,0)*J501/1000)</f>
        <v>0</v>
      </c>
      <c r="P501" s="21">
        <f>IF(ISERROR(VLOOKUP(F501,#REF!,6,0)*K501/1000),0,VLOOKUP(F501,#REF!,6,0)*K501/1000)</f>
        <v>0</v>
      </c>
      <c r="Q501" s="6">
        <f>IF(ISERROR(VLOOKUP(F501,#REF!,3,0)),0,VLOOKUP(F501,#REF!,3,0))</f>
        <v>0</v>
      </c>
      <c r="R501" s="6">
        <f>IF(ISERROR(VLOOKUP(F501,#REF!,4,0)),0,VLOOKUP(F501,#REF!,4,0))</f>
        <v>0</v>
      </c>
      <c r="S501" s="8">
        <f>IF(ISERROR(VLOOKUP(F501,#REF!,4,0)),0,VLOOKUP(F501,#REF!,10,0)/60*K501)</f>
        <v>0</v>
      </c>
      <c r="T501" s="3"/>
      <c r="U501" s="3"/>
      <c r="V501" s="4"/>
    </row>
    <row r="502" spans="1:22" x14ac:dyDescent="0.3">
      <c r="A502" s="5">
        <f t="shared" si="22"/>
        <v>0</v>
      </c>
      <c r="B502" s="6">
        <f t="shared" si="23"/>
        <v>0</v>
      </c>
      <c r="K502" s="18">
        <f t="shared" si="21"/>
        <v>0</v>
      </c>
      <c r="L502" s="21">
        <f>IF(ISERROR(VLOOKUP($F502,#REF!,6,0)*G502/1000),0,VLOOKUP($F502,#REF!,6,0)*G502/1000)</f>
        <v>0</v>
      </c>
      <c r="M502" s="21">
        <f>IF(ISERROR(VLOOKUP($F502,#REF!,6,0)*H502/1000),0,VLOOKUP($F502,#REF!,6,0)*H502/1000)</f>
        <v>0</v>
      </c>
      <c r="N502" s="21">
        <f>IF(ISERROR(VLOOKUP($F502,#REF!,6,0)*I502/1000),0,VLOOKUP($F502,#REF!,6,0)*I502/1000)</f>
        <v>0</v>
      </c>
      <c r="O502" s="21">
        <f>IF(ISERROR(VLOOKUP($F502,#REF!,6,0)*J502/1000),0,VLOOKUP($F502,#REF!,6,0)*J502/1000)</f>
        <v>0</v>
      </c>
      <c r="P502" s="21">
        <f>IF(ISERROR(VLOOKUP(F502,#REF!,6,0)*K502/1000),0,VLOOKUP(F502,#REF!,6,0)*K502/1000)</f>
        <v>0</v>
      </c>
      <c r="Q502" s="6">
        <f>IF(ISERROR(VLOOKUP(F502,#REF!,3,0)),0,VLOOKUP(F502,#REF!,3,0))</f>
        <v>0</v>
      </c>
      <c r="R502" s="6">
        <f>IF(ISERROR(VLOOKUP(F502,#REF!,4,0)),0,VLOOKUP(F502,#REF!,4,0))</f>
        <v>0</v>
      </c>
      <c r="S502" s="8">
        <f>IF(ISERROR(VLOOKUP(F502,#REF!,4,0)),0,VLOOKUP(F502,#REF!,10,0)/60*K502)</f>
        <v>0</v>
      </c>
      <c r="T502" s="3"/>
      <c r="U502" s="3"/>
      <c r="V502" s="4"/>
    </row>
    <row r="503" spans="1:22" x14ac:dyDescent="0.3">
      <c r="A503" s="5">
        <f t="shared" si="22"/>
        <v>0</v>
      </c>
      <c r="B503" s="6">
        <f t="shared" si="23"/>
        <v>0</v>
      </c>
      <c r="K503" s="18">
        <f t="shared" si="21"/>
        <v>0</v>
      </c>
      <c r="L503" s="21">
        <f>IF(ISERROR(VLOOKUP($F503,#REF!,6,0)*G503/1000),0,VLOOKUP($F503,#REF!,6,0)*G503/1000)</f>
        <v>0</v>
      </c>
      <c r="M503" s="21">
        <f>IF(ISERROR(VLOOKUP($F503,#REF!,6,0)*H503/1000),0,VLOOKUP($F503,#REF!,6,0)*H503/1000)</f>
        <v>0</v>
      </c>
      <c r="N503" s="21">
        <f>IF(ISERROR(VLOOKUP($F503,#REF!,6,0)*I503/1000),0,VLOOKUP($F503,#REF!,6,0)*I503/1000)</f>
        <v>0</v>
      </c>
      <c r="O503" s="21">
        <f>IF(ISERROR(VLOOKUP($F503,#REF!,6,0)*J503/1000),0,VLOOKUP($F503,#REF!,6,0)*J503/1000)</f>
        <v>0</v>
      </c>
      <c r="P503" s="21">
        <f>IF(ISERROR(VLOOKUP(F503,#REF!,6,0)*K503/1000),0,VLOOKUP(F503,#REF!,6,0)*K503/1000)</f>
        <v>0</v>
      </c>
      <c r="Q503" s="6">
        <f>IF(ISERROR(VLOOKUP(F503,#REF!,3,0)),0,VLOOKUP(F503,#REF!,3,0))</f>
        <v>0</v>
      </c>
      <c r="R503" s="6">
        <f>IF(ISERROR(VLOOKUP(F503,#REF!,4,0)),0,VLOOKUP(F503,#REF!,4,0))</f>
        <v>0</v>
      </c>
      <c r="S503" s="8">
        <f>IF(ISERROR(VLOOKUP(F503,#REF!,4,0)),0,VLOOKUP(F503,#REF!,10,0)/60*K503)</f>
        <v>0</v>
      </c>
      <c r="T503" s="3"/>
      <c r="U503" s="3"/>
      <c r="V503" s="4"/>
    </row>
    <row r="504" spans="1:22" x14ac:dyDescent="0.3">
      <c r="A504" s="5">
        <f t="shared" si="22"/>
        <v>0</v>
      </c>
      <c r="B504" s="6">
        <f t="shared" si="23"/>
        <v>0</v>
      </c>
      <c r="K504" s="18">
        <f t="shared" si="21"/>
        <v>0</v>
      </c>
      <c r="L504" s="21">
        <f>IF(ISERROR(VLOOKUP($F504,#REF!,6,0)*G504/1000),0,VLOOKUP($F504,#REF!,6,0)*G504/1000)</f>
        <v>0</v>
      </c>
      <c r="M504" s="21">
        <f>IF(ISERROR(VLOOKUP($F504,#REF!,6,0)*H504/1000),0,VLOOKUP($F504,#REF!,6,0)*H504/1000)</f>
        <v>0</v>
      </c>
      <c r="N504" s="21">
        <f>IF(ISERROR(VLOOKUP($F504,#REF!,6,0)*I504/1000),0,VLOOKUP($F504,#REF!,6,0)*I504/1000)</f>
        <v>0</v>
      </c>
      <c r="O504" s="21">
        <f>IF(ISERROR(VLOOKUP($F504,#REF!,6,0)*J504/1000),0,VLOOKUP($F504,#REF!,6,0)*J504/1000)</f>
        <v>0</v>
      </c>
      <c r="P504" s="21">
        <f>IF(ISERROR(VLOOKUP(F504,#REF!,6,0)*K504/1000),0,VLOOKUP(F504,#REF!,6,0)*K504/1000)</f>
        <v>0</v>
      </c>
      <c r="Q504" s="6">
        <f>IF(ISERROR(VLOOKUP(F504,#REF!,3,0)),0,VLOOKUP(F504,#REF!,3,0))</f>
        <v>0</v>
      </c>
      <c r="R504" s="6">
        <f>IF(ISERROR(VLOOKUP(F504,#REF!,4,0)),0,VLOOKUP(F504,#REF!,4,0))</f>
        <v>0</v>
      </c>
      <c r="S504" s="8">
        <f>IF(ISERROR(VLOOKUP(F504,#REF!,4,0)),0,VLOOKUP(F504,#REF!,10,0)/60*K504)</f>
        <v>0</v>
      </c>
      <c r="T504" s="3"/>
      <c r="U504" s="3"/>
      <c r="V504" s="4"/>
    </row>
    <row r="505" spans="1:22" x14ac:dyDescent="0.3">
      <c r="A505" s="5">
        <f t="shared" si="22"/>
        <v>0</v>
      </c>
      <c r="B505" s="6">
        <f t="shared" si="23"/>
        <v>0</v>
      </c>
      <c r="K505" s="18">
        <f t="shared" si="21"/>
        <v>0</v>
      </c>
      <c r="L505" s="21">
        <f>IF(ISERROR(VLOOKUP($F505,#REF!,6,0)*G505/1000),0,VLOOKUP($F505,#REF!,6,0)*G505/1000)</f>
        <v>0</v>
      </c>
      <c r="M505" s="21">
        <f>IF(ISERROR(VLOOKUP($F505,#REF!,6,0)*H505/1000),0,VLOOKUP($F505,#REF!,6,0)*H505/1000)</f>
        <v>0</v>
      </c>
      <c r="N505" s="21">
        <f>IF(ISERROR(VLOOKUP($F505,#REF!,6,0)*I505/1000),0,VLOOKUP($F505,#REF!,6,0)*I505/1000)</f>
        <v>0</v>
      </c>
      <c r="O505" s="21">
        <f>IF(ISERROR(VLOOKUP($F505,#REF!,6,0)*J505/1000),0,VLOOKUP($F505,#REF!,6,0)*J505/1000)</f>
        <v>0</v>
      </c>
      <c r="P505" s="21">
        <f>IF(ISERROR(VLOOKUP(F505,#REF!,6,0)*K505/1000),0,VLOOKUP(F505,#REF!,6,0)*K505/1000)</f>
        <v>0</v>
      </c>
      <c r="Q505" s="6">
        <f>IF(ISERROR(VLOOKUP(F505,#REF!,3,0)),0,VLOOKUP(F505,#REF!,3,0))</f>
        <v>0</v>
      </c>
      <c r="R505" s="6">
        <f>IF(ISERROR(VLOOKUP(F505,#REF!,4,0)),0,VLOOKUP(F505,#REF!,4,0))</f>
        <v>0</v>
      </c>
      <c r="S505" s="8">
        <f>IF(ISERROR(VLOOKUP(F505,#REF!,4,0)),0,VLOOKUP(F505,#REF!,10,0)/60*K505)</f>
        <v>0</v>
      </c>
      <c r="T505" s="3"/>
      <c r="U505" s="3"/>
      <c r="V505" s="4"/>
    </row>
    <row r="506" spans="1:22" x14ac:dyDescent="0.3">
      <c r="A506" s="5">
        <f t="shared" si="22"/>
        <v>0</v>
      </c>
      <c r="B506" s="6">
        <f t="shared" si="23"/>
        <v>0</v>
      </c>
      <c r="K506" s="18">
        <f t="shared" si="21"/>
        <v>0</v>
      </c>
      <c r="L506" s="21">
        <f>IF(ISERROR(VLOOKUP($F506,#REF!,6,0)*G506/1000),0,VLOOKUP($F506,#REF!,6,0)*G506/1000)</f>
        <v>0</v>
      </c>
      <c r="M506" s="21">
        <f>IF(ISERROR(VLOOKUP($F506,#REF!,6,0)*H506/1000),0,VLOOKUP($F506,#REF!,6,0)*H506/1000)</f>
        <v>0</v>
      </c>
      <c r="N506" s="21">
        <f>IF(ISERROR(VLOOKUP($F506,#REF!,6,0)*I506/1000),0,VLOOKUP($F506,#REF!,6,0)*I506/1000)</f>
        <v>0</v>
      </c>
      <c r="O506" s="21">
        <f>IF(ISERROR(VLOOKUP($F506,#REF!,6,0)*J506/1000),0,VLOOKUP($F506,#REF!,6,0)*J506/1000)</f>
        <v>0</v>
      </c>
      <c r="P506" s="21">
        <f>IF(ISERROR(VLOOKUP(F506,#REF!,6,0)*K506/1000),0,VLOOKUP(F506,#REF!,6,0)*K506/1000)</f>
        <v>0</v>
      </c>
      <c r="Q506" s="6">
        <f>IF(ISERROR(VLOOKUP(F506,#REF!,3,0)),0,VLOOKUP(F506,#REF!,3,0))</f>
        <v>0</v>
      </c>
      <c r="R506" s="6">
        <f>IF(ISERROR(VLOOKUP(F506,#REF!,4,0)),0,VLOOKUP(F506,#REF!,4,0))</f>
        <v>0</v>
      </c>
      <c r="S506" s="8">
        <f>IF(ISERROR(VLOOKUP(F506,#REF!,4,0)),0,VLOOKUP(F506,#REF!,10,0)/60*K506)</f>
        <v>0</v>
      </c>
      <c r="T506" s="3"/>
      <c r="U506" s="3"/>
      <c r="V506" s="4"/>
    </row>
    <row r="507" spans="1:22" x14ac:dyDescent="0.3">
      <c r="A507" s="5">
        <f t="shared" si="22"/>
        <v>0</v>
      </c>
      <c r="B507" s="6">
        <f t="shared" si="23"/>
        <v>0</v>
      </c>
      <c r="K507" s="18">
        <f t="shared" si="21"/>
        <v>0</v>
      </c>
      <c r="L507" s="21">
        <f>IF(ISERROR(VLOOKUP($F507,#REF!,6,0)*G507/1000),0,VLOOKUP($F507,#REF!,6,0)*G507/1000)</f>
        <v>0</v>
      </c>
      <c r="M507" s="21">
        <f>IF(ISERROR(VLOOKUP($F507,#REF!,6,0)*H507/1000),0,VLOOKUP($F507,#REF!,6,0)*H507/1000)</f>
        <v>0</v>
      </c>
      <c r="N507" s="21">
        <f>IF(ISERROR(VLOOKUP($F507,#REF!,6,0)*I507/1000),0,VLOOKUP($F507,#REF!,6,0)*I507/1000)</f>
        <v>0</v>
      </c>
      <c r="O507" s="21">
        <f>IF(ISERROR(VLOOKUP($F507,#REF!,6,0)*J507/1000),0,VLOOKUP($F507,#REF!,6,0)*J507/1000)</f>
        <v>0</v>
      </c>
      <c r="P507" s="21">
        <f>IF(ISERROR(VLOOKUP(F507,#REF!,6,0)*K507/1000),0,VLOOKUP(F507,#REF!,6,0)*K507/1000)</f>
        <v>0</v>
      </c>
      <c r="Q507" s="6">
        <f>IF(ISERROR(VLOOKUP(F507,#REF!,3,0)),0,VLOOKUP(F507,#REF!,3,0))</f>
        <v>0</v>
      </c>
      <c r="R507" s="6">
        <f>IF(ISERROR(VLOOKUP(F507,#REF!,4,0)),0,VLOOKUP(F507,#REF!,4,0))</f>
        <v>0</v>
      </c>
      <c r="S507" s="8">
        <f>IF(ISERROR(VLOOKUP(F507,#REF!,4,0)),0,VLOOKUP(F507,#REF!,10,0)/60*K507)</f>
        <v>0</v>
      </c>
      <c r="T507" s="3"/>
      <c r="U507" s="3"/>
      <c r="V507" s="4"/>
    </row>
    <row r="508" spans="1:22" x14ac:dyDescent="0.3">
      <c r="A508" s="5">
        <f t="shared" si="22"/>
        <v>0</v>
      </c>
      <c r="B508" s="6">
        <f t="shared" si="23"/>
        <v>0</v>
      </c>
      <c r="K508" s="18">
        <f t="shared" si="21"/>
        <v>0</v>
      </c>
      <c r="L508" s="21">
        <f>IF(ISERROR(VLOOKUP($F508,#REF!,6,0)*G508/1000),0,VLOOKUP($F508,#REF!,6,0)*G508/1000)</f>
        <v>0</v>
      </c>
      <c r="M508" s="21">
        <f>IF(ISERROR(VLOOKUP($F508,#REF!,6,0)*H508/1000),0,VLOOKUP($F508,#REF!,6,0)*H508/1000)</f>
        <v>0</v>
      </c>
      <c r="N508" s="21">
        <f>IF(ISERROR(VLOOKUP($F508,#REF!,6,0)*I508/1000),0,VLOOKUP($F508,#REF!,6,0)*I508/1000)</f>
        <v>0</v>
      </c>
      <c r="O508" s="21">
        <f>IF(ISERROR(VLOOKUP($F508,#REF!,6,0)*J508/1000),0,VLOOKUP($F508,#REF!,6,0)*J508/1000)</f>
        <v>0</v>
      </c>
      <c r="P508" s="21">
        <f>IF(ISERROR(VLOOKUP(F508,#REF!,6,0)*K508/1000),0,VLOOKUP(F508,#REF!,6,0)*K508/1000)</f>
        <v>0</v>
      </c>
      <c r="Q508" s="6">
        <f>IF(ISERROR(VLOOKUP(F508,#REF!,3,0)),0,VLOOKUP(F508,#REF!,3,0))</f>
        <v>0</v>
      </c>
      <c r="R508" s="6">
        <f>IF(ISERROR(VLOOKUP(F508,#REF!,4,0)),0,VLOOKUP(F508,#REF!,4,0))</f>
        <v>0</v>
      </c>
      <c r="S508" s="8">
        <f>IF(ISERROR(VLOOKUP(F508,#REF!,4,0)),0,VLOOKUP(F508,#REF!,10,0)/60*K508)</f>
        <v>0</v>
      </c>
      <c r="T508" s="3"/>
      <c r="U508" s="3"/>
      <c r="V508" s="4"/>
    </row>
    <row r="509" spans="1:22" x14ac:dyDescent="0.3">
      <c r="A509" s="5">
        <f t="shared" si="22"/>
        <v>0</v>
      </c>
      <c r="B509" s="6">
        <f t="shared" si="23"/>
        <v>0</v>
      </c>
      <c r="K509" s="18">
        <f t="shared" si="21"/>
        <v>0</v>
      </c>
      <c r="L509" s="21">
        <f>IF(ISERROR(VLOOKUP($F509,#REF!,6,0)*G509/1000),0,VLOOKUP($F509,#REF!,6,0)*G509/1000)</f>
        <v>0</v>
      </c>
      <c r="M509" s="21">
        <f>IF(ISERROR(VLOOKUP($F509,#REF!,6,0)*H509/1000),0,VLOOKUP($F509,#REF!,6,0)*H509/1000)</f>
        <v>0</v>
      </c>
      <c r="N509" s="21">
        <f>IF(ISERROR(VLOOKUP($F509,#REF!,6,0)*I509/1000),0,VLOOKUP($F509,#REF!,6,0)*I509/1000)</f>
        <v>0</v>
      </c>
      <c r="O509" s="21">
        <f>IF(ISERROR(VLOOKUP($F509,#REF!,6,0)*J509/1000),0,VLOOKUP($F509,#REF!,6,0)*J509/1000)</f>
        <v>0</v>
      </c>
      <c r="P509" s="21">
        <f>IF(ISERROR(VLOOKUP(F509,#REF!,6,0)*K509/1000),0,VLOOKUP(F509,#REF!,6,0)*K509/1000)</f>
        <v>0</v>
      </c>
      <c r="Q509" s="6">
        <f>IF(ISERROR(VLOOKUP(F509,#REF!,3,0)),0,VLOOKUP(F509,#REF!,3,0))</f>
        <v>0</v>
      </c>
      <c r="R509" s="6">
        <f>IF(ISERROR(VLOOKUP(F509,#REF!,4,0)),0,VLOOKUP(F509,#REF!,4,0))</f>
        <v>0</v>
      </c>
      <c r="S509" s="8">
        <f>IF(ISERROR(VLOOKUP(F509,#REF!,4,0)),0,VLOOKUP(F509,#REF!,10,0)/60*K509)</f>
        <v>0</v>
      </c>
      <c r="T509" s="3"/>
      <c r="U509" s="3"/>
      <c r="V509" s="4"/>
    </row>
    <row r="510" spans="1:22" x14ac:dyDescent="0.3">
      <c r="A510" s="5">
        <f t="shared" si="22"/>
        <v>0</v>
      </c>
      <c r="B510" s="6">
        <f t="shared" si="23"/>
        <v>0</v>
      </c>
      <c r="K510" s="18">
        <f t="shared" si="21"/>
        <v>0</v>
      </c>
      <c r="L510" s="21">
        <f>IF(ISERROR(VLOOKUP($F510,#REF!,6,0)*G510/1000),0,VLOOKUP($F510,#REF!,6,0)*G510/1000)</f>
        <v>0</v>
      </c>
      <c r="M510" s="21">
        <f>IF(ISERROR(VLOOKUP($F510,#REF!,6,0)*H510/1000),0,VLOOKUP($F510,#REF!,6,0)*H510/1000)</f>
        <v>0</v>
      </c>
      <c r="N510" s="21">
        <f>IF(ISERROR(VLOOKUP($F510,#REF!,6,0)*I510/1000),0,VLOOKUP($F510,#REF!,6,0)*I510/1000)</f>
        <v>0</v>
      </c>
      <c r="O510" s="21">
        <f>IF(ISERROR(VLOOKUP($F510,#REF!,6,0)*J510/1000),0,VLOOKUP($F510,#REF!,6,0)*J510/1000)</f>
        <v>0</v>
      </c>
      <c r="P510" s="21">
        <f>IF(ISERROR(VLOOKUP(F510,#REF!,6,0)*K510/1000),0,VLOOKUP(F510,#REF!,6,0)*K510/1000)</f>
        <v>0</v>
      </c>
      <c r="Q510" s="6">
        <f>IF(ISERROR(VLOOKUP(F510,#REF!,3,0)),0,VLOOKUP(F510,#REF!,3,0))</f>
        <v>0</v>
      </c>
      <c r="R510" s="6">
        <f>IF(ISERROR(VLOOKUP(F510,#REF!,4,0)),0,VLOOKUP(F510,#REF!,4,0))</f>
        <v>0</v>
      </c>
      <c r="S510" s="8">
        <f>IF(ISERROR(VLOOKUP(F510,#REF!,4,0)),0,VLOOKUP(F510,#REF!,10,0)/60*K510)</f>
        <v>0</v>
      </c>
      <c r="T510" s="3"/>
      <c r="U510" s="3"/>
      <c r="V510" s="4"/>
    </row>
    <row r="511" spans="1:22" x14ac:dyDescent="0.3">
      <c r="A511" s="5">
        <f t="shared" si="22"/>
        <v>0</v>
      </c>
      <c r="B511" s="6">
        <f t="shared" si="23"/>
        <v>0</v>
      </c>
      <c r="K511" s="18">
        <f t="shared" si="21"/>
        <v>0</v>
      </c>
      <c r="L511" s="21">
        <f>IF(ISERROR(VLOOKUP($F511,#REF!,6,0)*G511/1000),0,VLOOKUP($F511,#REF!,6,0)*G511/1000)</f>
        <v>0</v>
      </c>
      <c r="M511" s="21">
        <f>IF(ISERROR(VLOOKUP($F511,#REF!,6,0)*H511/1000),0,VLOOKUP($F511,#REF!,6,0)*H511/1000)</f>
        <v>0</v>
      </c>
      <c r="N511" s="21">
        <f>IF(ISERROR(VLOOKUP($F511,#REF!,6,0)*I511/1000),0,VLOOKUP($F511,#REF!,6,0)*I511/1000)</f>
        <v>0</v>
      </c>
      <c r="O511" s="21">
        <f>IF(ISERROR(VLOOKUP($F511,#REF!,6,0)*J511/1000),0,VLOOKUP($F511,#REF!,6,0)*J511/1000)</f>
        <v>0</v>
      </c>
      <c r="P511" s="21">
        <f>IF(ISERROR(VLOOKUP(F511,#REF!,6,0)*K511/1000),0,VLOOKUP(F511,#REF!,6,0)*K511/1000)</f>
        <v>0</v>
      </c>
      <c r="Q511" s="6">
        <f>IF(ISERROR(VLOOKUP(F511,#REF!,3,0)),0,VLOOKUP(F511,#REF!,3,0))</f>
        <v>0</v>
      </c>
      <c r="R511" s="6">
        <f>IF(ISERROR(VLOOKUP(F511,#REF!,4,0)),0,VLOOKUP(F511,#REF!,4,0))</f>
        <v>0</v>
      </c>
      <c r="S511" s="8">
        <f>IF(ISERROR(VLOOKUP(F511,#REF!,4,0)),0,VLOOKUP(F511,#REF!,10,0)/60*K511)</f>
        <v>0</v>
      </c>
      <c r="T511" s="3"/>
      <c r="U511" s="3"/>
      <c r="V511" s="4"/>
    </row>
    <row r="512" spans="1:22" x14ac:dyDescent="0.3">
      <c r="A512" s="5">
        <f t="shared" si="22"/>
        <v>0</v>
      </c>
      <c r="B512" s="6">
        <f t="shared" si="23"/>
        <v>0</v>
      </c>
      <c r="K512" s="18">
        <f t="shared" si="21"/>
        <v>0</v>
      </c>
      <c r="L512" s="21">
        <f>IF(ISERROR(VLOOKUP($F512,#REF!,6,0)*G512/1000),0,VLOOKUP($F512,#REF!,6,0)*G512/1000)</f>
        <v>0</v>
      </c>
      <c r="M512" s="21">
        <f>IF(ISERROR(VLOOKUP($F512,#REF!,6,0)*H512/1000),0,VLOOKUP($F512,#REF!,6,0)*H512/1000)</f>
        <v>0</v>
      </c>
      <c r="N512" s="21">
        <f>IF(ISERROR(VLOOKUP($F512,#REF!,6,0)*I512/1000),0,VLOOKUP($F512,#REF!,6,0)*I512/1000)</f>
        <v>0</v>
      </c>
      <c r="O512" s="21">
        <f>IF(ISERROR(VLOOKUP($F512,#REF!,6,0)*J512/1000),0,VLOOKUP($F512,#REF!,6,0)*J512/1000)</f>
        <v>0</v>
      </c>
      <c r="P512" s="21">
        <f>IF(ISERROR(VLOOKUP(F512,#REF!,6,0)*K512/1000),0,VLOOKUP(F512,#REF!,6,0)*K512/1000)</f>
        <v>0</v>
      </c>
      <c r="Q512" s="6">
        <f>IF(ISERROR(VLOOKUP(F512,#REF!,3,0)),0,VLOOKUP(F512,#REF!,3,0))</f>
        <v>0</v>
      </c>
      <c r="R512" s="6">
        <f>IF(ISERROR(VLOOKUP(F512,#REF!,4,0)),0,VLOOKUP(F512,#REF!,4,0))</f>
        <v>0</v>
      </c>
      <c r="S512" s="8">
        <f>IF(ISERROR(VLOOKUP(F512,#REF!,4,0)),0,VLOOKUP(F512,#REF!,10,0)/60*K512)</f>
        <v>0</v>
      </c>
      <c r="T512" s="3"/>
      <c r="U512" s="3"/>
      <c r="V512" s="4"/>
    </row>
    <row r="513" spans="1:22" x14ac:dyDescent="0.3">
      <c r="A513" s="5">
        <f t="shared" si="22"/>
        <v>0</v>
      </c>
      <c r="B513" s="6">
        <f t="shared" si="23"/>
        <v>0</v>
      </c>
      <c r="K513" s="18">
        <f t="shared" si="21"/>
        <v>0</v>
      </c>
      <c r="L513" s="21">
        <f>IF(ISERROR(VLOOKUP($F513,#REF!,6,0)*G513/1000),0,VLOOKUP($F513,#REF!,6,0)*G513/1000)</f>
        <v>0</v>
      </c>
      <c r="M513" s="21">
        <f>IF(ISERROR(VLOOKUP($F513,#REF!,6,0)*H513/1000),0,VLOOKUP($F513,#REF!,6,0)*H513/1000)</f>
        <v>0</v>
      </c>
      <c r="N513" s="21">
        <f>IF(ISERROR(VLOOKUP($F513,#REF!,6,0)*I513/1000),0,VLOOKUP($F513,#REF!,6,0)*I513/1000)</f>
        <v>0</v>
      </c>
      <c r="O513" s="21">
        <f>IF(ISERROR(VLOOKUP($F513,#REF!,6,0)*J513/1000),0,VLOOKUP($F513,#REF!,6,0)*J513/1000)</f>
        <v>0</v>
      </c>
      <c r="P513" s="21">
        <f>IF(ISERROR(VLOOKUP(F513,#REF!,6,0)*K513/1000),0,VLOOKUP(F513,#REF!,6,0)*K513/1000)</f>
        <v>0</v>
      </c>
      <c r="Q513" s="6">
        <f>IF(ISERROR(VLOOKUP(F513,#REF!,3,0)),0,VLOOKUP(F513,#REF!,3,0))</f>
        <v>0</v>
      </c>
      <c r="R513" s="6">
        <f>IF(ISERROR(VLOOKUP(F513,#REF!,4,0)),0,VLOOKUP(F513,#REF!,4,0))</f>
        <v>0</v>
      </c>
      <c r="S513" s="8">
        <f>IF(ISERROR(VLOOKUP(F513,#REF!,4,0)),0,VLOOKUP(F513,#REF!,10,0)/60*K513)</f>
        <v>0</v>
      </c>
      <c r="T513" s="3"/>
      <c r="U513" s="3"/>
      <c r="V513" s="4"/>
    </row>
    <row r="514" spans="1:22" x14ac:dyDescent="0.3">
      <c r="A514" s="5">
        <f t="shared" si="22"/>
        <v>0</v>
      </c>
      <c r="B514" s="6">
        <f t="shared" si="23"/>
        <v>0</v>
      </c>
      <c r="K514" s="18">
        <f t="shared" si="21"/>
        <v>0</v>
      </c>
      <c r="L514" s="21">
        <f>IF(ISERROR(VLOOKUP($F514,#REF!,6,0)*G514/1000),0,VLOOKUP($F514,#REF!,6,0)*G514/1000)</f>
        <v>0</v>
      </c>
      <c r="M514" s="21">
        <f>IF(ISERROR(VLOOKUP($F514,#REF!,6,0)*H514/1000),0,VLOOKUP($F514,#REF!,6,0)*H514/1000)</f>
        <v>0</v>
      </c>
      <c r="N514" s="21">
        <f>IF(ISERROR(VLOOKUP($F514,#REF!,6,0)*I514/1000),0,VLOOKUP($F514,#REF!,6,0)*I514/1000)</f>
        <v>0</v>
      </c>
      <c r="O514" s="21">
        <f>IF(ISERROR(VLOOKUP($F514,#REF!,6,0)*J514/1000),0,VLOOKUP($F514,#REF!,6,0)*J514/1000)</f>
        <v>0</v>
      </c>
      <c r="P514" s="21">
        <f>IF(ISERROR(VLOOKUP(F514,#REF!,6,0)*K514/1000),0,VLOOKUP(F514,#REF!,6,0)*K514/1000)</f>
        <v>0</v>
      </c>
      <c r="Q514" s="6">
        <f>IF(ISERROR(VLOOKUP(F514,#REF!,3,0)),0,VLOOKUP(F514,#REF!,3,0))</f>
        <v>0</v>
      </c>
      <c r="R514" s="6">
        <f>IF(ISERROR(VLOOKUP(F514,#REF!,4,0)),0,VLOOKUP(F514,#REF!,4,0))</f>
        <v>0</v>
      </c>
      <c r="S514" s="8">
        <f>IF(ISERROR(VLOOKUP(F514,#REF!,4,0)),0,VLOOKUP(F514,#REF!,10,0)/60*K514)</f>
        <v>0</v>
      </c>
      <c r="T514" s="3"/>
      <c r="U514" s="3"/>
      <c r="V514" s="4"/>
    </row>
    <row r="515" spans="1:22" x14ac:dyDescent="0.3">
      <c r="A515" s="5">
        <f t="shared" si="22"/>
        <v>0</v>
      </c>
      <c r="B515" s="6">
        <f t="shared" si="23"/>
        <v>0</v>
      </c>
      <c r="K515" s="18">
        <f t="shared" si="21"/>
        <v>0</v>
      </c>
      <c r="L515" s="21">
        <f>IF(ISERROR(VLOOKUP($F515,#REF!,6,0)*G515/1000),0,VLOOKUP($F515,#REF!,6,0)*G515/1000)</f>
        <v>0</v>
      </c>
      <c r="M515" s="21">
        <f>IF(ISERROR(VLOOKUP($F515,#REF!,6,0)*H515/1000),0,VLOOKUP($F515,#REF!,6,0)*H515/1000)</f>
        <v>0</v>
      </c>
      <c r="N515" s="21">
        <f>IF(ISERROR(VLOOKUP($F515,#REF!,6,0)*I515/1000),0,VLOOKUP($F515,#REF!,6,0)*I515/1000)</f>
        <v>0</v>
      </c>
      <c r="O515" s="21">
        <f>IF(ISERROR(VLOOKUP($F515,#REF!,6,0)*J515/1000),0,VLOOKUP($F515,#REF!,6,0)*J515/1000)</f>
        <v>0</v>
      </c>
      <c r="P515" s="21">
        <f>IF(ISERROR(VLOOKUP(F515,#REF!,6,0)*K515/1000),0,VLOOKUP(F515,#REF!,6,0)*K515/1000)</f>
        <v>0</v>
      </c>
      <c r="Q515" s="6">
        <f>IF(ISERROR(VLOOKUP(F515,#REF!,3,0)),0,VLOOKUP(F515,#REF!,3,0))</f>
        <v>0</v>
      </c>
      <c r="R515" s="6">
        <f>IF(ISERROR(VLOOKUP(F515,#REF!,4,0)),0,VLOOKUP(F515,#REF!,4,0))</f>
        <v>0</v>
      </c>
      <c r="S515" s="8">
        <f>IF(ISERROR(VLOOKUP(F515,#REF!,4,0)),0,VLOOKUP(F515,#REF!,10,0)/60*K515)</f>
        <v>0</v>
      </c>
      <c r="T515" s="3"/>
      <c r="U515" s="3"/>
      <c r="V515" s="4"/>
    </row>
    <row r="516" spans="1:22" x14ac:dyDescent="0.3">
      <c r="A516" s="5">
        <f t="shared" si="22"/>
        <v>0</v>
      </c>
      <c r="B516" s="6">
        <f t="shared" si="23"/>
        <v>0</v>
      </c>
      <c r="K516" s="18">
        <f t="shared" ref="K516:K579" si="24">SUM(G516:J516)</f>
        <v>0</v>
      </c>
      <c r="L516" s="21">
        <f>IF(ISERROR(VLOOKUP($F516,#REF!,6,0)*G516/1000),0,VLOOKUP($F516,#REF!,6,0)*G516/1000)</f>
        <v>0</v>
      </c>
      <c r="M516" s="21">
        <f>IF(ISERROR(VLOOKUP($F516,#REF!,6,0)*H516/1000),0,VLOOKUP($F516,#REF!,6,0)*H516/1000)</f>
        <v>0</v>
      </c>
      <c r="N516" s="21">
        <f>IF(ISERROR(VLOOKUP($F516,#REF!,6,0)*I516/1000),0,VLOOKUP($F516,#REF!,6,0)*I516/1000)</f>
        <v>0</v>
      </c>
      <c r="O516" s="21">
        <f>IF(ISERROR(VLOOKUP($F516,#REF!,6,0)*J516/1000),0,VLOOKUP($F516,#REF!,6,0)*J516/1000)</f>
        <v>0</v>
      </c>
      <c r="P516" s="21">
        <f>IF(ISERROR(VLOOKUP(F516,#REF!,6,0)*K516/1000),0,VLOOKUP(F516,#REF!,6,0)*K516/1000)</f>
        <v>0</v>
      </c>
      <c r="Q516" s="6">
        <f>IF(ISERROR(VLOOKUP(F516,#REF!,3,0)),0,VLOOKUP(F516,#REF!,3,0))</f>
        <v>0</v>
      </c>
      <c r="R516" s="6">
        <f>IF(ISERROR(VLOOKUP(F516,#REF!,4,0)),0,VLOOKUP(F516,#REF!,4,0))</f>
        <v>0</v>
      </c>
      <c r="S516" s="8">
        <f>IF(ISERROR(VLOOKUP(F516,#REF!,4,0)),0,VLOOKUP(F516,#REF!,10,0)/60*K516)</f>
        <v>0</v>
      </c>
      <c r="T516" s="3"/>
      <c r="U516" s="3"/>
      <c r="V516" s="4"/>
    </row>
    <row r="517" spans="1:22" x14ac:dyDescent="0.3">
      <c r="A517" s="5">
        <f t="shared" ref="A517:A580" si="25">IF(C517=0,0,YEAR(C517))</f>
        <v>0</v>
      </c>
      <c r="B517" s="6">
        <f t="shared" ref="B517:B580" si="26">IF(C517&gt;0,VLOOKUP(MONTH($C517),$AJ$3:$AK$14,2,0),0)</f>
        <v>0</v>
      </c>
      <c r="K517" s="18">
        <f t="shared" si="24"/>
        <v>0</v>
      </c>
      <c r="L517" s="21">
        <f>IF(ISERROR(VLOOKUP($F517,#REF!,6,0)*G517/1000),0,VLOOKUP($F517,#REF!,6,0)*G517/1000)</f>
        <v>0</v>
      </c>
      <c r="M517" s="21">
        <f>IF(ISERROR(VLOOKUP($F517,#REF!,6,0)*H517/1000),0,VLOOKUP($F517,#REF!,6,0)*H517/1000)</f>
        <v>0</v>
      </c>
      <c r="N517" s="21">
        <f>IF(ISERROR(VLOOKUP($F517,#REF!,6,0)*I517/1000),0,VLOOKUP($F517,#REF!,6,0)*I517/1000)</f>
        <v>0</v>
      </c>
      <c r="O517" s="21">
        <f>IF(ISERROR(VLOOKUP($F517,#REF!,6,0)*J517/1000),0,VLOOKUP($F517,#REF!,6,0)*J517/1000)</f>
        <v>0</v>
      </c>
      <c r="P517" s="21">
        <f>IF(ISERROR(VLOOKUP(F517,#REF!,6,0)*K517/1000),0,VLOOKUP(F517,#REF!,6,0)*K517/1000)</f>
        <v>0</v>
      </c>
      <c r="Q517" s="6">
        <f>IF(ISERROR(VLOOKUP(F517,#REF!,3,0)),0,VLOOKUP(F517,#REF!,3,0))</f>
        <v>0</v>
      </c>
      <c r="R517" s="6">
        <f>IF(ISERROR(VLOOKUP(F517,#REF!,4,0)),0,VLOOKUP(F517,#REF!,4,0))</f>
        <v>0</v>
      </c>
      <c r="S517" s="8">
        <f>IF(ISERROR(VLOOKUP(F517,#REF!,4,0)),0,VLOOKUP(F517,#REF!,10,0)/60*K517)</f>
        <v>0</v>
      </c>
      <c r="T517" s="3"/>
      <c r="U517" s="3"/>
      <c r="V517" s="4"/>
    </row>
    <row r="518" spans="1:22" x14ac:dyDescent="0.3">
      <c r="A518" s="5">
        <f t="shared" si="25"/>
        <v>0</v>
      </c>
      <c r="B518" s="6">
        <f t="shared" si="26"/>
        <v>0</v>
      </c>
      <c r="K518" s="18">
        <f t="shared" si="24"/>
        <v>0</v>
      </c>
      <c r="L518" s="21">
        <f>IF(ISERROR(VLOOKUP($F518,#REF!,6,0)*G518/1000),0,VLOOKUP($F518,#REF!,6,0)*G518/1000)</f>
        <v>0</v>
      </c>
      <c r="M518" s="21">
        <f>IF(ISERROR(VLOOKUP($F518,#REF!,6,0)*H518/1000),0,VLOOKUP($F518,#REF!,6,0)*H518/1000)</f>
        <v>0</v>
      </c>
      <c r="N518" s="21">
        <f>IF(ISERROR(VLOOKUP($F518,#REF!,6,0)*I518/1000),0,VLOOKUP($F518,#REF!,6,0)*I518/1000)</f>
        <v>0</v>
      </c>
      <c r="O518" s="21">
        <f>IF(ISERROR(VLOOKUP($F518,#REF!,6,0)*J518/1000),0,VLOOKUP($F518,#REF!,6,0)*J518/1000)</f>
        <v>0</v>
      </c>
      <c r="P518" s="21">
        <f>IF(ISERROR(VLOOKUP(F518,#REF!,6,0)*K518/1000),0,VLOOKUP(F518,#REF!,6,0)*K518/1000)</f>
        <v>0</v>
      </c>
      <c r="Q518" s="6">
        <f>IF(ISERROR(VLOOKUP(F518,#REF!,3,0)),0,VLOOKUP(F518,#REF!,3,0))</f>
        <v>0</v>
      </c>
      <c r="R518" s="6">
        <f>IF(ISERROR(VLOOKUP(F518,#REF!,4,0)),0,VLOOKUP(F518,#REF!,4,0))</f>
        <v>0</v>
      </c>
      <c r="S518" s="8">
        <f>IF(ISERROR(VLOOKUP(F518,#REF!,4,0)),0,VLOOKUP(F518,#REF!,10,0)/60*K518)</f>
        <v>0</v>
      </c>
      <c r="T518" s="3"/>
      <c r="U518" s="3"/>
      <c r="V518" s="4"/>
    </row>
    <row r="519" spans="1:22" x14ac:dyDescent="0.3">
      <c r="A519" s="5">
        <f t="shared" si="25"/>
        <v>0</v>
      </c>
      <c r="B519" s="6">
        <f t="shared" si="26"/>
        <v>0</v>
      </c>
      <c r="K519" s="18">
        <f t="shared" si="24"/>
        <v>0</v>
      </c>
      <c r="L519" s="21">
        <f>IF(ISERROR(VLOOKUP($F519,#REF!,6,0)*G519/1000),0,VLOOKUP($F519,#REF!,6,0)*G519/1000)</f>
        <v>0</v>
      </c>
      <c r="M519" s="21">
        <f>IF(ISERROR(VLOOKUP($F519,#REF!,6,0)*H519/1000),0,VLOOKUP($F519,#REF!,6,0)*H519/1000)</f>
        <v>0</v>
      </c>
      <c r="N519" s="21">
        <f>IF(ISERROR(VLOOKUP($F519,#REF!,6,0)*I519/1000),0,VLOOKUP($F519,#REF!,6,0)*I519/1000)</f>
        <v>0</v>
      </c>
      <c r="O519" s="21">
        <f>IF(ISERROR(VLOOKUP($F519,#REF!,6,0)*J519/1000),0,VLOOKUP($F519,#REF!,6,0)*J519/1000)</f>
        <v>0</v>
      </c>
      <c r="P519" s="21">
        <f>IF(ISERROR(VLOOKUP(F519,#REF!,6,0)*K519/1000),0,VLOOKUP(F519,#REF!,6,0)*K519/1000)</f>
        <v>0</v>
      </c>
      <c r="Q519" s="6">
        <f>IF(ISERROR(VLOOKUP(F519,#REF!,3,0)),0,VLOOKUP(F519,#REF!,3,0))</f>
        <v>0</v>
      </c>
      <c r="R519" s="6">
        <f>IF(ISERROR(VLOOKUP(F519,#REF!,4,0)),0,VLOOKUP(F519,#REF!,4,0))</f>
        <v>0</v>
      </c>
      <c r="S519" s="8">
        <f>IF(ISERROR(VLOOKUP(F519,#REF!,4,0)),0,VLOOKUP(F519,#REF!,10,0)/60*K519)</f>
        <v>0</v>
      </c>
      <c r="T519" s="3"/>
      <c r="U519" s="3"/>
      <c r="V519" s="4"/>
    </row>
    <row r="520" spans="1:22" x14ac:dyDescent="0.3">
      <c r="A520" s="5">
        <f t="shared" si="25"/>
        <v>0</v>
      </c>
      <c r="B520" s="6">
        <f t="shared" si="26"/>
        <v>0</v>
      </c>
      <c r="K520" s="18">
        <f t="shared" si="24"/>
        <v>0</v>
      </c>
      <c r="L520" s="21">
        <f>IF(ISERROR(VLOOKUP($F520,#REF!,6,0)*G520/1000),0,VLOOKUP($F520,#REF!,6,0)*G520/1000)</f>
        <v>0</v>
      </c>
      <c r="M520" s="21">
        <f>IF(ISERROR(VLOOKUP($F520,#REF!,6,0)*H520/1000),0,VLOOKUP($F520,#REF!,6,0)*H520/1000)</f>
        <v>0</v>
      </c>
      <c r="N520" s="21">
        <f>IF(ISERROR(VLOOKUP($F520,#REF!,6,0)*I520/1000),0,VLOOKUP($F520,#REF!,6,0)*I520/1000)</f>
        <v>0</v>
      </c>
      <c r="O520" s="21">
        <f>IF(ISERROR(VLOOKUP($F520,#REF!,6,0)*J520/1000),0,VLOOKUP($F520,#REF!,6,0)*J520/1000)</f>
        <v>0</v>
      </c>
      <c r="P520" s="21">
        <f>IF(ISERROR(VLOOKUP(F520,#REF!,6,0)*K520/1000),0,VLOOKUP(F520,#REF!,6,0)*K520/1000)</f>
        <v>0</v>
      </c>
      <c r="Q520" s="6">
        <f>IF(ISERROR(VLOOKUP(F520,#REF!,3,0)),0,VLOOKUP(F520,#REF!,3,0))</f>
        <v>0</v>
      </c>
      <c r="R520" s="6">
        <f>IF(ISERROR(VLOOKUP(F520,#REF!,4,0)),0,VLOOKUP(F520,#REF!,4,0))</f>
        <v>0</v>
      </c>
      <c r="S520" s="8">
        <f>IF(ISERROR(VLOOKUP(F520,#REF!,4,0)),0,VLOOKUP(F520,#REF!,10,0)/60*K520)</f>
        <v>0</v>
      </c>
      <c r="T520" s="3"/>
      <c r="U520" s="3"/>
      <c r="V520" s="4"/>
    </row>
    <row r="521" spans="1:22" x14ac:dyDescent="0.3">
      <c r="A521" s="5">
        <f t="shared" si="25"/>
        <v>0</v>
      </c>
      <c r="B521" s="6">
        <f t="shared" si="26"/>
        <v>0</v>
      </c>
      <c r="K521" s="18">
        <f t="shared" si="24"/>
        <v>0</v>
      </c>
      <c r="L521" s="21">
        <f>IF(ISERROR(VLOOKUP($F521,#REF!,6,0)*G521/1000),0,VLOOKUP($F521,#REF!,6,0)*G521/1000)</f>
        <v>0</v>
      </c>
      <c r="M521" s="21">
        <f>IF(ISERROR(VLOOKUP($F521,#REF!,6,0)*H521/1000),0,VLOOKUP($F521,#REF!,6,0)*H521/1000)</f>
        <v>0</v>
      </c>
      <c r="N521" s="21">
        <f>IF(ISERROR(VLOOKUP($F521,#REF!,6,0)*I521/1000),0,VLOOKUP($F521,#REF!,6,0)*I521/1000)</f>
        <v>0</v>
      </c>
      <c r="O521" s="21">
        <f>IF(ISERROR(VLOOKUP($F521,#REF!,6,0)*J521/1000),0,VLOOKUP($F521,#REF!,6,0)*J521/1000)</f>
        <v>0</v>
      </c>
      <c r="P521" s="21">
        <f>IF(ISERROR(VLOOKUP(F521,#REF!,6,0)*K521/1000),0,VLOOKUP(F521,#REF!,6,0)*K521/1000)</f>
        <v>0</v>
      </c>
      <c r="Q521" s="6">
        <f>IF(ISERROR(VLOOKUP(F521,#REF!,3,0)),0,VLOOKUP(F521,#REF!,3,0))</f>
        <v>0</v>
      </c>
      <c r="R521" s="6">
        <f>IF(ISERROR(VLOOKUP(F521,#REF!,4,0)),0,VLOOKUP(F521,#REF!,4,0))</f>
        <v>0</v>
      </c>
      <c r="S521" s="8">
        <f>IF(ISERROR(VLOOKUP(F521,#REF!,4,0)),0,VLOOKUP(F521,#REF!,10,0)/60*K521)</f>
        <v>0</v>
      </c>
      <c r="T521" s="3"/>
      <c r="U521" s="3"/>
      <c r="V521" s="4"/>
    </row>
    <row r="522" spans="1:22" x14ac:dyDescent="0.3">
      <c r="A522" s="5">
        <f t="shared" si="25"/>
        <v>0</v>
      </c>
      <c r="B522" s="6">
        <f t="shared" si="26"/>
        <v>0</v>
      </c>
      <c r="K522" s="18">
        <f t="shared" si="24"/>
        <v>0</v>
      </c>
      <c r="L522" s="21">
        <f>IF(ISERROR(VLOOKUP($F522,#REF!,6,0)*G522/1000),0,VLOOKUP($F522,#REF!,6,0)*G522/1000)</f>
        <v>0</v>
      </c>
      <c r="M522" s="21">
        <f>IF(ISERROR(VLOOKUP($F522,#REF!,6,0)*H522/1000),0,VLOOKUP($F522,#REF!,6,0)*H522/1000)</f>
        <v>0</v>
      </c>
      <c r="N522" s="21">
        <f>IF(ISERROR(VLOOKUP($F522,#REF!,6,0)*I522/1000),0,VLOOKUP($F522,#REF!,6,0)*I522/1000)</f>
        <v>0</v>
      </c>
      <c r="O522" s="21">
        <f>IF(ISERROR(VLOOKUP($F522,#REF!,6,0)*J522/1000),0,VLOOKUP($F522,#REF!,6,0)*J522/1000)</f>
        <v>0</v>
      </c>
      <c r="P522" s="21">
        <f>IF(ISERROR(VLOOKUP(F522,#REF!,6,0)*K522/1000),0,VLOOKUP(F522,#REF!,6,0)*K522/1000)</f>
        <v>0</v>
      </c>
      <c r="Q522" s="6">
        <f>IF(ISERROR(VLOOKUP(F522,#REF!,3,0)),0,VLOOKUP(F522,#REF!,3,0))</f>
        <v>0</v>
      </c>
      <c r="R522" s="6">
        <f>IF(ISERROR(VLOOKUP(F522,#REF!,4,0)),0,VLOOKUP(F522,#REF!,4,0))</f>
        <v>0</v>
      </c>
      <c r="S522" s="8">
        <f>IF(ISERROR(VLOOKUP(F522,#REF!,4,0)),0,VLOOKUP(F522,#REF!,10,0)/60*K522)</f>
        <v>0</v>
      </c>
      <c r="T522" s="3"/>
      <c r="U522" s="3"/>
      <c r="V522" s="4"/>
    </row>
    <row r="523" spans="1:22" x14ac:dyDescent="0.3">
      <c r="A523" s="5">
        <f t="shared" si="25"/>
        <v>0</v>
      </c>
      <c r="B523" s="6">
        <f t="shared" si="26"/>
        <v>0</v>
      </c>
      <c r="K523" s="18">
        <f t="shared" si="24"/>
        <v>0</v>
      </c>
      <c r="L523" s="21">
        <f>IF(ISERROR(VLOOKUP($F523,#REF!,6,0)*G523/1000),0,VLOOKUP($F523,#REF!,6,0)*G523/1000)</f>
        <v>0</v>
      </c>
      <c r="M523" s="21">
        <f>IF(ISERROR(VLOOKUP($F523,#REF!,6,0)*H523/1000),0,VLOOKUP($F523,#REF!,6,0)*H523/1000)</f>
        <v>0</v>
      </c>
      <c r="N523" s="21">
        <f>IF(ISERROR(VLOOKUP($F523,#REF!,6,0)*I523/1000),0,VLOOKUP($F523,#REF!,6,0)*I523/1000)</f>
        <v>0</v>
      </c>
      <c r="O523" s="21">
        <f>IF(ISERROR(VLOOKUP($F523,#REF!,6,0)*J523/1000),0,VLOOKUP($F523,#REF!,6,0)*J523/1000)</f>
        <v>0</v>
      </c>
      <c r="P523" s="21">
        <f>IF(ISERROR(VLOOKUP(F523,#REF!,6,0)*K523/1000),0,VLOOKUP(F523,#REF!,6,0)*K523/1000)</f>
        <v>0</v>
      </c>
      <c r="Q523" s="6">
        <f>IF(ISERROR(VLOOKUP(F523,#REF!,3,0)),0,VLOOKUP(F523,#REF!,3,0))</f>
        <v>0</v>
      </c>
      <c r="R523" s="6">
        <f>IF(ISERROR(VLOOKUP(F523,#REF!,4,0)),0,VLOOKUP(F523,#REF!,4,0))</f>
        <v>0</v>
      </c>
      <c r="S523" s="8">
        <f>IF(ISERROR(VLOOKUP(F523,#REF!,4,0)),0,VLOOKUP(F523,#REF!,10,0)/60*K523)</f>
        <v>0</v>
      </c>
      <c r="T523" s="3"/>
      <c r="U523" s="3"/>
      <c r="V523" s="4"/>
    </row>
    <row r="524" spans="1:22" x14ac:dyDescent="0.3">
      <c r="A524" s="5">
        <f t="shared" si="25"/>
        <v>0</v>
      </c>
      <c r="B524" s="6">
        <f t="shared" si="26"/>
        <v>0</v>
      </c>
      <c r="K524" s="18">
        <f t="shared" si="24"/>
        <v>0</v>
      </c>
      <c r="L524" s="21">
        <f>IF(ISERROR(VLOOKUP($F524,#REF!,6,0)*G524/1000),0,VLOOKUP($F524,#REF!,6,0)*G524/1000)</f>
        <v>0</v>
      </c>
      <c r="M524" s="21">
        <f>IF(ISERROR(VLOOKUP($F524,#REF!,6,0)*H524/1000),0,VLOOKUP($F524,#REF!,6,0)*H524/1000)</f>
        <v>0</v>
      </c>
      <c r="N524" s="21">
        <f>IF(ISERROR(VLOOKUP($F524,#REF!,6,0)*I524/1000),0,VLOOKUP($F524,#REF!,6,0)*I524/1000)</f>
        <v>0</v>
      </c>
      <c r="O524" s="21">
        <f>IF(ISERROR(VLOOKUP($F524,#REF!,6,0)*J524/1000),0,VLOOKUP($F524,#REF!,6,0)*J524/1000)</f>
        <v>0</v>
      </c>
      <c r="P524" s="21">
        <f>IF(ISERROR(VLOOKUP(F524,#REF!,6,0)*K524/1000),0,VLOOKUP(F524,#REF!,6,0)*K524/1000)</f>
        <v>0</v>
      </c>
      <c r="Q524" s="6">
        <f>IF(ISERROR(VLOOKUP(F524,#REF!,3,0)),0,VLOOKUP(F524,#REF!,3,0))</f>
        <v>0</v>
      </c>
      <c r="R524" s="6">
        <f>IF(ISERROR(VLOOKUP(F524,#REF!,4,0)),0,VLOOKUP(F524,#REF!,4,0))</f>
        <v>0</v>
      </c>
      <c r="S524" s="8">
        <f>IF(ISERROR(VLOOKUP(F524,#REF!,4,0)),0,VLOOKUP(F524,#REF!,10,0)/60*K524)</f>
        <v>0</v>
      </c>
      <c r="T524" s="3"/>
      <c r="U524" s="3"/>
      <c r="V524" s="4"/>
    </row>
    <row r="525" spans="1:22" x14ac:dyDescent="0.3">
      <c r="A525" s="5">
        <f t="shared" si="25"/>
        <v>0</v>
      </c>
      <c r="B525" s="6">
        <f t="shared" si="26"/>
        <v>0</v>
      </c>
      <c r="K525" s="18">
        <f t="shared" si="24"/>
        <v>0</v>
      </c>
      <c r="L525" s="21">
        <f>IF(ISERROR(VLOOKUP($F525,#REF!,6,0)*G525/1000),0,VLOOKUP($F525,#REF!,6,0)*G525/1000)</f>
        <v>0</v>
      </c>
      <c r="M525" s="21">
        <f>IF(ISERROR(VLOOKUP($F525,#REF!,6,0)*H525/1000),0,VLOOKUP($F525,#REF!,6,0)*H525/1000)</f>
        <v>0</v>
      </c>
      <c r="N525" s="21">
        <f>IF(ISERROR(VLOOKUP($F525,#REF!,6,0)*I525/1000),0,VLOOKUP($F525,#REF!,6,0)*I525/1000)</f>
        <v>0</v>
      </c>
      <c r="O525" s="21">
        <f>IF(ISERROR(VLOOKUP($F525,#REF!,6,0)*J525/1000),0,VLOOKUP($F525,#REF!,6,0)*J525/1000)</f>
        <v>0</v>
      </c>
      <c r="P525" s="21">
        <f>IF(ISERROR(VLOOKUP(F525,#REF!,6,0)*K525/1000),0,VLOOKUP(F525,#REF!,6,0)*K525/1000)</f>
        <v>0</v>
      </c>
      <c r="Q525" s="6">
        <f>IF(ISERROR(VLOOKUP(F525,#REF!,3,0)),0,VLOOKUP(F525,#REF!,3,0))</f>
        <v>0</v>
      </c>
      <c r="R525" s="6">
        <f>IF(ISERROR(VLOOKUP(F525,#REF!,4,0)),0,VLOOKUP(F525,#REF!,4,0))</f>
        <v>0</v>
      </c>
      <c r="S525" s="8">
        <f>IF(ISERROR(VLOOKUP(F525,#REF!,4,0)),0,VLOOKUP(F525,#REF!,10,0)/60*K525)</f>
        <v>0</v>
      </c>
      <c r="T525" s="3"/>
      <c r="U525" s="3"/>
      <c r="V525" s="4"/>
    </row>
    <row r="526" spans="1:22" x14ac:dyDescent="0.3">
      <c r="A526" s="5">
        <f t="shared" si="25"/>
        <v>0</v>
      </c>
      <c r="B526" s="6">
        <f t="shared" si="26"/>
        <v>0</v>
      </c>
      <c r="K526" s="18">
        <f t="shared" si="24"/>
        <v>0</v>
      </c>
      <c r="L526" s="21">
        <f>IF(ISERROR(VLOOKUP($F526,#REF!,6,0)*G526/1000),0,VLOOKUP($F526,#REF!,6,0)*G526/1000)</f>
        <v>0</v>
      </c>
      <c r="M526" s="21">
        <f>IF(ISERROR(VLOOKUP($F526,#REF!,6,0)*H526/1000),0,VLOOKUP($F526,#REF!,6,0)*H526/1000)</f>
        <v>0</v>
      </c>
      <c r="N526" s="21">
        <f>IF(ISERROR(VLOOKUP($F526,#REF!,6,0)*I526/1000),0,VLOOKUP($F526,#REF!,6,0)*I526/1000)</f>
        <v>0</v>
      </c>
      <c r="O526" s="21">
        <f>IF(ISERROR(VLOOKUP($F526,#REF!,6,0)*J526/1000),0,VLOOKUP($F526,#REF!,6,0)*J526/1000)</f>
        <v>0</v>
      </c>
      <c r="P526" s="21">
        <f>IF(ISERROR(VLOOKUP(F526,#REF!,6,0)*K526/1000),0,VLOOKUP(F526,#REF!,6,0)*K526/1000)</f>
        <v>0</v>
      </c>
      <c r="Q526" s="6">
        <f>IF(ISERROR(VLOOKUP(F526,#REF!,3,0)),0,VLOOKUP(F526,#REF!,3,0))</f>
        <v>0</v>
      </c>
      <c r="R526" s="6">
        <f>IF(ISERROR(VLOOKUP(F526,#REF!,4,0)),0,VLOOKUP(F526,#REF!,4,0))</f>
        <v>0</v>
      </c>
      <c r="S526" s="8">
        <f>IF(ISERROR(VLOOKUP(F526,#REF!,4,0)),0,VLOOKUP(F526,#REF!,10,0)/60*K526)</f>
        <v>0</v>
      </c>
      <c r="T526" s="3"/>
      <c r="U526" s="3"/>
      <c r="V526" s="4"/>
    </row>
    <row r="527" spans="1:22" x14ac:dyDescent="0.3">
      <c r="A527" s="5">
        <f t="shared" si="25"/>
        <v>0</v>
      </c>
      <c r="B527" s="6">
        <f t="shared" si="26"/>
        <v>0</v>
      </c>
      <c r="K527" s="18">
        <f t="shared" si="24"/>
        <v>0</v>
      </c>
      <c r="L527" s="21">
        <f>IF(ISERROR(VLOOKUP($F527,#REF!,6,0)*G527/1000),0,VLOOKUP($F527,#REF!,6,0)*G527/1000)</f>
        <v>0</v>
      </c>
      <c r="M527" s="21">
        <f>IF(ISERROR(VLOOKUP($F527,#REF!,6,0)*H527/1000),0,VLOOKUP($F527,#REF!,6,0)*H527/1000)</f>
        <v>0</v>
      </c>
      <c r="N527" s="21">
        <f>IF(ISERROR(VLOOKUP($F527,#REF!,6,0)*I527/1000),0,VLOOKUP($F527,#REF!,6,0)*I527/1000)</f>
        <v>0</v>
      </c>
      <c r="O527" s="21">
        <f>IF(ISERROR(VLOOKUP($F527,#REF!,6,0)*J527/1000),0,VLOOKUP($F527,#REF!,6,0)*J527/1000)</f>
        <v>0</v>
      </c>
      <c r="P527" s="21">
        <f>IF(ISERROR(VLOOKUP(F527,#REF!,6,0)*K527/1000),0,VLOOKUP(F527,#REF!,6,0)*K527/1000)</f>
        <v>0</v>
      </c>
      <c r="Q527" s="6">
        <f>IF(ISERROR(VLOOKUP(F527,#REF!,3,0)),0,VLOOKUP(F527,#REF!,3,0))</f>
        <v>0</v>
      </c>
      <c r="R527" s="6">
        <f>IF(ISERROR(VLOOKUP(F527,#REF!,4,0)),0,VLOOKUP(F527,#REF!,4,0))</f>
        <v>0</v>
      </c>
      <c r="S527" s="8">
        <f>IF(ISERROR(VLOOKUP(F527,#REF!,4,0)),0,VLOOKUP(F527,#REF!,10,0)/60*K527)</f>
        <v>0</v>
      </c>
      <c r="T527" s="3"/>
      <c r="U527" s="3"/>
      <c r="V527" s="4"/>
    </row>
    <row r="528" spans="1:22" x14ac:dyDescent="0.3">
      <c r="A528" s="5">
        <f t="shared" si="25"/>
        <v>0</v>
      </c>
      <c r="B528" s="6">
        <f t="shared" si="26"/>
        <v>0</v>
      </c>
      <c r="K528" s="18">
        <f t="shared" si="24"/>
        <v>0</v>
      </c>
      <c r="L528" s="21">
        <f>IF(ISERROR(VLOOKUP($F528,#REF!,6,0)*G528/1000),0,VLOOKUP($F528,#REF!,6,0)*G528/1000)</f>
        <v>0</v>
      </c>
      <c r="M528" s="21">
        <f>IF(ISERROR(VLOOKUP($F528,#REF!,6,0)*H528/1000),0,VLOOKUP($F528,#REF!,6,0)*H528/1000)</f>
        <v>0</v>
      </c>
      <c r="N528" s="21">
        <f>IF(ISERROR(VLOOKUP($F528,#REF!,6,0)*I528/1000),0,VLOOKUP($F528,#REF!,6,0)*I528/1000)</f>
        <v>0</v>
      </c>
      <c r="O528" s="21">
        <f>IF(ISERROR(VLOOKUP($F528,#REF!,6,0)*J528/1000),0,VLOOKUP($F528,#REF!,6,0)*J528/1000)</f>
        <v>0</v>
      </c>
      <c r="P528" s="21">
        <f>IF(ISERROR(VLOOKUP(F528,#REF!,6,0)*K528/1000),0,VLOOKUP(F528,#REF!,6,0)*K528/1000)</f>
        <v>0</v>
      </c>
      <c r="Q528" s="6">
        <f>IF(ISERROR(VLOOKUP(F528,#REF!,3,0)),0,VLOOKUP(F528,#REF!,3,0))</f>
        <v>0</v>
      </c>
      <c r="R528" s="6">
        <f>IF(ISERROR(VLOOKUP(F528,#REF!,4,0)),0,VLOOKUP(F528,#REF!,4,0))</f>
        <v>0</v>
      </c>
      <c r="S528" s="8">
        <f>IF(ISERROR(VLOOKUP(F528,#REF!,4,0)),0,VLOOKUP(F528,#REF!,10,0)/60*K528)</f>
        <v>0</v>
      </c>
      <c r="T528" s="3"/>
      <c r="U528" s="3"/>
      <c r="V528" s="4"/>
    </row>
    <row r="529" spans="1:22" x14ac:dyDescent="0.3">
      <c r="A529" s="5">
        <f t="shared" si="25"/>
        <v>0</v>
      </c>
      <c r="B529" s="6">
        <f t="shared" si="26"/>
        <v>0</v>
      </c>
      <c r="K529" s="18">
        <f t="shared" si="24"/>
        <v>0</v>
      </c>
      <c r="L529" s="21">
        <f>IF(ISERROR(VLOOKUP($F529,#REF!,6,0)*G529/1000),0,VLOOKUP($F529,#REF!,6,0)*G529/1000)</f>
        <v>0</v>
      </c>
      <c r="M529" s="21">
        <f>IF(ISERROR(VLOOKUP($F529,#REF!,6,0)*H529/1000),0,VLOOKUP($F529,#REF!,6,0)*H529/1000)</f>
        <v>0</v>
      </c>
      <c r="N529" s="21">
        <f>IF(ISERROR(VLOOKUP($F529,#REF!,6,0)*I529/1000),0,VLOOKUP($F529,#REF!,6,0)*I529/1000)</f>
        <v>0</v>
      </c>
      <c r="O529" s="21">
        <f>IF(ISERROR(VLOOKUP($F529,#REF!,6,0)*J529/1000),0,VLOOKUP($F529,#REF!,6,0)*J529/1000)</f>
        <v>0</v>
      </c>
      <c r="P529" s="21">
        <f>IF(ISERROR(VLOOKUP(F529,#REF!,6,0)*K529/1000),0,VLOOKUP(F529,#REF!,6,0)*K529/1000)</f>
        <v>0</v>
      </c>
      <c r="Q529" s="6">
        <f>IF(ISERROR(VLOOKUP(F529,#REF!,3,0)),0,VLOOKUP(F529,#REF!,3,0))</f>
        <v>0</v>
      </c>
      <c r="R529" s="6">
        <f>IF(ISERROR(VLOOKUP(F529,#REF!,4,0)),0,VLOOKUP(F529,#REF!,4,0))</f>
        <v>0</v>
      </c>
      <c r="S529" s="8">
        <f>IF(ISERROR(VLOOKUP(F529,#REF!,4,0)),0,VLOOKUP(F529,#REF!,10,0)/60*K529)</f>
        <v>0</v>
      </c>
      <c r="T529" s="3"/>
      <c r="U529" s="3"/>
      <c r="V529" s="4"/>
    </row>
    <row r="530" spans="1:22" x14ac:dyDescent="0.3">
      <c r="A530" s="5">
        <f t="shared" si="25"/>
        <v>0</v>
      </c>
      <c r="B530" s="6">
        <f t="shared" si="26"/>
        <v>0</v>
      </c>
      <c r="K530" s="18">
        <f t="shared" si="24"/>
        <v>0</v>
      </c>
      <c r="L530" s="21">
        <f>IF(ISERROR(VLOOKUP($F530,#REF!,6,0)*G530/1000),0,VLOOKUP($F530,#REF!,6,0)*G530/1000)</f>
        <v>0</v>
      </c>
      <c r="M530" s="21">
        <f>IF(ISERROR(VLOOKUP($F530,#REF!,6,0)*H530/1000),0,VLOOKUP($F530,#REF!,6,0)*H530/1000)</f>
        <v>0</v>
      </c>
      <c r="N530" s="21">
        <f>IF(ISERROR(VLOOKUP($F530,#REF!,6,0)*I530/1000),0,VLOOKUP($F530,#REF!,6,0)*I530/1000)</f>
        <v>0</v>
      </c>
      <c r="O530" s="21">
        <f>IF(ISERROR(VLOOKUP($F530,#REF!,6,0)*J530/1000),0,VLOOKUP($F530,#REF!,6,0)*J530/1000)</f>
        <v>0</v>
      </c>
      <c r="P530" s="21">
        <f>IF(ISERROR(VLOOKUP(F530,#REF!,6,0)*K530/1000),0,VLOOKUP(F530,#REF!,6,0)*K530/1000)</f>
        <v>0</v>
      </c>
      <c r="Q530" s="6">
        <f>IF(ISERROR(VLOOKUP(F530,#REF!,3,0)),0,VLOOKUP(F530,#REF!,3,0))</f>
        <v>0</v>
      </c>
      <c r="R530" s="6">
        <f>IF(ISERROR(VLOOKUP(F530,#REF!,4,0)),0,VLOOKUP(F530,#REF!,4,0))</f>
        <v>0</v>
      </c>
      <c r="S530" s="8">
        <f>IF(ISERROR(VLOOKUP(F530,#REF!,4,0)),0,VLOOKUP(F530,#REF!,10,0)/60*K530)</f>
        <v>0</v>
      </c>
      <c r="T530" s="3"/>
      <c r="U530" s="3"/>
      <c r="V530" s="4"/>
    </row>
    <row r="531" spans="1:22" x14ac:dyDescent="0.3">
      <c r="A531" s="5">
        <f t="shared" si="25"/>
        <v>0</v>
      </c>
      <c r="B531" s="6">
        <f t="shared" si="26"/>
        <v>0</v>
      </c>
      <c r="K531" s="18">
        <f t="shared" si="24"/>
        <v>0</v>
      </c>
      <c r="L531" s="21">
        <f>IF(ISERROR(VLOOKUP($F531,#REF!,6,0)*G531/1000),0,VLOOKUP($F531,#REF!,6,0)*G531/1000)</f>
        <v>0</v>
      </c>
      <c r="M531" s="21">
        <f>IF(ISERROR(VLOOKUP($F531,#REF!,6,0)*H531/1000),0,VLOOKUP($F531,#REF!,6,0)*H531/1000)</f>
        <v>0</v>
      </c>
      <c r="N531" s="21">
        <f>IF(ISERROR(VLOOKUP($F531,#REF!,6,0)*I531/1000),0,VLOOKUP($F531,#REF!,6,0)*I531/1000)</f>
        <v>0</v>
      </c>
      <c r="O531" s="21">
        <f>IF(ISERROR(VLOOKUP($F531,#REF!,6,0)*J531/1000),0,VLOOKUP($F531,#REF!,6,0)*J531/1000)</f>
        <v>0</v>
      </c>
      <c r="P531" s="21">
        <f>IF(ISERROR(VLOOKUP(F531,#REF!,6,0)*K531/1000),0,VLOOKUP(F531,#REF!,6,0)*K531/1000)</f>
        <v>0</v>
      </c>
      <c r="Q531" s="6">
        <f>IF(ISERROR(VLOOKUP(F531,#REF!,3,0)),0,VLOOKUP(F531,#REF!,3,0))</f>
        <v>0</v>
      </c>
      <c r="R531" s="6">
        <f>IF(ISERROR(VLOOKUP(F531,#REF!,4,0)),0,VLOOKUP(F531,#REF!,4,0))</f>
        <v>0</v>
      </c>
      <c r="S531" s="8">
        <f>IF(ISERROR(VLOOKUP(F531,#REF!,4,0)),0,VLOOKUP(F531,#REF!,10,0)/60*K531)</f>
        <v>0</v>
      </c>
      <c r="T531" s="3"/>
      <c r="U531" s="3"/>
      <c r="V531" s="4"/>
    </row>
    <row r="532" spans="1:22" x14ac:dyDescent="0.3">
      <c r="A532" s="5">
        <f t="shared" si="25"/>
        <v>0</v>
      </c>
      <c r="B532" s="6">
        <f t="shared" si="26"/>
        <v>0</v>
      </c>
      <c r="K532" s="18">
        <f t="shared" si="24"/>
        <v>0</v>
      </c>
      <c r="L532" s="21">
        <f>IF(ISERROR(VLOOKUP($F532,#REF!,6,0)*G532/1000),0,VLOOKUP($F532,#REF!,6,0)*G532/1000)</f>
        <v>0</v>
      </c>
      <c r="M532" s="21">
        <f>IF(ISERROR(VLOOKUP($F532,#REF!,6,0)*H532/1000),0,VLOOKUP($F532,#REF!,6,0)*H532/1000)</f>
        <v>0</v>
      </c>
      <c r="N532" s="21">
        <f>IF(ISERROR(VLOOKUP($F532,#REF!,6,0)*I532/1000),0,VLOOKUP($F532,#REF!,6,0)*I532/1000)</f>
        <v>0</v>
      </c>
      <c r="O532" s="21">
        <f>IF(ISERROR(VLOOKUP($F532,#REF!,6,0)*J532/1000),0,VLOOKUP($F532,#REF!,6,0)*J532/1000)</f>
        <v>0</v>
      </c>
      <c r="P532" s="21">
        <f>IF(ISERROR(VLOOKUP(F532,#REF!,6,0)*K532/1000),0,VLOOKUP(F532,#REF!,6,0)*K532/1000)</f>
        <v>0</v>
      </c>
      <c r="Q532" s="6">
        <f>IF(ISERROR(VLOOKUP(F532,#REF!,3,0)),0,VLOOKUP(F532,#REF!,3,0))</f>
        <v>0</v>
      </c>
      <c r="R532" s="6">
        <f>IF(ISERROR(VLOOKUP(F532,#REF!,4,0)),0,VLOOKUP(F532,#REF!,4,0))</f>
        <v>0</v>
      </c>
      <c r="S532" s="8">
        <f>IF(ISERROR(VLOOKUP(F532,#REF!,4,0)),0,VLOOKUP(F532,#REF!,10,0)/60*K532)</f>
        <v>0</v>
      </c>
      <c r="T532" s="3"/>
      <c r="U532" s="3"/>
      <c r="V532" s="4"/>
    </row>
    <row r="533" spans="1:22" x14ac:dyDescent="0.3">
      <c r="A533" s="5">
        <f t="shared" si="25"/>
        <v>0</v>
      </c>
      <c r="B533" s="6">
        <f t="shared" si="26"/>
        <v>0</v>
      </c>
      <c r="K533" s="18">
        <f t="shared" si="24"/>
        <v>0</v>
      </c>
      <c r="L533" s="21">
        <f>IF(ISERROR(VLOOKUP($F533,#REF!,6,0)*G533/1000),0,VLOOKUP($F533,#REF!,6,0)*G533/1000)</f>
        <v>0</v>
      </c>
      <c r="M533" s="21">
        <f>IF(ISERROR(VLOOKUP($F533,#REF!,6,0)*H533/1000),0,VLOOKUP($F533,#REF!,6,0)*H533/1000)</f>
        <v>0</v>
      </c>
      <c r="N533" s="21">
        <f>IF(ISERROR(VLOOKUP($F533,#REF!,6,0)*I533/1000),0,VLOOKUP($F533,#REF!,6,0)*I533/1000)</f>
        <v>0</v>
      </c>
      <c r="O533" s="21">
        <f>IF(ISERROR(VLOOKUP($F533,#REF!,6,0)*J533/1000),0,VLOOKUP($F533,#REF!,6,0)*J533/1000)</f>
        <v>0</v>
      </c>
      <c r="P533" s="21">
        <f>IF(ISERROR(VLOOKUP(F533,#REF!,6,0)*K533/1000),0,VLOOKUP(F533,#REF!,6,0)*K533/1000)</f>
        <v>0</v>
      </c>
      <c r="Q533" s="6">
        <f>IF(ISERROR(VLOOKUP(F533,#REF!,3,0)),0,VLOOKUP(F533,#REF!,3,0))</f>
        <v>0</v>
      </c>
      <c r="R533" s="6">
        <f>IF(ISERROR(VLOOKUP(F533,#REF!,4,0)),0,VLOOKUP(F533,#REF!,4,0))</f>
        <v>0</v>
      </c>
      <c r="S533" s="8">
        <f>IF(ISERROR(VLOOKUP(F533,#REF!,4,0)),0,VLOOKUP(F533,#REF!,10,0)/60*K533)</f>
        <v>0</v>
      </c>
      <c r="T533" s="3"/>
      <c r="U533" s="3"/>
      <c r="V533" s="4"/>
    </row>
    <row r="534" spans="1:22" x14ac:dyDescent="0.3">
      <c r="A534" s="5">
        <f t="shared" si="25"/>
        <v>0</v>
      </c>
      <c r="B534" s="6">
        <f t="shared" si="26"/>
        <v>0</v>
      </c>
      <c r="K534" s="18">
        <f t="shared" si="24"/>
        <v>0</v>
      </c>
      <c r="L534" s="21">
        <f>IF(ISERROR(VLOOKUP($F534,#REF!,6,0)*G534/1000),0,VLOOKUP($F534,#REF!,6,0)*G534/1000)</f>
        <v>0</v>
      </c>
      <c r="M534" s="21">
        <f>IF(ISERROR(VLOOKUP($F534,#REF!,6,0)*H534/1000),0,VLOOKUP($F534,#REF!,6,0)*H534/1000)</f>
        <v>0</v>
      </c>
      <c r="N534" s="21">
        <f>IF(ISERROR(VLOOKUP($F534,#REF!,6,0)*I534/1000),0,VLOOKUP($F534,#REF!,6,0)*I534/1000)</f>
        <v>0</v>
      </c>
      <c r="O534" s="21">
        <f>IF(ISERROR(VLOOKUP($F534,#REF!,6,0)*J534/1000),0,VLOOKUP($F534,#REF!,6,0)*J534/1000)</f>
        <v>0</v>
      </c>
      <c r="P534" s="21">
        <f>IF(ISERROR(VLOOKUP(F534,#REF!,6,0)*K534/1000),0,VLOOKUP(F534,#REF!,6,0)*K534/1000)</f>
        <v>0</v>
      </c>
      <c r="Q534" s="6">
        <f>IF(ISERROR(VLOOKUP(F534,#REF!,3,0)),0,VLOOKUP(F534,#REF!,3,0))</f>
        <v>0</v>
      </c>
      <c r="R534" s="6">
        <f>IF(ISERROR(VLOOKUP(F534,#REF!,4,0)),0,VLOOKUP(F534,#REF!,4,0))</f>
        <v>0</v>
      </c>
      <c r="S534" s="8">
        <f>IF(ISERROR(VLOOKUP(F534,#REF!,4,0)),0,VLOOKUP(F534,#REF!,10,0)/60*K534)</f>
        <v>0</v>
      </c>
      <c r="T534" s="3"/>
      <c r="U534" s="3"/>
      <c r="V534" s="4"/>
    </row>
    <row r="535" spans="1:22" x14ac:dyDescent="0.3">
      <c r="A535" s="5">
        <f t="shared" si="25"/>
        <v>0</v>
      </c>
      <c r="B535" s="6">
        <f t="shared" si="26"/>
        <v>0</v>
      </c>
      <c r="K535" s="18">
        <f t="shared" si="24"/>
        <v>0</v>
      </c>
      <c r="L535" s="21">
        <f>IF(ISERROR(VLOOKUP($F535,#REF!,6,0)*G535/1000),0,VLOOKUP($F535,#REF!,6,0)*G535/1000)</f>
        <v>0</v>
      </c>
      <c r="M535" s="21">
        <f>IF(ISERROR(VLOOKUP($F535,#REF!,6,0)*H535/1000),0,VLOOKUP($F535,#REF!,6,0)*H535/1000)</f>
        <v>0</v>
      </c>
      <c r="N535" s="21">
        <f>IF(ISERROR(VLOOKUP($F535,#REF!,6,0)*I535/1000),0,VLOOKUP($F535,#REF!,6,0)*I535/1000)</f>
        <v>0</v>
      </c>
      <c r="O535" s="21">
        <f>IF(ISERROR(VLOOKUP($F535,#REF!,6,0)*J535/1000),0,VLOOKUP($F535,#REF!,6,0)*J535/1000)</f>
        <v>0</v>
      </c>
      <c r="P535" s="21">
        <f>IF(ISERROR(VLOOKUP(F535,#REF!,6,0)*K535/1000),0,VLOOKUP(F535,#REF!,6,0)*K535/1000)</f>
        <v>0</v>
      </c>
      <c r="Q535" s="6">
        <f>IF(ISERROR(VLOOKUP(F535,#REF!,3,0)),0,VLOOKUP(F535,#REF!,3,0))</f>
        <v>0</v>
      </c>
      <c r="R535" s="6">
        <f>IF(ISERROR(VLOOKUP(F535,#REF!,4,0)),0,VLOOKUP(F535,#REF!,4,0))</f>
        <v>0</v>
      </c>
      <c r="S535" s="8">
        <f>IF(ISERROR(VLOOKUP(F535,#REF!,4,0)),0,VLOOKUP(F535,#REF!,10,0)/60*K535)</f>
        <v>0</v>
      </c>
      <c r="T535" s="3"/>
      <c r="U535" s="3"/>
      <c r="V535" s="4"/>
    </row>
    <row r="536" spans="1:22" x14ac:dyDescent="0.3">
      <c r="A536" s="5">
        <f t="shared" si="25"/>
        <v>0</v>
      </c>
      <c r="B536" s="6">
        <f t="shared" si="26"/>
        <v>0</v>
      </c>
      <c r="K536" s="18">
        <f t="shared" si="24"/>
        <v>0</v>
      </c>
      <c r="L536" s="21">
        <f>IF(ISERROR(VLOOKUP($F536,#REF!,6,0)*G536/1000),0,VLOOKUP($F536,#REF!,6,0)*G536/1000)</f>
        <v>0</v>
      </c>
      <c r="M536" s="21">
        <f>IF(ISERROR(VLOOKUP($F536,#REF!,6,0)*H536/1000),0,VLOOKUP($F536,#REF!,6,0)*H536/1000)</f>
        <v>0</v>
      </c>
      <c r="N536" s="21">
        <f>IF(ISERROR(VLOOKUP($F536,#REF!,6,0)*I536/1000),0,VLOOKUP($F536,#REF!,6,0)*I536/1000)</f>
        <v>0</v>
      </c>
      <c r="O536" s="21">
        <f>IF(ISERROR(VLOOKUP($F536,#REF!,6,0)*J536/1000),0,VLOOKUP($F536,#REF!,6,0)*J536/1000)</f>
        <v>0</v>
      </c>
      <c r="P536" s="21">
        <f>IF(ISERROR(VLOOKUP(F536,#REF!,6,0)*K536/1000),0,VLOOKUP(F536,#REF!,6,0)*K536/1000)</f>
        <v>0</v>
      </c>
      <c r="Q536" s="6">
        <f>IF(ISERROR(VLOOKUP(F536,#REF!,3,0)),0,VLOOKUP(F536,#REF!,3,0))</f>
        <v>0</v>
      </c>
      <c r="R536" s="6">
        <f>IF(ISERROR(VLOOKUP(F536,#REF!,4,0)),0,VLOOKUP(F536,#REF!,4,0))</f>
        <v>0</v>
      </c>
      <c r="S536" s="8">
        <f>IF(ISERROR(VLOOKUP(F536,#REF!,4,0)),0,VLOOKUP(F536,#REF!,10,0)/60*K536)</f>
        <v>0</v>
      </c>
      <c r="T536" s="3"/>
      <c r="U536" s="3"/>
      <c r="V536" s="4"/>
    </row>
    <row r="537" spans="1:22" x14ac:dyDescent="0.3">
      <c r="A537" s="5">
        <f t="shared" si="25"/>
        <v>0</v>
      </c>
      <c r="B537" s="6">
        <f t="shared" si="26"/>
        <v>0</v>
      </c>
      <c r="K537" s="18">
        <f t="shared" si="24"/>
        <v>0</v>
      </c>
      <c r="L537" s="21">
        <f>IF(ISERROR(VLOOKUP($F537,#REF!,6,0)*G537/1000),0,VLOOKUP($F537,#REF!,6,0)*G537/1000)</f>
        <v>0</v>
      </c>
      <c r="M537" s="21">
        <f>IF(ISERROR(VLOOKUP($F537,#REF!,6,0)*H537/1000),0,VLOOKUP($F537,#REF!,6,0)*H537/1000)</f>
        <v>0</v>
      </c>
      <c r="N537" s="21">
        <f>IF(ISERROR(VLOOKUP($F537,#REF!,6,0)*I537/1000),0,VLOOKUP($F537,#REF!,6,0)*I537/1000)</f>
        <v>0</v>
      </c>
      <c r="O537" s="21">
        <f>IF(ISERROR(VLOOKUP($F537,#REF!,6,0)*J537/1000),0,VLOOKUP($F537,#REF!,6,0)*J537/1000)</f>
        <v>0</v>
      </c>
      <c r="P537" s="21">
        <f>IF(ISERROR(VLOOKUP(F537,#REF!,6,0)*K537/1000),0,VLOOKUP(F537,#REF!,6,0)*K537/1000)</f>
        <v>0</v>
      </c>
      <c r="Q537" s="6">
        <f>IF(ISERROR(VLOOKUP(F537,#REF!,3,0)),0,VLOOKUP(F537,#REF!,3,0))</f>
        <v>0</v>
      </c>
      <c r="R537" s="6">
        <f>IF(ISERROR(VLOOKUP(F537,#REF!,4,0)),0,VLOOKUP(F537,#REF!,4,0))</f>
        <v>0</v>
      </c>
      <c r="S537" s="8">
        <f>IF(ISERROR(VLOOKUP(F537,#REF!,4,0)),0,VLOOKUP(F537,#REF!,10,0)/60*K537)</f>
        <v>0</v>
      </c>
      <c r="T537" s="3"/>
      <c r="U537" s="3"/>
      <c r="V537" s="4"/>
    </row>
    <row r="538" spans="1:22" x14ac:dyDescent="0.3">
      <c r="A538" s="5">
        <f t="shared" si="25"/>
        <v>0</v>
      </c>
      <c r="B538" s="6">
        <f t="shared" si="26"/>
        <v>0</v>
      </c>
      <c r="K538" s="18">
        <f t="shared" si="24"/>
        <v>0</v>
      </c>
      <c r="L538" s="21">
        <f>IF(ISERROR(VLOOKUP($F538,#REF!,6,0)*G538/1000),0,VLOOKUP($F538,#REF!,6,0)*G538/1000)</f>
        <v>0</v>
      </c>
      <c r="M538" s="21">
        <f>IF(ISERROR(VLOOKUP($F538,#REF!,6,0)*H538/1000),0,VLOOKUP($F538,#REF!,6,0)*H538/1000)</f>
        <v>0</v>
      </c>
      <c r="N538" s="21">
        <f>IF(ISERROR(VLOOKUP($F538,#REF!,6,0)*I538/1000),0,VLOOKUP($F538,#REF!,6,0)*I538/1000)</f>
        <v>0</v>
      </c>
      <c r="O538" s="21">
        <f>IF(ISERROR(VLOOKUP($F538,#REF!,6,0)*J538/1000),0,VLOOKUP($F538,#REF!,6,0)*J538/1000)</f>
        <v>0</v>
      </c>
      <c r="P538" s="21">
        <f>IF(ISERROR(VLOOKUP(F538,#REF!,6,0)*K538/1000),0,VLOOKUP(F538,#REF!,6,0)*K538/1000)</f>
        <v>0</v>
      </c>
      <c r="Q538" s="6">
        <f>IF(ISERROR(VLOOKUP(F538,#REF!,3,0)),0,VLOOKUP(F538,#REF!,3,0))</f>
        <v>0</v>
      </c>
      <c r="R538" s="6">
        <f>IF(ISERROR(VLOOKUP(F538,#REF!,4,0)),0,VLOOKUP(F538,#REF!,4,0))</f>
        <v>0</v>
      </c>
      <c r="S538" s="8">
        <f>IF(ISERROR(VLOOKUP(F538,#REF!,4,0)),0,VLOOKUP(F538,#REF!,10,0)/60*K538)</f>
        <v>0</v>
      </c>
      <c r="T538" s="3"/>
      <c r="U538" s="3"/>
      <c r="V538" s="4"/>
    </row>
    <row r="539" spans="1:22" x14ac:dyDescent="0.3">
      <c r="A539" s="5">
        <f t="shared" si="25"/>
        <v>0</v>
      </c>
      <c r="B539" s="6">
        <f t="shared" si="26"/>
        <v>0</v>
      </c>
      <c r="K539" s="18">
        <f t="shared" si="24"/>
        <v>0</v>
      </c>
      <c r="L539" s="21">
        <f>IF(ISERROR(VLOOKUP($F539,#REF!,6,0)*G539/1000),0,VLOOKUP($F539,#REF!,6,0)*G539/1000)</f>
        <v>0</v>
      </c>
      <c r="M539" s="21">
        <f>IF(ISERROR(VLOOKUP($F539,#REF!,6,0)*H539/1000),0,VLOOKUP($F539,#REF!,6,0)*H539/1000)</f>
        <v>0</v>
      </c>
      <c r="N539" s="21">
        <f>IF(ISERROR(VLOOKUP($F539,#REF!,6,0)*I539/1000),0,VLOOKUP($F539,#REF!,6,0)*I539/1000)</f>
        <v>0</v>
      </c>
      <c r="O539" s="21">
        <f>IF(ISERROR(VLOOKUP($F539,#REF!,6,0)*J539/1000),0,VLOOKUP($F539,#REF!,6,0)*J539/1000)</f>
        <v>0</v>
      </c>
      <c r="P539" s="21">
        <f>IF(ISERROR(VLOOKUP(F539,#REF!,6,0)*K539/1000),0,VLOOKUP(F539,#REF!,6,0)*K539/1000)</f>
        <v>0</v>
      </c>
      <c r="Q539" s="6">
        <f>IF(ISERROR(VLOOKUP(F539,#REF!,3,0)),0,VLOOKUP(F539,#REF!,3,0))</f>
        <v>0</v>
      </c>
      <c r="R539" s="6">
        <f>IF(ISERROR(VLOOKUP(F539,#REF!,4,0)),0,VLOOKUP(F539,#REF!,4,0))</f>
        <v>0</v>
      </c>
      <c r="S539" s="8">
        <f>IF(ISERROR(VLOOKUP(F539,#REF!,4,0)),0,VLOOKUP(F539,#REF!,10,0)/60*K539)</f>
        <v>0</v>
      </c>
      <c r="T539" s="3"/>
      <c r="U539" s="3"/>
      <c r="V539" s="4"/>
    </row>
    <row r="540" spans="1:22" x14ac:dyDescent="0.3">
      <c r="A540" s="5">
        <f t="shared" si="25"/>
        <v>0</v>
      </c>
      <c r="B540" s="6">
        <f t="shared" si="26"/>
        <v>0</v>
      </c>
      <c r="K540" s="18">
        <f t="shared" si="24"/>
        <v>0</v>
      </c>
      <c r="L540" s="21">
        <f>IF(ISERROR(VLOOKUP($F540,#REF!,6,0)*G540/1000),0,VLOOKUP($F540,#REF!,6,0)*G540/1000)</f>
        <v>0</v>
      </c>
      <c r="M540" s="21">
        <f>IF(ISERROR(VLOOKUP($F540,#REF!,6,0)*H540/1000),0,VLOOKUP($F540,#REF!,6,0)*H540/1000)</f>
        <v>0</v>
      </c>
      <c r="N540" s="21">
        <f>IF(ISERROR(VLOOKUP($F540,#REF!,6,0)*I540/1000),0,VLOOKUP($F540,#REF!,6,0)*I540/1000)</f>
        <v>0</v>
      </c>
      <c r="O540" s="21">
        <f>IF(ISERROR(VLOOKUP($F540,#REF!,6,0)*J540/1000),0,VLOOKUP($F540,#REF!,6,0)*J540/1000)</f>
        <v>0</v>
      </c>
      <c r="P540" s="21">
        <f>IF(ISERROR(VLOOKUP(F540,#REF!,6,0)*K540/1000),0,VLOOKUP(F540,#REF!,6,0)*K540/1000)</f>
        <v>0</v>
      </c>
      <c r="Q540" s="6">
        <f>IF(ISERROR(VLOOKUP(F540,#REF!,3,0)),0,VLOOKUP(F540,#REF!,3,0))</f>
        <v>0</v>
      </c>
      <c r="R540" s="6">
        <f>IF(ISERROR(VLOOKUP(F540,#REF!,4,0)),0,VLOOKUP(F540,#REF!,4,0))</f>
        <v>0</v>
      </c>
      <c r="S540" s="8">
        <f>IF(ISERROR(VLOOKUP(F540,#REF!,4,0)),0,VLOOKUP(F540,#REF!,10,0)/60*K540)</f>
        <v>0</v>
      </c>
      <c r="T540" s="3"/>
      <c r="U540" s="3"/>
      <c r="V540" s="4"/>
    </row>
    <row r="541" spans="1:22" x14ac:dyDescent="0.3">
      <c r="A541" s="5">
        <f t="shared" si="25"/>
        <v>0</v>
      </c>
      <c r="B541" s="6">
        <f t="shared" si="26"/>
        <v>0</v>
      </c>
      <c r="K541" s="18">
        <f t="shared" si="24"/>
        <v>0</v>
      </c>
      <c r="L541" s="21">
        <f>IF(ISERROR(VLOOKUP($F541,#REF!,6,0)*G541/1000),0,VLOOKUP($F541,#REF!,6,0)*G541/1000)</f>
        <v>0</v>
      </c>
      <c r="M541" s="21">
        <f>IF(ISERROR(VLOOKUP($F541,#REF!,6,0)*H541/1000),0,VLOOKUP($F541,#REF!,6,0)*H541/1000)</f>
        <v>0</v>
      </c>
      <c r="N541" s="21">
        <f>IF(ISERROR(VLOOKUP($F541,#REF!,6,0)*I541/1000),0,VLOOKUP($F541,#REF!,6,0)*I541/1000)</f>
        <v>0</v>
      </c>
      <c r="O541" s="21">
        <f>IF(ISERROR(VLOOKUP($F541,#REF!,6,0)*J541/1000),0,VLOOKUP($F541,#REF!,6,0)*J541/1000)</f>
        <v>0</v>
      </c>
      <c r="P541" s="21">
        <f>IF(ISERROR(VLOOKUP(F541,#REF!,6,0)*K541/1000),0,VLOOKUP(F541,#REF!,6,0)*K541/1000)</f>
        <v>0</v>
      </c>
      <c r="Q541" s="6">
        <f>IF(ISERROR(VLOOKUP(F541,#REF!,3,0)),0,VLOOKUP(F541,#REF!,3,0))</f>
        <v>0</v>
      </c>
      <c r="R541" s="6">
        <f>IF(ISERROR(VLOOKUP(F541,#REF!,4,0)),0,VLOOKUP(F541,#REF!,4,0))</f>
        <v>0</v>
      </c>
      <c r="S541" s="8">
        <f>IF(ISERROR(VLOOKUP(F541,#REF!,4,0)),0,VLOOKUP(F541,#REF!,10,0)/60*K541)</f>
        <v>0</v>
      </c>
      <c r="T541" s="3"/>
      <c r="U541" s="3"/>
      <c r="V541" s="4"/>
    </row>
    <row r="542" spans="1:22" x14ac:dyDescent="0.3">
      <c r="A542" s="5">
        <f t="shared" si="25"/>
        <v>0</v>
      </c>
      <c r="B542" s="6">
        <f t="shared" si="26"/>
        <v>0</v>
      </c>
      <c r="K542" s="18">
        <f t="shared" si="24"/>
        <v>0</v>
      </c>
      <c r="L542" s="21">
        <f>IF(ISERROR(VLOOKUP($F542,#REF!,6,0)*G542/1000),0,VLOOKUP($F542,#REF!,6,0)*G542/1000)</f>
        <v>0</v>
      </c>
      <c r="M542" s="21">
        <f>IF(ISERROR(VLOOKUP($F542,#REF!,6,0)*H542/1000),0,VLOOKUP($F542,#REF!,6,0)*H542/1000)</f>
        <v>0</v>
      </c>
      <c r="N542" s="21">
        <f>IF(ISERROR(VLOOKUP($F542,#REF!,6,0)*I542/1000),0,VLOOKUP($F542,#REF!,6,0)*I542/1000)</f>
        <v>0</v>
      </c>
      <c r="O542" s="21">
        <f>IF(ISERROR(VLOOKUP($F542,#REF!,6,0)*J542/1000),0,VLOOKUP($F542,#REF!,6,0)*J542/1000)</f>
        <v>0</v>
      </c>
      <c r="P542" s="21">
        <f>IF(ISERROR(VLOOKUP(F542,#REF!,6,0)*K542/1000),0,VLOOKUP(F542,#REF!,6,0)*K542/1000)</f>
        <v>0</v>
      </c>
      <c r="Q542" s="6">
        <f>IF(ISERROR(VLOOKUP(F542,#REF!,3,0)),0,VLOOKUP(F542,#REF!,3,0))</f>
        <v>0</v>
      </c>
      <c r="R542" s="6">
        <f>IF(ISERROR(VLOOKUP(F542,#REF!,4,0)),0,VLOOKUP(F542,#REF!,4,0))</f>
        <v>0</v>
      </c>
      <c r="S542" s="8">
        <f>IF(ISERROR(VLOOKUP(F542,#REF!,4,0)),0,VLOOKUP(F542,#REF!,10,0)/60*K542)</f>
        <v>0</v>
      </c>
      <c r="T542" s="3"/>
      <c r="U542" s="3"/>
      <c r="V542" s="4"/>
    </row>
    <row r="543" spans="1:22" x14ac:dyDescent="0.3">
      <c r="A543" s="5">
        <f t="shared" si="25"/>
        <v>0</v>
      </c>
      <c r="B543" s="6">
        <f t="shared" si="26"/>
        <v>0</v>
      </c>
      <c r="K543" s="18">
        <f t="shared" si="24"/>
        <v>0</v>
      </c>
      <c r="L543" s="21">
        <f>IF(ISERROR(VLOOKUP($F543,#REF!,6,0)*G543/1000),0,VLOOKUP($F543,#REF!,6,0)*G543/1000)</f>
        <v>0</v>
      </c>
      <c r="M543" s="21">
        <f>IF(ISERROR(VLOOKUP($F543,#REF!,6,0)*H543/1000),0,VLOOKUP($F543,#REF!,6,0)*H543/1000)</f>
        <v>0</v>
      </c>
      <c r="N543" s="21">
        <f>IF(ISERROR(VLOOKUP($F543,#REF!,6,0)*I543/1000),0,VLOOKUP($F543,#REF!,6,0)*I543/1000)</f>
        <v>0</v>
      </c>
      <c r="O543" s="21">
        <f>IF(ISERROR(VLOOKUP($F543,#REF!,6,0)*J543/1000),0,VLOOKUP($F543,#REF!,6,0)*J543/1000)</f>
        <v>0</v>
      </c>
      <c r="P543" s="21">
        <f>IF(ISERROR(VLOOKUP(F543,#REF!,6,0)*K543/1000),0,VLOOKUP(F543,#REF!,6,0)*K543/1000)</f>
        <v>0</v>
      </c>
      <c r="Q543" s="6">
        <f>IF(ISERROR(VLOOKUP(F543,#REF!,3,0)),0,VLOOKUP(F543,#REF!,3,0))</f>
        <v>0</v>
      </c>
      <c r="R543" s="6">
        <f>IF(ISERROR(VLOOKUP(F543,#REF!,4,0)),0,VLOOKUP(F543,#REF!,4,0))</f>
        <v>0</v>
      </c>
      <c r="S543" s="8">
        <f>IF(ISERROR(VLOOKUP(F543,#REF!,4,0)),0,VLOOKUP(F543,#REF!,10,0)/60*K543)</f>
        <v>0</v>
      </c>
      <c r="T543" s="3"/>
      <c r="U543" s="3"/>
      <c r="V543" s="4"/>
    </row>
    <row r="544" spans="1:22" x14ac:dyDescent="0.3">
      <c r="A544" s="5">
        <f t="shared" si="25"/>
        <v>0</v>
      </c>
      <c r="B544" s="6">
        <f t="shared" si="26"/>
        <v>0</v>
      </c>
      <c r="K544" s="18">
        <f t="shared" si="24"/>
        <v>0</v>
      </c>
      <c r="L544" s="21">
        <f>IF(ISERROR(VLOOKUP($F544,#REF!,6,0)*G544/1000),0,VLOOKUP($F544,#REF!,6,0)*G544/1000)</f>
        <v>0</v>
      </c>
      <c r="M544" s="21">
        <f>IF(ISERROR(VLOOKUP($F544,#REF!,6,0)*H544/1000),0,VLOOKUP($F544,#REF!,6,0)*H544/1000)</f>
        <v>0</v>
      </c>
      <c r="N544" s="21">
        <f>IF(ISERROR(VLOOKUP($F544,#REF!,6,0)*I544/1000),0,VLOOKUP($F544,#REF!,6,0)*I544/1000)</f>
        <v>0</v>
      </c>
      <c r="O544" s="21">
        <f>IF(ISERROR(VLOOKUP($F544,#REF!,6,0)*J544/1000),0,VLOOKUP($F544,#REF!,6,0)*J544/1000)</f>
        <v>0</v>
      </c>
      <c r="P544" s="21">
        <f>IF(ISERROR(VLOOKUP(F544,#REF!,6,0)*K544/1000),0,VLOOKUP(F544,#REF!,6,0)*K544/1000)</f>
        <v>0</v>
      </c>
      <c r="Q544" s="6">
        <f>IF(ISERROR(VLOOKUP(F544,#REF!,3,0)),0,VLOOKUP(F544,#REF!,3,0))</f>
        <v>0</v>
      </c>
      <c r="R544" s="6">
        <f>IF(ISERROR(VLOOKUP(F544,#REF!,4,0)),0,VLOOKUP(F544,#REF!,4,0))</f>
        <v>0</v>
      </c>
      <c r="S544" s="8">
        <f>IF(ISERROR(VLOOKUP(F544,#REF!,4,0)),0,VLOOKUP(F544,#REF!,10,0)/60*K544)</f>
        <v>0</v>
      </c>
      <c r="T544" s="3"/>
      <c r="U544" s="3"/>
      <c r="V544" s="4"/>
    </row>
    <row r="545" spans="1:22" x14ac:dyDescent="0.3">
      <c r="A545" s="5">
        <f t="shared" si="25"/>
        <v>0</v>
      </c>
      <c r="B545" s="6">
        <f t="shared" si="26"/>
        <v>0</v>
      </c>
      <c r="K545" s="18">
        <f t="shared" si="24"/>
        <v>0</v>
      </c>
      <c r="L545" s="21">
        <f>IF(ISERROR(VLOOKUP($F545,#REF!,6,0)*G545/1000),0,VLOOKUP($F545,#REF!,6,0)*G545/1000)</f>
        <v>0</v>
      </c>
      <c r="M545" s="21">
        <f>IF(ISERROR(VLOOKUP($F545,#REF!,6,0)*H545/1000),0,VLOOKUP($F545,#REF!,6,0)*H545/1000)</f>
        <v>0</v>
      </c>
      <c r="N545" s="21">
        <f>IF(ISERROR(VLOOKUP($F545,#REF!,6,0)*I545/1000),0,VLOOKUP($F545,#REF!,6,0)*I545/1000)</f>
        <v>0</v>
      </c>
      <c r="O545" s="21">
        <f>IF(ISERROR(VLOOKUP($F545,#REF!,6,0)*J545/1000),0,VLOOKUP($F545,#REF!,6,0)*J545/1000)</f>
        <v>0</v>
      </c>
      <c r="P545" s="21">
        <f>IF(ISERROR(VLOOKUP(F545,#REF!,6,0)*K545/1000),0,VLOOKUP(F545,#REF!,6,0)*K545/1000)</f>
        <v>0</v>
      </c>
      <c r="Q545" s="6">
        <f>IF(ISERROR(VLOOKUP(F545,#REF!,3,0)),0,VLOOKUP(F545,#REF!,3,0))</f>
        <v>0</v>
      </c>
      <c r="R545" s="6">
        <f>IF(ISERROR(VLOOKUP(F545,#REF!,4,0)),0,VLOOKUP(F545,#REF!,4,0))</f>
        <v>0</v>
      </c>
      <c r="S545" s="8">
        <f>IF(ISERROR(VLOOKUP(F545,#REF!,4,0)),0,VLOOKUP(F545,#REF!,10,0)/60*K545)</f>
        <v>0</v>
      </c>
      <c r="T545" s="3"/>
      <c r="U545" s="3"/>
      <c r="V545" s="4"/>
    </row>
    <row r="546" spans="1:22" x14ac:dyDescent="0.3">
      <c r="A546" s="5">
        <f t="shared" si="25"/>
        <v>0</v>
      </c>
      <c r="B546" s="6">
        <f t="shared" si="26"/>
        <v>0</v>
      </c>
      <c r="K546" s="18">
        <f t="shared" si="24"/>
        <v>0</v>
      </c>
      <c r="L546" s="21">
        <f>IF(ISERROR(VLOOKUP($F546,#REF!,6,0)*G546/1000),0,VLOOKUP($F546,#REF!,6,0)*G546/1000)</f>
        <v>0</v>
      </c>
      <c r="M546" s="21">
        <f>IF(ISERROR(VLOOKUP($F546,#REF!,6,0)*H546/1000),0,VLOOKUP($F546,#REF!,6,0)*H546/1000)</f>
        <v>0</v>
      </c>
      <c r="N546" s="21">
        <f>IF(ISERROR(VLOOKUP($F546,#REF!,6,0)*I546/1000),0,VLOOKUP($F546,#REF!,6,0)*I546/1000)</f>
        <v>0</v>
      </c>
      <c r="O546" s="21">
        <f>IF(ISERROR(VLOOKUP($F546,#REF!,6,0)*J546/1000),0,VLOOKUP($F546,#REF!,6,0)*J546/1000)</f>
        <v>0</v>
      </c>
      <c r="P546" s="21">
        <f>IF(ISERROR(VLOOKUP(F546,#REF!,6,0)*K546/1000),0,VLOOKUP(F546,#REF!,6,0)*K546/1000)</f>
        <v>0</v>
      </c>
      <c r="Q546" s="6">
        <f>IF(ISERROR(VLOOKUP(F546,#REF!,3,0)),0,VLOOKUP(F546,#REF!,3,0))</f>
        <v>0</v>
      </c>
      <c r="R546" s="6">
        <f>IF(ISERROR(VLOOKUP(F546,#REF!,4,0)),0,VLOOKUP(F546,#REF!,4,0))</f>
        <v>0</v>
      </c>
      <c r="S546" s="8">
        <f>IF(ISERROR(VLOOKUP(F546,#REF!,4,0)),0,VLOOKUP(F546,#REF!,10,0)/60*K546)</f>
        <v>0</v>
      </c>
      <c r="T546" s="3"/>
      <c r="U546" s="3"/>
      <c r="V546" s="4"/>
    </row>
    <row r="547" spans="1:22" x14ac:dyDescent="0.3">
      <c r="A547" s="5">
        <f t="shared" si="25"/>
        <v>0</v>
      </c>
      <c r="B547" s="6">
        <f t="shared" si="26"/>
        <v>0</v>
      </c>
      <c r="K547" s="18">
        <f t="shared" si="24"/>
        <v>0</v>
      </c>
      <c r="L547" s="21">
        <f>IF(ISERROR(VLOOKUP($F547,#REF!,6,0)*G547/1000),0,VLOOKUP($F547,#REF!,6,0)*G547/1000)</f>
        <v>0</v>
      </c>
      <c r="M547" s="21">
        <f>IF(ISERROR(VLOOKUP($F547,#REF!,6,0)*H547/1000),0,VLOOKUP($F547,#REF!,6,0)*H547/1000)</f>
        <v>0</v>
      </c>
      <c r="N547" s="21">
        <f>IF(ISERROR(VLOOKUP($F547,#REF!,6,0)*I547/1000),0,VLOOKUP($F547,#REF!,6,0)*I547/1000)</f>
        <v>0</v>
      </c>
      <c r="O547" s="21">
        <f>IF(ISERROR(VLOOKUP($F547,#REF!,6,0)*J547/1000),0,VLOOKUP($F547,#REF!,6,0)*J547/1000)</f>
        <v>0</v>
      </c>
      <c r="P547" s="21">
        <f>IF(ISERROR(VLOOKUP(F547,#REF!,6,0)*K547/1000),0,VLOOKUP(F547,#REF!,6,0)*K547/1000)</f>
        <v>0</v>
      </c>
      <c r="Q547" s="6">
        <f>IF(ISERROR(VLOOKUP(F547,#REF!,3,0)),0,VLOOKUP(F547,#REF!,3,0))</f>
        <v>0</v>
      </c>
      <c r="R547" s="6">
        <f>IF(ISERROR(VLOOKUP(F547,#REF!,4,0)),0,VLOOKUP(F547,#REF!,4,0))</f>
        <v>0</v>
      </c>
      <c r="S547" s="8">
        <f>IF(ISERROR(VLOOKUP(F547,#REF!,4,0)),0,VLOOKUP(F547,#REF!,10,0)/60*K547)</f>
        <v>0</v>
      </c>
      <c r="T547" s="3"/>
      <c r="U547" s="3"/>
      <c r="V547" s="4"/>
    </row>
    <row r="548" spans="1:22" x14ac:dyDescent="0.3">
      <c r="A548" s="5">
        <f t="shared" si="25"/>
        <v>0</v>
      </c>
      <c r="B548" s="6">
        <f t="shared" si="26"/>
        <v>0</v>
      </c>
      <c r="K548" s="18">
        <f t="shared" si="24"/>
        <v>0</v>
      </c>
      <c r="L548" s="21">
        <f>IF(ISERROR(VLOOKUP($F548,#REF!,6,0)*G548/1000),0,VLOOKUP($F548,#REF!,6,0)*G548/1000)</f>
        <v>0</v>
      </c>
      <c r="M548" s="21">
        <f>IF(ISERROR(VLOOKUP($F548,#REF!,6,0)*H548/1000),0,VLOOKUP($F548,#REF!,6,0)*H548/1000)</f>
        <v>0</v>
      </c>
      <c r="N548" s="21">
        <f>IF(ISERROR(VLOOKUP($F548,#REF!,6,0)*I548/1000),0,VLOOKUP($F548,#REF!,6,0)*I548/1000)</f>
        <v>0</v>
      </c>
      <c r="O548" s="21">
        <f>IF(ISERROR(VLOOKUP($F548,#REF!,6,0)*J548/1000),0,VLOOKUP($F548,#REF!,6,0)*J548/1000)</f>
        <v>0</v>
      </c>
      <c r="P548" s="21">
        <f>IF(ISERROR(VLOOKUP(F548,#REF!,6,0)*K548/1000),0,VLOOKUP(F548,#REF!,6,0)*K548/1000)</f>
        <v>0</v>
      </c>
      <c r="Q548" s="6">
        <f>IF(ISERROR(VLOOKUP(F548,#REF!,3,0)),0,VLOOKUP(F548,#REF!,3,0))</f>
        <v>0</v>
      </c>
      <c r="R548" s="6">
        <f>IF(ISERROR(VLOOKUP(F548,#REF!,4,0)),0,VLOOKUP(F548,#REF!,4,0))</f>
        <v>0</v>
      </c>
      <c r="S548" s="8">
        <f>IF(ISERROR(VLOOKUP(F548,#REF!,4,0)),0,VLOOKUP(F548,#REF!,10,0)/60*K548)</f>
        <v>0</v>
      </c>
      <c r="T548" s="3"/>
      <c r="U548" s="3"/>
      <c r="V548" s="4"/>
    </row>
    <row r="549" spans="1:22" x14ac:dyDescent="0.3">
      <c r="A549" s="5">
        <f t="shared" si="25"/>
        <v>0</v>
      </c>
      <c r="B549" s="6">
        <f t="shared" si="26"/>
        <v>0</v>
      </c>
      <c r="K549" s="18">
        <f t="shared" si="24"/>
        <v>0</v>
      </c>
      <c r="L549" s="21">
        <f>IF(ISERROR(VLOOKUP($F549,#REF!,6,0)*G549/1000),0,VLOOKUP($F549,#REF!,6,0)*G549/1000)</f>
        <v>0</v>
      </c>
      <c r="M549" s="21">
        <f>IF(ISERROR(VLOOKUP($F549,#REF!,6,0)*H549/1000),0,VLOOKUP($F549,#REF!,6,0)*H549/1000)</f>
        <v>0</v>
      </c>
      <c r="N549" s="21">
        <f>IF(ISERROR(VLOOKUP($F549,#REF!,6,0)*I549/1000),0,VLOOKUP($F549,#REF!,6,0)*I549/1000)</f>
        <v>0</v>
      </c>
      <c r="O549" s="21">
        <f>IF(ISERROR(VLOOKUP($F549,#REF!,6,0)*J549/1000),0,VLOOKUP($F549,#REF!,6,0)*J549/1000)</f>
        <v>0</v>
      </c>
      <c r="P549" s="21">
        <f>IF(ISERROR(VLOOKUP(F549,#REF!,6,0)*K549/1000),0,VLOOKUP(F549,#REF!,6,0)*K549/1000)</f>
        <v>0</v>
      </c>
      <c r="Q549" s="6">
        <f>IF(ISERROR(VLOOKUP(F549,#REF!,3,0)),0,VLOOKUP(F549,#REF!,3,0))</f>
        <v>0</v>
      </c>
      <c r="R549" s="6">
        <f>IF(ISERROR(VLOOKUP(F549,#REF!,4,0)),0,VLOOKUP(F549,#REF!,4,0))</f>
        <v>0</v>
      </c>
      <c r="S549" s="8">
        <f>IF(ISERROR(VLOOKUP(F549,#REF!,4,0)),0,VLOOKUP(F549,#REF!,10,0)/60*K549)</f>
        <v>0</v>
      </c>
      <c r="T549" s="3"/>
      <c r="U549" s="3"/>
      <c r="V549" s="4"/>
    </row>
    <row r="550" spans="1:22" x14ac:dyDescent="0.3">
      <c r="A550" s="5">
        <f t="shared" si="25"/>
        <v>0</v>
      </c>
      <c r="B550" s="6">
        <f t="shared" si="26"/>
        <v>0</v>
      </c>
      <c r="K550" s="18">
        <f t="shared" si="24"/>
        <v>0</v>
      </c>
      <c r="L550" s="21">
        <f>IF(ISERROR(VLOOKUP($F550,#REF!,6,0)*G550/1000),0,VLOOKUP($F550,#REF!,6,0)*G550/1000)</f>
        <v>0</v>
      </c>
      <c r="M550" s="21">
        <f>IF(ISERROR(VLOOKUP($F550,#REF!,6,0)*H550/1000),0,VLOOKUP($F550,#REF!,6,0)*H550/1000)</f>
        <v>0</v>
      </c>
      <c r="N550" s="21">
        <f>IF(ISERROR(VLOOKUP($F550,#REF!,6,0)*I550/1000),0,VLOOKUP($F550,#REF!,6,0)*I550/1000)</f>
        <v>0</v>
      </c>
      <c r="O550" s="21">
        <f>IF(ISERROR(VLOOKUP($F550,#REF!,6,0)*J550/1000),0,VLOOKUP($F550,#REF!,6,0)*J550/1000)</f>
        <v>0</v>
      </c>
      <c r="P550" s="21">
        <f>IF(ISERROR(VLOOKUP(F550,#REF!,6,0)*K550/1000),0,VLOOKUP(F550,#REF!,6,0)*K550/1000)</f>
        <v>0</v>
      </c>
      <c r="Q550" s="6">
        <f>IF(ISERROR(VLOOKUP(F550,#REF!,3,0)),0,VLOOKUP(F550,#REF!,3,0))</f>
        <v>0</v>
      </c>
      <c r="R550" s="6">
        <f>IF(ISERROR(VLOOKUP(F550,#REF!,4,0)),0,VLOOKUP(F550,#REF!,4,0))</f>
        <v>0</v>
      </c>
      <c r="S550" s="8">
        <f>IF(ISERROR(VLOOKUP(F550,#REF!,4,0)),0,VLOOKUP(F550,#REF!,10,0)/60*K550)</f>
        <v>0</v>
      </c>
      <c r="T550" s="3"/>
      <c r="U550" s="3"/>
      <c r="V550" s="4"/>
    </row>
    <row r="551" spans="1:22" x14ac:dyDescent="0.3">
      <c r="A551" s="5">
        <f t="shared" si="25"/>
        <v>0</v>
      </c>
      <c r="B551" s="6">
        <f t="shared" si="26"/>
        <v>0</v>
      </c>
      <c r="K551" s="18">
        <f t="shared" si="24"/>
        <v>0</v>
      </c>
      <c r="L551" s="21">
        <f>IF(ISERROR(VLOOKUP($F551,#REF!,6,0)*G551/1000),0,VLOOKUP($F551,#REF!,6,0)*G551/1000)</f>
        <v>0</v>
      </c>
      <c r="M551" s="21">
        <f>IF(ISERROR(VLOOKUP($F551,#REF!,6,0)*H551/1000),0,VLOOKUP($F551,#REF!,6,0)*H551/1000)</f>
        <v>0</v>
      </c>
      <c r="N551" s="21">
        <f>IF(ISERROR(VLOOKUP($F551,#REF!,6,0)*I551/1000),0,VLOOKUP($F551,#REF!,6,0)*I551/1000)</f>
        <v>0</v>
      </c>
      <c r="O551" s="21">
        <f>IF(ISERROR(VLOOKUP($F551,#REF!,6,0)*J551/1000),0,VLOOKUP($F551,#REF!,6,0)*J551/1000)</f>
        <v>0</v>
      </c>
      <c r="P551" s="21">
        <f>IF(ISERROR(VLOOKUP(F551,#REF!,6,0)*K551/1000),0,VLOOKUP(F551,#REF!,6,0)*K551/1000)</f>
        <v>0</v>
      </c>
      <c r="Q551" s="6">
        <f>IF(ISERROR(VLOOKUP(F551,#REF!,3,0)),0,VLOOKUP(F551,#REF!,3,0))</f>
        <v>0</v>
      </c>
      <c r="R551" s="6">
        <f>IF(ISERROR(VLOOKUP(F551,#REF!,4,0)),0,VLOOKUP(F551,#REF!,4,0))</f>
        <v>0</v>
      </c>
      <c r="S551" s="8">
        <f>IF(ISERROR(VLOOKUP(F551,#REF!,4,0)),0,VLOOKUP(F551,#REF!,10,0)/60*K551)</f>
        <v>0</v>
      </c>
      <c r="T551" s="3"/>
      <c r="U551" s="3"/>
      <c r="V551" s="4"/>
    </row>
    <row r="552" spans="1:22" x14ac:dyDescent="0.3">
      <c r="A552" s="5">
        <f t="shared" si="25"/>
        <v>0</v>
      </c>
      <c r="B552" s="6">
        <f t="shared" si="26"/>
        <v>0</v>
      </c>
      <c r="K552" s="18">
        <f t="shared" si="24"/>
        <v>0</v>
      </c>
      <c r="L552" s="21">
        <f>IF(ISERROR(VLOOKUP($F552,#REF!,6,0)*G552/1000),0,VLOOKUP($F552,#REF!,6,0)*G552/1000)</f>
        <v>0</v>
      </c>
      <c r="M552" s="21">
        <f>IF(ISERROR(VLOOKUP($F552,#REF!,6,0)*H552/1000),0,VLOOKUP($F552,#REF!,6,0)*H552/1000)</f>
        <v>0</v>
      </c>
      <c r="N552" s="21">
        <f>IF(ISERROR(VLOOKUP($F552,#REF!,6,0)*I552/1000),0,VLOOKUP($F552,#REF!,6,0)*I552/1000)</f>
        <v>0</v>
      </c>
      <c r="O552" s="21">
        <f>IF(ISERROR(VLOOKUP($F552,#REF!,6,0)*J552/1000),0,VLOOKUP($F552,#REF!,6,0)*J552/1000)</f>
        <v>0</v>
      </c>
      <c r="P552" s="21">
        <f>IF(ISERROR(VLOOKUP(F552,#REF!,6,0)*K552/1000),0,VLOOKUP(F552,#REF!,6,0)*K552/1000)</f>
        <v>0</v>
      </c>
      <c r="Q552" s="6">
        <f>IF(ISERROR(VLOOKUP(F552,#REF!,3,0)),0,VLOOKUP(F552,#REF!,3,0))</f>
        <v>0</v>
      </c>
      <c r="R552" s="6">
        <f>IF(ISERROR(VLOOKUP(F552,#REF!,4,0)),0,VLOOKUP(F552,#REF!,4,0))</f>
        <v>0</v>
      </c>
      <c r="S552" s="8">
        <f>IF(ISERROR(VLOOKUP(F552,#REF!,4,0)),0,VLOOKUP(F552,#REF!,10,0)/60*K552)</f>
        <v>0</v>
      </c>
      <c r="T552" s="3"/>
      <c r="U552" s="3"/>
      <c r="V552" s="4"/>
    </row>
    <row r="553" spans="1:22" x14ac:dyDescent="0.3">
      <c r="A553" s="5">
        <f t="shared" si="25"/>
        <v>0</v>
      </c>
      <c r="B553" s="6">
        <f t="shared" si="26"/>
        <v>0</v>
      </c>
      <c r="K553" s="18">
        <f t="shared" si="24"/>
        <v>0</v>
      </c>
      <c r="L553" s="21">
        <f>IF(ISERROR(VLOOKUP($F553,#REF!,6,0)*G553/1000),0,VLOOKUP($F553,#REF!,6,0)*G553/1000)</f>
        <v>0</v>
      </c>
      <c r="M553" s="21">
        <f>IF(ISERROR(VLOOKUP($F553,#REF!,6,0)*H553/1000),0,VLOOKUP($F553,#REF!,6,0)*H553/1000)</f>
        <v>0</v>
      </c>
      <c r="N553" s="21">
        <f>IF(ISERROR(VLOOKUP($F553,#REF!,6,0)*I553/1000),0,VLOOKUP($F553,#REF!,6,0)*I553/1000)</f>
        <v>0</v>
      </c>
      <c r="O553" s="21">
        <f>IF(ISERROR(VLOOKUP($F553,#REF!,6,0)*J553/1000),0,VLOOKUP($F553,#REF!,6,0)*J553/1000)</f>
        <v>0</v>
      </c>
      <c r="P553" s="21">
        <f>IF(ISERROR(VLOOKUP(F553,#REF!,6,0)*K553/1000),0,VLOOKUP(F553,#REF!,6,0)*K553/1000)</f>
        <v>0</v>
      </c>
      <c r="Q553" s="6">
        <f>IF(ISERROR(VLOOKUP(F553,#REF!,3,0)),0,VLOOKUP(F553,#REF!,3,0))</f>
        <v>0</v>
      </c>
      <c r="R553" s="6">
        <f>IF(ISERROR(VLOOKUP(F553,#REF!,4,0)),0,VLOOKUP(F553,#REF!,4,0))</f>
        <v>0</v>
      </c>
      <c r="S553" s="8">
        <f>IF(ISERROR(VLOOKUP(F553,#REF!,4,0)),0,VLOOKUP(F553,#REF!,10,0)/60*K553)</f>
        <v>0</v>
      </c>
      <c r="T553" s="3"/>
      <c r="U553" s="3"/>
      <c r="V553" s="4"/>
    </row>
    <row r="554" spans="1:22" x14ac:dyDescent="0.3">
      <c r="A554" s="5">
        <f t="shared" si="25"/>
        <v>0</v>
      </c>
      <c r="B554" s="6">
        <f t="shared" si="26"/>
        <v>0</v>
      </c>
      <c r="K554" s="18">
        <f t="shared" si="24"/>
        <v>0</v>
      </c>
      <c r="L554" s="21">
        <f>IF(ISERROR(VLOOKUP($F554,#REF!,6,0)*G554/1000),0,VLOOKUP($F554,#REF!,6,0)*G554/1000)</f>
        <v>0</v>
      </c>
      <c r="M554" s="21">
        <f>IF(ISERROR(VLOOKUP($F554,#REF!,6,0)*H554/1000),0,VLOOKUP($F554,#REF!,6,0)*H554/1000)</f>
        <v>0</v>
      </c>
      <c r="N554" s="21">
        <f>IF(ISERROR(VLOOKUP($F554,#REF!,6,0)*I554/1000),0,VLOOKUP($F554,#REF!,6,0)*I554/1000)</f>
        <v>0</v>
      </c>
      <c r="O554" s="21">
        <f>IF(ISERROR(VLOOKUP($F554,#REF!,6,0)*J554/1000),0,VLOOKUP($F554,#REF!,6,0)*J554/1000)</f>
        <v>0</v>
      </c>
      <c r="P554" s="21">
        <f>IF(ISERROR(VLOOKUP(F554,#REF!,6,0)*K554/1000),0,VLOOKUP(F554,#REF!,6,0)*K554/1000)</f>
        <v>0</v>
      </c>
      <c r="Q554" s="6">
        <f>IF(ISERROR(VLOOKUP(F554,#REF!,3,0)),0,VLOOKUP(F554,#REF!,3,0))</f>
        <v>0</v>
      </c>
      <c r="R554" s="6">
        <f>IF(ISERROR(VLOOKUP(F554,#REF!,4,0)),0,VLOOKUP(F554,#REF!,4,0))</f>
        <v>0</v>
      </c>
      <c r="S554" s="8">
        <f>IF(ISERROR(VLOOKUP(F554,#REF!,4,0)),0,VLOOKUP(F554,#REF!,10,0)/60*K554)</f>
        <v>0</v>
      </c>
      <c r="T554" s="3"/>
      <c r="U554" s="3"/>
      <c r="V554" s="4"/>
    </row>
    <row r="555" spans="1:22" x14ac:dyDescent="0.3">
      <c r="A555" s="5">
        <f t="shared" si="25"/>
        <v>0</v>
      </c>
      <c r="B555" s="6">
        <f t="shared" si="26"/>
        <v>0</v>
      </c>
      <c r="K555" s="18">
        <f t="shared" si="24"/>
        <v>0</v>
      </c>
      <c r="L555" s="21">
        <f>IF(ISERROR(VLOOKUP($F555,#REF!,6,0)*G555/1000),0,VLOOKUP($F555,#REF!,6,0)*G555/1000)</f>
        <v>0</v>
      </c>
      <c r="M555" s="21">
        <f>IF(ISERROR(VLOOKUP($F555,#REF!,6,0)*H555/1000),0,VLOOKUP($F555,#REF!,6,0)*H555/1000)</f>
        <v>0</v>
      </c>
      <c r="N555" s="21">
        <f>IF(ISERROR(VLOOKUP($F555,#REF!,6,0)*I555/1000),0,VLOOKUP($F555,#REF!,6,0)*I555/1000)</f>
        <v>0</v>
      </c>
      <c r="O555" s="21">
        <f>IF(ISERROR(VLOOKUP($F555,#REF!,6,0)*J555/1000),0,VLOOKUP($F555,#REF!,6,0)*J555/1000)</f>
        <v>0</v>
      </c>
      <c r="P555" s="21">
        <f>IF(ISERROR(VLOOKUP(F555,#REF!,6,0)*K555/1000),0,VLOOKUP(F555,#REF!,6,0)*K555/1000)</f>
        <v>0</v>
      </c>
      <c r="Q555" s="6">
        <f>IF(ISERROR(VLOOKUP(F555,#REF!,3,0)),0,VLOOKUP(F555,#REF!,3,0))</f>
        <v>0</v>
      </c>
      <c r="R555" s="6">
        <f>IF(ISERROR(VLOOKUP(F555,#REF!,4,0)),0,VLOOKUP(F555,#REF!,4,0))</f>
        <v>0</v>
      </c>
      <c r="S555" s="8">
        <f>IF(ISERROR(VLOOKUP(F555,#REF!,4,0)),0,VLOOKUP(F555,#REF!,10,0)/60*K555)</f>
        <v>0</v>
      </c>
      <c r="T555" s="3"/>
      <c r="U555" s="3"/>
      <c r="V555" s="4"/>
    </row>
    <row r="556" spans="1:22" x14ac:dyDescent="0.3">
      <c r="A556" s="5">
        <f t="shared" si="25"/>
        <v>0</v>
      </c>
      <c r="B556" s="6">
        <f t="shared" si="26"/>
        <v>0</v>
      </c>
      <c r="K556" s="18">
        <f t="shared" si="24"/>
        <v>0</v>
      </c>
      <c r="L556" s="21">
        <f>IF(ISERROR(VLOOKUP($F556,#REF!,6,0)*G556/1000),0,VLOOKUP($F556,#REF!,6,0)*G556/1000)</f>
        <v>0</v>
      </c>
      <c r="M556" s="21">
        <f>IF(ISERROR(VLOOKUP($F556,#REF!,6,0)*H556/1000),0,VLOOKUP($F556,#REF!,6,0)*H556/1000)</f>
        <v>0</v>
      </c>
      <c r="N556" s="21">
        <f>IF(ISERROR(VLOOKUP($F556,#REF!,6,0)*I556/1000),0,VLOOKUP($F556,#REF!,6,0)*I556/1000)</f>
        <v>0</v>
      </c>
      <c r="O556" s="21">
        <f>IF(ISERROR(VLOOKUP($F556,#REF!,6,0)*J556/1000),0,VLOOKUP($F556,#REF!,6,0)*J556/1000)</f>
        <v>0</v>
      </c>
      <c r="P556" s="21">
        <f>IF(ISERROR(VLOOKUP(F556,#REF!,6,0)*K556/1000),0,VLOOKUP(F556,#REF!,6,0)*K556/1000)</f>
        <v>0</v>
      </c>
      <c r="Q556" s="6">
        <f>IF(ISERROR(VLOOKUP(F556,#REF!,3,0)),0,VLOOKUP(F556,#REF!,3,0))</f>
        <v>0</v>
      </c>
      <c r="R556" s="6">
        <f>IF(ISERROR(VLOOKUP(F556,#REF!,4,0)),0,VLOOKUP(F556,#REF!,4,0))</f>
        <v>0</v>
      </c>
      <c r="S556" s="8">
        <f>IF(ISERROR(VLOOKUP(F556,#REF!,4,0)),0,VLOOKUP(F556,#REF!,10,0)/60*K556)</f>
        <v>0</v>
      </c>
      <c r="T556" s="3"/>
      <c r="U556" s="3"/>
      <c r="V556" s="4"/>
    </row>
    <row r="557" spans="1:22" x14ac:dyDescent="0.3">
      <c r="A557" s="5">
        <f t="shared" si="25"/>
        <v>0</v>
      </c>
      <c r="B557" s="6">
        <f t="shared" si="26"/>
        <v>0</v>
      </c>
      <c r="K557" s="18">
        <f t="shared" si="24"/>
        <v>0</v>
      </c>
      <c r="L557" s="21">
        <f>IF(ISERROR(VLOOKUP($F557,#REF!,6,0)*G557/1000),0,VLOOKUP($F557,#REF!,6,0)*G557/1000)</f>
        <v>0</v>
      </c>
      <c r="M557" s="21">
        <f>IF(ISERROR(VLOOKUP($F557,#REF!,6,0)*H557/1000),0,VLOOKUP($F557,#REF!,6,0)*H557/1000)</f>
        <v>0</v>
      </c>
      <c r="N557" s="21">
        <f>IF(ISERROR(VLOOKUP($F557,#REF!,6,0)*I557/1000),0,VLOOKUP($F557,#REF!,6,0)*I557/1000)</f>
        <v>0</v>
      </c>
      <c r="O557" s="21">
        <f>IF(ISERROR(VLOOKUP($F557,#REF!,6,0)*J557/1000),0,VLOOKUP($F557,#REF!,6,0)*J557/1000)</f>
        <v>0</v>
      </c>
      <c r="P557" s="21">
        <f>IF(ISERROR(VLOOKUP(F557,#REF!,6,0)*K557/1000),0,VLOOKUP(F557,#REF!,6,0)*K557/1000)</f>
        <v>0</v>
      </c>
      <c r="Q557" s="6">
        <f>IF(ISERROR(VLOOKUP(F557,#REF!,3,0)),0,VLOOKUP(F557,#REF!,3,0))</f>
        <v>0</v>
      </c>
      <c r="R557" s="6">
        <f>IF(ISERROR(VLOOKUP(F557,#REF!,4,0)),0,VLOOKUP(F557,#REF!,4,0))</f>
        <v>0</v>
      </c>
      <c r="S557" s="8">
        <f>IF(ISERROR(VLOOKUP(F557,#REF!,4,0)),0,VLOOKUP(F557,#REF!,10,0)/60*K557)</f>
        <v>0</v>
      </c>
      <c r="T557" s="3"/>
      <c r="U557" s="3"/>
      <c r="V557" s="4"/>
    </row>
    <row r="558" spans="1:22" x14ac:dyDescent="0.3">
      <c r="A558" s="5">
        <f t="shared" si="25"/>
        <v>0</v>
      </c>
      <c r="B558" s="6">
        <f t="shared" si="26"/>
        <v>0</v>
      </c>
      <c r="K558" s="18">
        <f t="shared" si="24"/>
        <v>0</v>
      </c>
      <c r="L558" s="21">
        <f>IF(ISERROR(VLOOKUP($F558,#REF!,6,0)*G558/1000),0,VLOOKUP($F558,#REF!,6,0)*G558/1000)</f>
        <v>0</v>
      </c>
      <c r="M558" s="21">
        <f>IF(ISERROR(VLOOKUP($F558,#REF!,6,0)*H558/1000),0,VLOOKUP($F558,#REF!,6,0)*H558/1000)</f>
        <v>0</v>
      </c>
      <c r="N558" s="21">
        <f>IF(ISERROR(VLOOKUP($F558,#REF!,6,0)*I558/1000),0,VLOOKUP($F558,#REF!,6,0)*I558/1000)</f>
        <v>0</v>
      </c>
      <c r="O558" s="21">
        <f>IF(ISERROR(VLOOKUP($F558,#REF!,6,0)*J558/1000),0,VLOOKUP($F558,#REF!,6,0)*J558/1000)</f>
        <v>0</v>
      </c>
      <c r="P558" s="21">
        <f>IF(ISERROR(VLOOKUP(F558,#REF!,6,0)*K558/1000),0,VLOOKUP(F558,#REF!,6,0)*K558/1000)</f>
        <v>0</v>
      </c>
      <c r="Q558" s="6">
        <f>IF(ISERROR(VLOOKUP(F558,#REF!,3,0)),0,VLOOKUP(F558,#REF!,3,0))</f>
        <v>0</v>
      </c>
      <c r="R558" s="6">
        <f>IF(ISERROR(VLOOKUP(F558,#REF!,4,0)),0,VLOOKUP(F558,#REF!,4,0))</f>
        <v>0</v>
      </c>
      <c r="S558" s="8">
        <f>IF(ISERROR(VLOOKUP(F558,#REF!,4,0)),0,VLOOKUP(F558,#REF!,10,0)/60*K558)</f>
        <v>0</v>
      </c>
      <c r="T558" s="3"/>
      <c r="U558" s="3"/>
      <c r="V558" s="4"/>
    </row>
    <row r="559" spans="1:22" x14ac:dyDescent="0.3">
      <c r="A559" s="5">
        <f t="shared" si="25"/>
        <v>0</v>
      </c>
      <c r="B559" s="6">
        <f t="shared" si="26"/>
        <v>0</v>
      </c>
      <c r="K559" s="18">
        <f t="shared" si="24"/>
        <v>0</v>
      </c>
      <c r="L559" s="21">
        <f>IF(ISERROR(VLOOKUP($F559,#REF!,6,0)*G559/1000),0,VLOOKUP($F559,#REF!,6,0)*G559/1000)</f>
        <v>0</v>
      </c>
      <c r="M559" s="21">
        <f>IF(ISERROR(VLOOKUP($F559,#REF!,6,0)*H559/1000),0,VLOOKUP($F559,#REF!,6,0)*H559/1000)</f>
        <v>0</v>
      </c>
      <c r="N559" s="21">
        <f>IF(ISERROR(VLOOKUP($F559,#REF!,6,0)*I559/1000),0,VLOOKUP($F559,#REF!,6,0)*I559/1000)</f>
        <v>0</v>
      </c>
      <c r="O559" s="21">
        <f>IF(ISERROR(VLOOKUP($F559,#REF!,6,0)*J559/1000),0,VLOOKUP($F559,#REF!,6,0)*J559/1000)</f>
        <v>0</v>
      </c>
      <c r="P559" s="21">
        <f>IF(ISERROR(VLOOKUP(F559,#REF!,6,0)*K559/1000),0,VLOOKUP(F559,#REF!,6,0)*K559/1000)</f>
        <v>0</v>
      </c>
      <c r="Q559" s="6">
        <f>IF(ISERROR(VLOOKUP(F559,#REF!,3,0)),0,VLOOKUP(F559,#REF!,3,0))</f>
        <v>0</v>
      </c>
      <c r="R559" s="6">
        <f>IF(ISERROR(VLOOKUP(F559,#REF!,4,0)),0,VLOOKUP(F559,#REF!,4,0))</f>
        <v>0</v>
      </c>
      <c r="S559" s="8">
        <f>IF(ISERROR(VLOOKUP(F559,#REF!,4,0)),0,VLOOKUP(F559,#REF!,10,0)/60*K559)</f>
        <v>0</v>
      </c>
      <c r="T559" s="3"/>
      <c r="U559" s="3"/>
      <c r="V559" s="4"/>
    </row>
    <row r="560" spans="1:22" x14ac:dyDescent="0.3">
      <c r="A560" s="5">
        <f t="shared" si="25"/>
        <v>0</v>
      </c>
      <c r="B560" s="6">
        <f t="shared" si="26"/>
        <v>0</v>
      </c>
      <c r="K560" s="18">
        <f t="shared" si="24"/>
        <v>0</v>
      </c>
      <c r="L560" s="21">
        <f>IF(ISERROR(VLOOKUP($F560,#REF!,6,0)*G560/1000),0,VLOOKUP($F560,#REF!,6,0)*G560/1000)</f>
        <v>0</v>
      </c>
      <c r="M560" s="21">
        <f>IF(ISERROR(VLOOKUP($F560,#REF!,6,0)*H560/1000),0,VLOOKUP($F560,#REF!,6,0)*H560/1000)</f>
        <v>0</v>
      </c>
      <c r="N560" s="21">
        <f>IF(ISERROR(VLOOKUP($F560,#REF!,6,0)*I560/1000),0,VLOOKUP($F560,#REF!,6,0)*I560/1000)</f>
        <v>0</v>
      </c>
      <c r="O560" s="21">
        <f>IF(ISERROR(VLOOKUP($F560,#REF!,6,0)*J560/1000),0,VLOOKUP($F560,#REF!,6,0)*J560/1000)</f>
        <v>0</v>
      </c>
      <c r="P560" s="21">
        <f>IF(ISERROR(VLOOKUP(F560,#REF!,6,0)*K560/1000),0,VLOOKUP(F560,#REF!,6,0)*K560/1000)</f>
        <v>0</v>
      </c>
      <c r="Q560" s="6">
        <f>IF(ISERROR(VLOOKUP(F560,#REF!,3,0)),0,VLOOKUP(F560,#REF!,3,0))</f>
        <v>0</v>
      </c>
      <c r="R560" s="6">
        <f>IF(ISERROR(VLOOKUP(F560,#REF!,4,0)),0,VLOOKUP(F560,#REF!,4,0))</f>
        <v>0</v>
      </c>
      <c r="S560" s="8">
        <f>IF(ISERROR(VLOOKUP(F560,#REF!,4,0)),0,VLOOKUP(F560,#REF!,10,0)/60*K560)</f>
        <v>0</v>
      </c>
      <c r="T560" s="3"/>
      <c r="U560" s="3"/>
      <c r="V560" s="4"/>
    </row>
    <row r="561" spans="1:22" x14ac:dyDescent="0.3">
      <c r="A561" s="5">
        <f t="shared" si="25"/>
        <v>0</v>
      </c>
      <c r="B561" s="6">
        <f t="shared" si="26"/>
        <v>0</v>
      </c>
      <c r="K561" s="18">
        <f t="shared" si="24"/>
        <v>0</v>
      </c>
      <c r="L561" s="21">
        <f>IF(ISERROR(VLOOKUP($F561,#REF!,6,0)*G561/1000),0,VLOOKUP($F561,#REF!,6,0)*G561/1000)</f>
        <v>0</v>
      </c>
      <c r="M561" s="21">
        <f>IF(ISERROR(VLOOKUP($F561,#REF!,6,0)*H561/1000),0,VLOOKUP($F561,#REF!,6,0)*H561/1000)</f>
        <v>0</v>
      </c>
      <c r="N561" s="21">
        <f>IF(ISERROR(VLOOKUP($F561,#REF!,6,0)*I561/1000),0,VLOOKUP($F561,#REF!,6,0)*I561/1000)</f>
        <v>0</v>
      </c>
      <c r="O561" s="21">
        <f>IF(ISERROR(VLOOKUP($F561,#REF!,6,0)*J561/1000),0,VLOOKUP($F561,#REF!,6,0)*J561/1000)</f>
        <v>0</v>
      </c>
      <c r="P561" s="21">
        <f>IF(ISERROR(VLOOKUP(F561,#REF!,6,0)*K561/1000),0,VLOOKUP(F561,#REF!,6,0)*K561/1000)</f>
        <v>0</v>
      </c>
      <c r="Q561" s="6">
        <f>IF(ISERROR(VLOOKUP(F561,#REF!,3,0)),0,VLOOKUP(F561,#REF!,3,0))</f>
        <v>0</v>
      </c>
      <c r="R561" s="6">
        <f>IF(ISERROR(VLOOKUP(F561,#REF!,4,0)),0,VLOOKUP(F561,#REF!,4,0))</f>
        <v>0</v>
      </c>
      <c r="S561" s="8">
        <f>IF(ISERROR(VLOOKUP(F561,#REF!,4,0)),0,VLOOKUP(F561,#REF!,10,0)/60*K561)</f>
        <v>0</v>
      </c>
      <c r="T561" s="3"/>
      <c r="U561" s="3"/>
      <c r="V561" s="4"/>
    </row>
    <row r="562" spans="1:22" x14ac:dyDescent="0.3">
      <c r="A562" s="5">
        <f t="shared" si="25"/>
        <v>0</v>
      </c>
      <c r="B562" s="6">
        <f t="shared" si="26"/>
        <v>0</v>
      </c>
      <c r="K562" s="18">
        <f t="shared" si="24"/>
        <v>0</v>
      </c>
      <c r="L562" s="21">
        <f>IF(ISERROR(VLOOKUP($F562,#REF!,6,0)*G562/1000),0,VLOOKUP($F562,#REF!,6,0)*G562/1000)</f>
        <v>0</v>
      </c>
      <c r="M562" s="21">
        <f>IF(ISERROR(VLOOKUP($F562,#REF!,6,0)*H562/1000),0,VLOOKUP($F562,#REF!,6,0)*H562/1000)</f>
        <v>0</v>
      </c>
      <c r="N562" s="21">
        <f>IF(ISERROR(VLOOKUP($F562,#REF!,6,0)*I562/1000),0,VLOOKUP($F562,#REF!,6,0)*I562/1000)</f>
        <v>0</v>
      </c>
      <c r="O562" s="21">
        <f>IF(ISERROR(VLOOKUP($F562,#REF!,6,0)*J562/1000),0,VLOOKUP($F562,#REF!,6,0)*J562/1000)</f>
        <v>0</v>
      </c>
      <c r="P562" s="21">
        <f>IF(ISERROR(VLOOKUP(F562,#REF!,6,0)*K562/1000),0,VLOOKUP(F562,#REF!,6,0)*K562/1000)</f>
        <v>0</v>
      </c>
      <c r="Q562" s="6">
        <f>IF(ISERROR(VLOOKUP(F562,#REF!,3,0)),0,VLOOKUP(F562,#REF!,3,0))</f>
        <v>0</v>
      </c>
      <c r="R562" s="6">
        <f>IF(ISERROR(VLOOKUP(F562,#REF!,4,0)),0,VLOOKUP(F562,#REF!,4,0))</f>
        <v>0</v>
      </c>
      <c r="S562" s="8">
        <f>IF(ISERROR(VLOOKUP(F562,#REF!,4,0)),0,VLOOKUP(F562,#REF!,10,0)/60*K562)</f>
        <v>0</v>
      </c>
      <c r="T562" s="3"/>
      <c r="U562" s="3"/>
      <c r="V562" s="4"/>
    </row>
    <row r="563" spans="1:22" x14ac:dyDescent="0.3">
      <c r="A563" s="5">
        <f t="shared" si="25"/>
        <v>0</v>
      </c>
      <c r="B563" s="6">
        <f t="shared" si="26"/>
        <v>0</v>
      </c>
      <c r="K563" s="18">
        <f t="shared" si="24"/>
        <v>0</v>
      </c>
      <c r="L563" s="21">
        <f>IF(ISERROR(VLOOKUP($F563,#REF!,6,0)*G563/1000),0,VLOOKUP($F563,#REF!,6,0)*G563/1000)</f>
        <v>0</v>
      </c>
      <c r="M563" s="21">
        <f>IF(ISERROR(VLOOKUP($F563,#REF!,6,0)*H563/1000),0,VLOOKUP($F563,#REF!,6,0)*H563/1000)</f>
        <v>0</v>
      </c>
      <c r="N563" s="21">
        <f>IF(ISERROR(VLOOKUP($F563,#REF!,6,0)*I563/1000),0,VLOOKUP($F563,#REF!,6,0)*I563/1000)</f>
        <v>0</v>
      </c>
      <c r="O563" s="21">
        <f>IF(ISERROR(VLOOKUP($F563,#REF!,6,0)*J563/1000),0,VLOOKUP($F563,#REF!,6,0)*J563/1000)</f>
        <v>0</v>
      </c>
      <c r="P563" s="21">
        <f>IF(ISERROR(VLOOKUP(F563,#REF!,6,0)*K563/1000),0,VLOOKUP(F563,#REF!,6,0)*K563/1000)</f>
        <v>0</v>
      </c>
      <c r="Q563" s="6">
        <f>IF(ISERROR(VLOOKUP(F563,#REF!,3,0)),0,VLOOKUP(F563,#REF!,3,0))</f>
        <v>0</v>
      </c>
      <c r="R563" s="6">
        <f>IF(ISERROR(VLOOKUP(F563,#REF!,4,0)),0,VLOOKUP(F563,#REF!,4,0))</f>
        <v>0</v>
      </c>
      <c r="S563" s="8">
        <f>IF(ISERROR(VLOOKUP(F563,#REF!,4,0)),0,VLOOKUP(F563,#REF!,10,0)/60*K563)</f>
        <v>0</v>
      </c>
      <c r="T563" s="3"/>
      <c r="U563" s="3"/>
      <c r="V563" s="4"/>
    </row>
    <row r="564" spans="1:22" x14ac:dyDescent="0.3">
      <c r="A564" s="5">
        <f t="shared" si="25"/>
        <v>0</v>
      </c>
      <c r="B564" s="6">
        <f t="shared" si="26"/>
        <v>0</v>
      </c>
      <c r="K564" s="18">
        <f t="shared" si="24"/>
        <v>0</v>
      </c>
      <c r="L564" s="21">
        <f>IF(ISERROR(VLOOKUP($F564,#REF!,6,0)*G564/1000),0,VLOOKUP($F564,#REF!,6,0)*G564/1000)</f>
        <v>0</v>
      </c>
      <c r="M564" s="21">
        <f>IF(ISERROR(VLOOKUP($F564,#REF!,6,0)*H564/1000),0,VLOOKUP($F564,#REF!,6,0)*H564/1000)</f>
        <v>0</v>
      </c>
      <c r="N564" s="21">
        <f>IF(ISERROR(VLOOKUP($F564,#REF!,6,0)*I564/1000),0,VLOOKUP($F564,#REF!,6,0)*I564/1000)</f>
        <v>0</v>
      </c>
      <c r="O564" s="21">
        <f>IF(ISERROR(VLOOKUP($F564,#REF!,6,0)*J564/1000),0,VLOOKUP($F564,#REF!,6,0)*J564/1000)</f>
        <v>0</v>
      </c>
      <c r="P564" s="21">
        <f>IF(ISERROR(VLOOKUP(F564,#REF!,6,0)*K564/1000),0,VLOOKUP(F564,#REF!,6,0)*K564/1000)</f>
        <v>0</v>
      </c>
      <c r="Q564" s="6">
        <f>IF(ISERROR(VLOOKUP(F564,#REF!,3,0)),0,VLOOKUP(F564,#REF!,3,0))</f>
        <v>0</v>
      </c>
      <c r="R564" s="6">
        <f>IF(ISERROR(VLOOKUP(F564,#REF!,4,0)),0,VLOOKUP(F564,#REF!,4,0))</f>
        <v>0</v>
      </c>
      <c r="S564" s="8">
        <f>IF(ISERROR(VLOOKUP(F564,#REF!,4,0)),0,VLOOKUP(F564,#REF!,10,0)/60*K564)</f>
        <v>0</v>
      </c>
      <c r="T564" s="3"/>
      <c r="U564" s="3"/>
      <c r="V564" s="4"/>
    </row>
    <row r="565" spans="1:22" x14ac:dyDescent="0.3">
      <c r="A565" s="5">
        <f t="shared" si="25"/>
        <v>0</v>
      </c>
      <c r="B565" s="6">
        <f t="shared" si="26"/>
        <v>0</v>
      </c>
      <c r="K565" s="18">
        <f t="shared" si="24"/>
        <v>0</v>
      </c>
      <c r="L565" s="21">
        <f>IF(ISERROR(VLOOKUP($F565,#REF!,6,0)*G565/1000),0,VLOOKUP($F565,#REF!,6,0)*G565/1000)</f>
        <v>0</v>
      </c>
      <c r="M565" s="21">
        <f>IF(ISERROR(VLOOKUP($F565,#REF!,6,0)*H565/1000),0,VLOOKUP($F565,#REF!,6,0)*H565/1000)</f>
        <v>0</v>
      </c>
      <c r="N565" s="21">
        <f>IF(ISERROR(VLOOKUP($F565,#REF!,6,0)*I565/1000),0,VLOOKUP($F565,#REF!,6,0)*I565/1000)</f>
        <v>0</v>
      </c>
      <c r="O565" s="21">
        <f>IF(ISERROR(VLOOKUP($F565,#REF!,6,0)*J565/1000),0,VLOOKUP($F565,#REF!,6,0)*J565/1000)</f>
        <v>0</v>
      </c>
      <c r="P565" s="21">
        <f>IF(ISERROR(VLOOKUP(F565,#REF!,6,0)*K565/1000),0,VLOOKUP(F565,#REF!,6,0)*K565/1000)</f>
        <v>0</v>
      </c>
      <c r="Q565" s="6">
        <f>IF(ISERROR(VLOOKUP(F565,#REF!,3,0)),0,VLOOKUP(F565,#REF!,3,0))</f>
        <v>0</v>
      </c>
      <c r="R565" s="6">
        <f>IF(ISERROR(VLOOKUP(F565,#REF!,4,0)),0,VLOOKUP(F565,#REF!,4,0))</f>
        <v>0</v>
      </c>
      <c r="S565" s="8">
        <f>IF(ISERROR(VLOOKUP(F565,#REF!,4,0)),0,VLOOKUP(F565,#REF!,10,0)/60*K565)</f>
        <v>0</v>
      </c>
      <c r="T565" s="3"/>
      <c r="U565" s="3"/>
      <c r="V565" s="4"/>
    </row>
    <row r="566" spans="1:22" x14ac:dyDescent="0.3">
      <c r="A566" s="5">
        <f t="shared" si="25"/>
        <v>0</v>
      </c>
      <c r="B566" s="6">
        <f t="shared" si="26"/>
        <v>0</v>
      </c>
      <c r="K566" s="18">
        <f t="shared" si="24"/>
        <v>0</v>
      </c>
      <c r="L566" s="21">
        <f>IF(ISERROR(VLOOKUP($F566,#REF!,6,0)*G566/1000),0,VLOOKUP($F566,#REF!,6,0)*G566/1000)</f>
        <v>0</v>
      </c>
      <c r="M566" s="21">
        <f>IF(ISERROR(VLOOKUP($F566,#REF!,6,0)*H566/1000),0,VLOOKUP($F566,#REF!,6,0)*H566/1000)</f>
        <v>0</v>
      </c>
      <c r="N566" s="21">
        <f>IF(ISERROR(VLOOKUP($F566,#REF!,6,0)*I566/1000),0,VLOOKUP($F566,#REF!,6,0)*I566/1000)</f>
        <v>0</v>
      </c>
      <c r="O566" s="21">
        <f>IF(ISERROR(VLOOKUP($F566,#REF!,6,0)*J566/1000),0,VLOOKUP($F566,#REF!,6,0)*J566/1000)</f>
        <v>0</v>
      </c>
      <c r="P566" s="21">
        <f>IF(ISERROR(VLOOKUP(F566,#REF!,6,0)*K566/1000),0,VLOOKUP(F566,#REF!,6,0)*K566/1000)</f>
        <v>0</v>
      </c>
      <c r="Q566" s="6">
        <f>IF(ISERROR(VLOOKUP(F566,#REF!,3,0)),0,VLOOKUP(F566,#REF!,3,0))</f>
        <v>0</v>
      </c>
      <c r="R566" s="6">
        <f>IF(ISERROR(VLOOKUP(F566,#REF!,4,0)),0,VLOOKUP(F566,#REF!,4,0))</f>
        <v>0</v>
      </c>
      <c r="S566" s="8">
        <f>IF(ISERROR(VLOOKUP(F566,#REF!,4,0)),0,VLOOKUP(F566,#REF!,10,0)/60*K566)</f>
        <v>0</v>
      </c>
      <c r="T566" s="3"/>
      <c r="U566" s="3"/>
      <c r="V566" s="4"/>
    </row>
    <row r="567" spans="1:22" x14ac:dyDescent="0.3">
      <c r="A567" s="5">
        <f t="shared" si="25"/>
        <v>0</v>
      </c>
      <c r="B567" s="6">
        <f t="shared" si="26"/>
        <v>0</v>
      </c>
      <c r="K567" s="18">
        <f t="shared" si="24"/>
        <v>0</v>
      </c>
      <c r="L567" s="21">
        <f>IF(ISERROR(VLOOKUP($F567,#REF!,6,0)*G567/1000),0,VLOOKUP($F567,#REF!,6,0)*G567/1000)</f>
        <v>0</v>
      </c>
      <c r="M567" s="21">
        <f>IF(ISERROR(VLOOKUP($F567,#REF!,6,0)*H567/1000),0,VLOOKUP($F567,#REF!,6,0)*H567/1000)</f>
        <v>0</v>
      </c>
      <c r="N567" s="21">
        <f>IF(ISERROR(VLOOKUP($F567,#REF!,6,0)*I567/1000),0,VLOOKUP($F567,#REF!,6,0)*I567/1000)</f>
        <v>0</v>
      </c>
      <c r="O567" s="21">
        <f>IF(ISERROR(VLOOKUP($F567,#REF!,6,0)*J567/1000),0,VLOOKUP($F567,#REF!,6,0)*J567/1000)</f>
        <v>0</v>
      </c>
      <c r="P567" s="21">
        <f>IF(ISERROR(VLOOKUP(F567,#REF!,6,0)*K567/1000),0,VLOOKUP(F567,#REF!,6,0)*K567/1000)</f>
        <v>0</v>
      </c>
      <c r="Q567" s="6">
        <f>IF(ISERROR(VLOOKUP(F567,#REF!,3,0)),0,VLOOKUP(F567,#REF!,3,0))</f>
        <v>0</v>
      </c>
      <c r="R567" s="6">
        <f>IF(ISERROR(VLOOKUP(F567,#REF!,4,0)),0,VLOOKUP(F567,#REF!,4,0))</f>
        <v>0</v>
      </c>
      <c r="S567" s="8">
        <f>IF(ISERROR(VLOOKUP(F567,#REF!,4,0)),0,VLOOKUP(F567,#REF!,10,0)/60*K567)</f>
        <v>0</v>
      </c>
      <c r="T567" s="3"/>
      <c r="U567" s="3"/>
      <c r="V567" s="4"/>
    </row>
    <row r="568" spans="1:22" x14ac:dyDescent="0.3">
      <c r="A568" s="5">
        <f t="shared" si="25"/>
        <v>0</v>
      </c>
      <c r="B568" s="6">
        <f t="shared" si="26"/>
        <v>0</v>
      </c>
      <c r="K568" s="18">
        <f t="shared" si="24"/>
        <v>0</v>
      </c>
      <c r="L568" s="21">
        <f>IF(ISERROR(VLOOKUP($F568,#REF!,6,0)*G568/1000),0,VLOOKUP($F568,#REF!,6,0)*G568/1000)</f>
        <v>0</v>
      </c>
      <c r="M568" s="21">
        <f>IF(ISERROR(VLOOKUP($F568,#REF!,6,0)*H568/1000),0,VLOOKUP($F568,#REF!,6,0)*H568/1000)</f>
        <v>0</v>
      </c>
      <c r="N568" s="21">
        <f>IF(ISERROR(VLOOKUP($F568,#REF!,6,0)*I568/1000),0,VLOOKUP($F568,#REF!,6,0)*I568/1000)</f>
        <v>0</v>
      </c>
      <c r="O568" s="21">
        <f>IF(ISERROR(VLOOKUP($F568,#REF!,6,0)*J568/1000),0,VLOOKUP($F568,#REF!,6,0)*J568/1000)</f>
        <v>0</v>
      </c>
      <c r="P568" s="21">
        <f>IF(ISERROR(VLOOKUP(F568,#REF!,6,0)*K568/1000),0,VLOOKUP(F568,#REF!,6,0)*K568/1000)</f>
        <v>0</v>
      </c>
      <c r="Q568" s="6">
        <f>IF(ISERROR(VLOOKUP(F568,#REF!,3,0)),0,VLOOKUP(F568,#REF!,3,0))</f>
        <v>0</v>
      </c>
      <c r="R568" s="6">
        <f>IF(ISERROR(VLOOKUP(F568,#REF!,4,0)),0,VLOOKUP(F568,#REF!,4,0))</f>
        <v>0</v>
      </c>
      <c r="S568" s="8">
        <f>IF(ISERROR(VLOOKUP(F568,#REF!,4,0)),0,VLOOKUP(F568,#REF!,10,0)/60*K568)</f>
        <v>0</v>
      </c>
      <c r="T568" s="3"/>
      <c r="U568" s="3"/>
      <c r="V568" s="4"/>
    </row>
    <row r="569" spans="1:22" x14ac:dyDescent="0.3">
      <c r="A569" s="5">
        <f t="shared" si="25"/>
        <v>0</v>
      </c>
      <c r="B569" s="6">
        <f t="shared" si="26"/>
        <v>0</v>
      </c>
      <c r="K569" s="18">
        <f t="shared" si="24"/>
        <v>0</v>
      </c>
      <c r="L569" s="21">
        <f>IF(ISERROR(VLOOKUP($F569,#REF!,6,0)*G569/1000),0,VLOOKUP($F569,#REF!,6,0)*G569/1000)</f>
        <v>0</v>
      </c>
      <c r="M569" s="21">
        <f>IF(ISERROR(VLOOKUP($F569,#REF!,6,0)*H569/1000),0,VLOOKUP($F569,#REF!,6,0)*H569/1000)</f>
        <v>0</v>
      </c>
      <c r="N569" s="21">
        <f>IF(ISERROR(VLOOKUP($F569,#REF!,6,0)*I569/1000),0,VLOOKUP($F569,#REF!,6,0)*I569/1000)</f>
        <v>0</v>
      </c>
      <c r="O569" s="21">
        <f>IF(ISERROR(VLOOKUP($F569,#REF!,6,0)*J569/1000),0,VLOOKUP($F569,#REF!,6,0)*J569/1000)</f>
        <v>0</v>
      </c>
      <c r="P569" s="21">
        <f>IF(ISERROR(VLOOKUP(F569,#REF!,6,0)*K569/1000),0,VLOOKUP(F569,#REF!,6,0)*K569/1000)</f>
        <v>0</v>
      </c>
      <c r="Q569" s="6">
        <f>IF(ISERROR(VLOOKUP(F569,#REF!,3,0)),0,VLOOKUP(F569,#REF!,3,0))</f>
        <v>0</v>
      </c>
      <c r="R569" s="6">
        <f>IF(ISERROR(VLOOKUP(F569,#REF!,4,0)),0,VLOOKUP(F569,#REF!,4,0))</f>
        <v>0</v>
      </c>
      <c r="S569" s="8">
        <f>IF(ISERROR(VLOOKUP(F569,#REF!,4,0)),0,VLOOKUP(F569,#REF!,10,0)/60*K569)</f>
        <v>0</v>
      </c>
      <c r="T569" s="3"/>
      <c r="U569" s="3"/>
      <c r="V569" s="4"/>
    </row>
    <row r="570" spans="1:22" x14ac:dyDescent="0.3">
      <c r="A570" s="5">
        <f t="shared" si="25"/>
        <v>0</v>
      </c>
      <c r="B570" s="6">
        <f t="shared" si="26"/>
        <v>0</v>
      </c>
      <c r="K570" s="18">
        <f t="shared" si="24"/>
        <v>0</v>
      </c>
      <c r="L570" s="21">
        <f>IF(ISERROR(VLOOKUP($F570,#REF!,6,0)*G570/1000),0,VLOOKUP($F570,#REF!,6,0)*G570/1000)</f>
        <v>0</v>
      </c>
      <c r="M570" s="21">
        <f>IF(ISERROR(VLOOKUP($F570,#REF!,6,0)*H570/1000),0,VLOOKUP($F570,#REF!,6,0)*H570/1000)</f>
        <v>0</v>
      </c>
      <c r="N570" s="21">
        <f>IF(ISERROR(VLOOKUP($F570,#REF!,6,0)*I570/1000),0,VLOOKUP($F570,#REF!,6,0)*I570/1000)</f>
        <v>0</v>
      </c>
      <c r="O570" s="21">
        <f>IF(ISERROR(VLOOKUP($F570,#REF!,6,0)*J570/1000),0,VLOOKUP($F570,#REF!,6,0)*J570/1000)</f>
        <v>0</v>
      </c>
      <c r="P570" s="21">
        <f>IF(ISERROR(VLOOKUP(F570,#REF!,6,0)*K570/1000),0,VLOOKUP(F570,#REF!,6,0)*K570/1000)</f>
        <v>0</v>
      </c>
      <c r="Q570" s="6">
        <f>IF(ISERROR(VLOOKUP(F570,#REF!,3,0)),0,VLOOKUP(F570,#REF!,3,0))</f>
        <v>0</v>
      </c>
      <c r="R570" s="6">
        <f>IF(ISERROR(VLOOKUP(F570,#REF!,4,0)),0,VLOOKUP(F570,#REF!,4,0))</f>
        <v>0</v>
      </c>
      <c r="S570" s="8">
        <f>IF(ISERROR(VLOOKUP(F570,#REF!,4,0)),0,VLOOKUP(F570,#REF!,10,0)/60*K570)</f>
        <v>0</v>
      </c>
      <c r="T570" s="3"/>
      <c r="U570" s="3"/>
      <c r="V570" s="4"/>
    </row>
    <row r="571" spans="1:22" x14ac:dyDescent="0.3">
      <c r="A571" s="5">
        <f t="shared" si="25"/>
        <v>0</v>
      </c>
      <c r="B571" s="6">
        <f t="shared" si="26"/>
        <v>0</v>
      </c>
      <c r="K571" s="18">
        <f t="shared" si="24"/>
        <v>0</v>
      </c>
      <c r="L571" s="21">
        <f>IF(ISERROR(VLOOKUP($F571,#REF!,6,0)*G571/1000),0,VLOOKUP($F571,#REF!,6,0)*G571/1000)</f>
        <v>0</v>
      </c>
      <c r="M571" s="21">
        <f>IF(ISERROR(VLOOKUP($F571,#REF!,6,0)*H571/1000),0,VLOOKUP($F571,#REF!,6,0)*H571/1000)</f>
        <v>0</v>
      </c>
      <c r="N571" s="21">
        <f>IF(ISERROR(VLOOKUP($F571,#REF!,6,0)*I571/1000),0,VLOOKUP($F571,#REF!,6,0)*I571/1000)</f>
        <v>0</v>
      </c>
      <c r="O571" s="21">
        <f>IF(ISERROR(VLOOKUP($F571,#REF!,6,0)*J571/1000),0,VLOOKUP($F571,#REF!,6,0)*J571/1000)</f>
        <v>0</v>
      </c>
      <c r="P571" s="21">
        <f>IF(ISERROR(VLOOKUP(F571,#REF!,6,0)*K571/1000),0,VLOOKUP(F571,#REF!,6,0)*K571/1000)</f>
        <v>0</v>
      </c>
      <c r="Q571" s="6">
        <f>IF(ISERROR(VLOOKUP(F571,#REF!,3,0)),0,VLOOKUP(F571,#REF!,3,0))</f>
        <v>0</v>
      </c>
      <c r="R571" s="6">
        <f>IF(ISERROR(VLOOKUP(F571,#REF!,4,0)),0,VLOOKUP(F571,#REF!,4,0))</f>
        <v>0</v>
      </c>
      <c r="S571" s="8">
        <f>IF(ISERROR(VLOOKUP(F571,#REF!,4,0)),0,VLOOKUP(F571,#REF!,10,0)/60*K571)</f>
        <v>0</v>
      </c>
      <c r="T571" s="3"/>
      <c r="U571" s="3"/>
      <c r="V571" s="4"/>
    </row>
    <row r="572" spans="1:22" x14ac:dyDescent="0.3">
      <c r="A572" s="5">
        <f t="shared" si="25"/>
        <v>0</v>
      </c>
      <c r="B572" s="6">
        <f t="shared" si="26"/>
        <v>0</v>
      </c>
      <c r="K572" s="18">
        <f t="shared" si="24"/>
        <v>0</v>
      </c>
      <c r="L572" s="21">
        <f>IF(ISERROR(VLOOKUP($F572,#REF!,6,0)*G572/1000),0,VLOOKUP($F572,#REF!,6,0)*G572/1000)</f>
        <v>0</v>
      </c>
      <c r="M572" s="21">
        <f>IF(ISERROR(VLOOKUP($F572,#REF!,6,0)*H572/1000),0,VLOOKUP($F572,#REF!,6,0)*H572/1000)</f>
        <v>0</v>
      </c>
      <c r="N572" s="21">
        <f>IF(ISERROR(VLOOKUP($F572,#REF!,6,0)*I572/1000),0,VLOOKUP($F572,#REF!,6,0)*I572/1000)</f>
        <v>0</v>
      </c>
      <c r="O572" s="21">
        <f>IF(ISERROR(VLOOKUP($F572,#REF!,6,0)*J572/1000),0,VLOOKUP($F572,#REF!,6,0)*J572/1000)</f>
        <v>0</v>
      </c>
      <c r="P572" s="21">
        <f>IF(ISERROR(VLOOKUP(F572,#REF!,6,0)*K572/1000),0,VLOOKUP(F572,#REF!,6,0)*K572/1000)</f>
        <v>0</v>
      </c>
      <c r="Q572" s="6">
        <f>IF(ISERROR(VLOOKUP(F572,#REF!,3,0)),0,VLOOKUP(F572,#REF!,3,0))</f>
        <v>0</v>
      </c>
      <c r="R572" s="6">
        <f>IF(ISERROR(VLOOKUP(F572,#REF!,4,0)),0,VLOOKUP(F572,#REF!,4,0))</f>
        <v>0</v>
      </c>
      <c r="S572" s="8">
        <f>IF(ISERROR(VLOOKUP(F572,#REF!,4,0)),0,VLOOKUP(F572,#REF!,10,0)/60*K572)</f>
        <v>0</v>
      </c>
      <c r="T572" s="3"/>
      <c r="U572" s="3"/>
      <c r="V572" s="4"/>
    </row>
    <row r="573" spans="1:22" x14ac:dyDescent="0.3">
      <c r="A573" s="5">
        <f t="shared" si="25"/>
        <v>0</v>
      </c>
      <c r="B573" s="6">
        <f t="shared" si="26"/>
        <v>0</v>
      </c>
      <c r="K573" s="18">
        <f t="shared" si="24"/>
        <v>0</v>
      </c>
      <c r="L573" s="21">
        <f>IF(ISERROR(VLOOKUP($F573,#REF!,6,0)*G573/1000),0,VLOOKUP($F573,#REF!,6,0)*G573/1000)</f>
        <v>0</v>
      </c>
      <c r="M573" s="21">
        <f>IF(ISERROR(VLOOKUP($F573,#REF!,6,0)*H573/1000),0,VLOOKUP($F573,#REF!,6,0)*H573/1000)</f>
        <v>0</v>
      </c>
      <c r="N573" s="21">
        <f>IF(ISERROR(VLOOKUP($F573,#REF!,6,0)*I573/1000),0,VLOOKUP($F573,#REF!,6,0)*I573/1000)</f>
        <v>0</v>
      </c>
      <c r="O573" s="21">
        <f>IF(ISERROR(VLOOKUP($F573,#REF!,6,0)*J573/1000),0,VLOOKUP($F573,#REF!,6,0)*J573/1000)</f>
        <v>0</v>
      </c>
      <c r="P573" s="21">
        <f>IF(ISERROR(VLOOKUP(F573,#REF!,6,0)*K573/1000),0,VLOOKUP(F573,#REF!,6,0)*K573/1000)</f>
        <v>0</v>
      </c>
      <c r="Q573" s="6">
        <f>IF(ISERROR(VLOOKUP(F573,#REF!,3,0)),0,VLOOKUP(F573,#REF!,3,0))</f>
        <v>0</v>
      </c>
      <c r="R573" s="6">
        <f>IF(ISERROR(VLOOKUP(F573,#REF!,4,0)),0,VLOOKUP(F573,#REF!,4,0))</f>
        <v>0</v>
      </c>
      <c r="S573" s="8">
        <f>IF(ISERROR(VLOOKUP(F573,#REF!,4,0)),0,VLOOKUP(F573,#REF!,10,0)/60*K573)</f>
        <v>0</v>
      </c>
      <c r="T573" s="3"/>
      <c r="U573" s="3"/>
      <c r="V573" s="4"/>
    </row>
    <row r="574" spans="1:22" x14ac:dyDescent="0.3">
      <c r="A574" s="5">
        <f t="shared" si="25"/>
        <v>0</v>
      </c>
      <c r="B574" s="6">
        <f t="shared" si="26"/>
        <v>0</v>
      </c>
      <c r="K574" s="18">
        <f t="shared" si="24"/>
        <v>0</v>
      </c>
      <c r="L574" s="21">
        <f>IF(ISERROR(VLOOKUP($F574,#REF!,6,0)*G574/1000),0,VLOOKUP($F574,#REF!,6,0)*G574/1000)</f>
        <v>0</v>
      </c>
      <c r="M574" s="21">
        <f>IF(ISERROR(VLOOKUP($F574,#REF!,6,0)*H574/1000),0,VLOOKUP($F574,#REF!,6,0)*H574/1000)</f>
        <v>0</v>
      </c>
      <c r="N574" s="21">
        <f>IF(ISERROR(VLOOKUP($F574,#REF!,6,0)*I574/1000),0,VLOOKUP($F574,#REF!,6,0)*I574/1000)</f>
        <v>0</v>
      </c>
      <c r="O574" s="21">
        <f>IF(ISERROR(VLOOKUP($F574,#REF!,6,0)*J574/1000),0,VLOOKUP($F574,#REF!,6,0)*J574/1000)</f>
        <v>0</v>
      </c>
      <c r="P574" s="21">
        <f>IF(ISERROR(VLOOKUP(F574,#REF!,6,0)*K574/1000),0,VLOOKUP(F574,#REF!,6,0)*K574/1000)</f>
        <v>0</v>
      </c>
      <c r="Q574" s="6">
        <f>IF(ISERROR(VLOOKUP(F574,#REF!,3,0)),0,VLOOKUP(F574,#REF!,3,0))</f>
        <v>0</v>
      </c>
      <c r="R574" s="6">
        <f>IF(ISERROR(VLOOKUP(F574,#REF!,4,0)),0,VLOOKUP(F574,#REF!,4,0))</f>
        <v>0</v>
      </c>
      <c r="S574" s="8">
        <f>IF(ISERROR(VLOOKUP(F574,#REF!,4,0)),0,VLOOKUP(F574,#REF!,10,0)/60*K574)</f>
        <v>0</v>
      </c>
      <c r="T574" s="3"/>
      <c r="U574" s="3"/>
      <c r="V574" s="4"/>
    </row>
    <row r="575" spans="1:22" x14ac:dyDescent="0.3">
      <c r="A575" s="5">
        <f t="shared" si="25"/>
        <v>0</v>
      </c>
      <c r="B575" s="6">
        <f t="shared" si="26"/>
        <v>0</v>
      </c>
      <c r="K575" s="18">
        <f t="shared" si="24"/>
        <v>0</v>
      </c>
      <c r="L575" s="21">
        <f>IF(ISERROR(VLOOKUP($F575,#REF!,6,0)*G575/1000),0,VLOOKUP($F575,#REF!,6,0)*G575/1000)</f>
        <v>0</v>
      </c>
      <c r="M575" s="21">
        <f>IF(ISERROR(VLOOKUP($F575,#REF!,6,0)*H575/1000),0,VLOOKUP($F575,#REF!,6,0)*H575/1000)</f>
        <v>0</v>
      </c>
      <c r="N575" s="21">
        <f>IF(ISERROR(VLOOKUP($F575,#REF!,6,0)*I575/1000),0,VLOOKUP($F575,#REF!,6,0)*I575/1000)</f>
        <v>0</v>
      </c>
      <c r="O575" s="21">
        <f>IF(ISERROR(VLOOKUP($F575,#REF!,6,0)*J575/1000),0,VLOOKUP($F575,#REF!,6,0)*J575/1000)</f>
        <v>0</v>
      </c>
      <c r="P575" s="21">
        <f>IF(ISERROR(VLOOKUP(F575,#REF!,6,0)*K575/1000),0,VLOOKUP(F575,#REF!,6,0)*K575/1000)</f>
        <v>0</v>
      </c>
      <c r="Q575" s="6">
        <f>IF(ISERROR(VLOOKUP(F575,#REF!,3,0)),0,VLOOKUP(F575,#REF!,3,0))</f>
        <v>0</v>
      </c>
      <c r="R575" s="6">
        <f>IF(ISERROR(VLOOKUP(F575,#REF!,4,0)),0,VLOOKUP(F575,#REF!,4,0))</f>
        <v>0</v>
      </c>
      <c r="S575" s="8">
        <f>IF(ISERROR(VLOOKUP(F575,#REF!,4,0)),0,VLOOKUP(F575,#REF!,10,0)/60*K575)</f>
        <v>0</v>
      </c>
      <c r="T575" s="3"/>
      <c r="U575" s="3"/>
      <c r="V575" s="4"/>
    </row>
    <row r="576" spans="1:22" x14ac:dyDescent="0.3">
      <c r="A576" s="5">
        <f t="shared" si="25"/>
        <v>0</v>
      </c>
      <c r="B576" s="6">
        <f t="shared" si="26"/>
        <v>0</v>
      </c>
      <c r="K576" s="18">
        <f t="shared" si="24"/>
        <v>0</v>
      </c>
      <c r="L576" s="21">
        <f>IF(ISERROR(VLOOKUP($F576,#REF!,6,0)*G576/1000),0,VLOOKUP($F576,#REF!,6,0)*G576/1000)</f>
        <v>0</v>
      </c>
      <c r="M576" s="21">
        <f>IF(ISERROR(VLOOKUP($F576,#REF!,6,0)*H576/1000),0,VLOOKUP($F576,#REF!,6,0)*H576/1000)</f>
        <v>0</v>
      </c>
      <c r="N576" s="21">
        <f>IF(ISERROR(VLOOKUP($F576,#REF!,6,0)*I576/1000),0,VLOOKUP($F576,#REF!,6,0)*I576/1000)</f>
        <v>0</v>
      </c>
      <c r="O576" s="21">
        <f>IF(ISERROR(VLOOKUP($F576,#REF!,6,0)*J576/1000),0,VLOOKUP($F576,#REF!,6,0)*J576/1000)</f>
        <v>0</v>
      </c>
      <c r="P576" s="21">
        <f>IF(ISERROR(VLOOKUP(F576,#REF!,6,0)*K576/1000),0,VLOOKUP(F576,#REF!,6,0)*K576/1000)</f>
        <v>0</v>
      </c>
      <c r="Q576" s="6">
        <f>IF(ISERROR(VLOOKUP(F576,#REF!,3,0)),0,VLOOKUP(F576,#REF!,3,0))</f>
        <v>0</v>
      </c>
      <c r="R576" s="6">
        <f>IF(ISERROR(VLOOKUP(F576,#REF!,4,0)),0,VLOOKUP(F576,#REF!,4,0))</f>
        <v>0</v>
      </c>
      <c r="S576" s="8">
        <f>IF(ISERROR(VLOOKUP(F576,#REF!,4,0)),0,VLOOKUP(F576,#REF!,10,0)/60*K576)</f>
        <v>0</v>
      </c>
      <c r="T576" s="3"/>
      <c r="U576" s="3"/>
      <c r="V576" s="4"/>
    </row>
    <row r="577" spans="1:22" x14ac:dyDescent="0.3">
      <c r="A577" s="5">
        <f t="shared" si="25"/>
        <v>0</v>
      </c>
      <c r="B577" s="6">
        <f t="shared" si="26"/>
        <v>0</v>
      </c>
      <c r="K577" s="18">
        <f t="shared" si="24"/>
        <v>0</v>
      </c>
      <c r="L577" s="21">
        <f>IF(ISERROR(VLOOKUP($F577,#REF!,6,0)*G577/1000),0,VLOOKUP($F577,#REF!,6,0)*G577/1000)</f>
        <v>0</v>
      </c>
      <c r="M577" s="21">
        <f>IF(ISERROR(VLOOKUP($F577,#REF!,6,0)*H577/1000),0,VLOOKUP($F577,#REF!,6,0)*H577/1000)</f>
        <v>0</v>
      </c>
      <c r="N577" s="21">
        <f>IF(ISERROR(VLOOKUP($F577,#REF!,6,0)*I577/1000),0,VLOOKUP($F577,#REF!,6,0)*I577/1000)</f>
        <v>0</v>
      </c>
      <c r="O577" s="21">
        <f>IF(ISERROR(VLOOKUP($F577,#REF!,6,0)*J577/1000),0,VLOOKUP($F577,#REF!,6,0)*J577/1000)</f>
        <v>0</v>
      </c>
      <c r="P577" s="21">
        <f>IF(ISERROR(VLOOKUP(F577,#REF!,6,0)*K577/1000),0,VLOOKUP(F577,#REF!,6,0)*K577/1000)</f>
        <v>0</v>
      </c>
      <c r="Q577" s="6">
        <f>IF(ISERROR(VLOOKUP(F577,#REF!,3,0)),0,VLOOKUP(F577,#REF!,3,0))</f>
        <v>0</v>
      </c>
      <c r="R577" s="6">
        <f>IF(ISERROR(VLOOKUP(F577,#REF!,4,0)),0,VLOOKUP(F577,#REF!,4,0))</f>
        <v>0</v>
      </c>
      <c r="S577" s="8">
        <f>IF(ISERROR(VLOOKUP(F577,#REF!,4,0)),0,VLOOKUP(F577,#REF!,10,0)/60*K577)</f>
        <v>0</v>
      </c>
      <c r="T577" s="3"/>
      <c r="U577" s="3"/>
      <c r="V577" s="4"/>
    </row>
    <row r="578" spans="1:22" x14ac:dyDescent="0.3">
      <c r="A578" s="5">
        <f t="shared" si="25"/>
        <v>0</v>
      </c>
      <c r="B578" s="6">
        <f t="shared" si="26"/>
        <v>0</v>
      </c>
      <c r="K578" s="18">
        <f t="shared" si="24"/>
        <v>0</v>
      </c>
      <c r="L578" s="21">
        <f>IF(ISERROR(VLOOKUP($F578,#REF!,6,0)*G578/1000),0,VLOOKUP($F578,#REF!,6,0)*G578/1000)</f>
        <v>0</v>
      </c>
      <c r="M578" s="21">
        <f>IF(ISERROR(VLOOKUP($F578,#REF!,6,0)*H578/1000),0,VLOOKUP($F578,#REF!,6,0)*H578/1000)</f>
        <v>0</v>
      </c>
      <c r="N578" s="21">
        <f>IF(ISERROR(VLOOKUP($F578,#REF!,6,0)*I578/1000),0,VLOOKUP($F578,#REF!,6,0)*I578/1000)</f>
        <v>0</v>
      </c>
      <c r="O578" s="21">
        <f>IF(ISERROR(VLOOKUP($F578,#REF!,6,0)*J578/1000),0,VLOOKUP($F578,#REF!,6,0)*J578/1000)</f>
        <v>0</v>
      </c>
      <c r="P578" s="21">
        <f>IF(ISERROR(VLOOKUP(F578,#REF!,6,0)*K578/1000),0,VLOOKUP(F578,#REF!,6,0)*K578/1000)</f>
        <v>0</v>
      </c>
      <c r="Q578" s="6">
        <f>IF(ISERROR(VLOOKUP(F578,#REF!,3,0)),0,VLOOKUP(F578,#REF!,3,0))</f>
        <v>0</v>
      </c>
      <c r="R578" s="6">
        <f>IF(ISERROR(VLOOKUP(F578,#REF!,4,0)),0,VLOOKUP(F578,#REF!,4,0))</f>
        <v>0</v>
      </c>
      <c r="S578" s="8">
        <f>IF(ISERROR(VLOOKUP(F578,#REF!,4,0)),0,VLOOKUP(F578,#REF!,10,0)/60*K578)</f>
        <v>0</v>
      </c>
      <c r="T578" s="3"/>
      <c r="U578" s="3"/>
      <c r="V578" s="4"/>
    </row>
    <row r="579" spans="1:22" x14ac:dyDescent="0.3">
      <c r="A579" s="5">
        <f t="shared" si="25"/>
        <v>0</v>
      </c>
      <c r="B579" s="6">
        <f t="shared" si="26"/>
        <v>0</v>
      </c>
      <c r="K579" s="18">
        <f t="shared" si="24"/>
        <v>0</v>
      </c>
      <c r="L579" s="21">
        <f>IF(ISERROR(VLOOKUP($F579,#REF!,6,0)*G579/1000),0,VLOOKUP($F579,#REF!,6,0)*G579/1000)</f>
        <v>0</v>
      </c>
      <c r="M579" s="21">
        <f>IF(ISERROR(VLOOKUP($F579,#REF!,6,0)*H579/1000),0,VLOOKUP($F579,#REF!,6,0)*H579/1000)</f>
        <v>0</v>
      </c>
      <c r="N579" s="21">
        <f>IF(ISERROR(VLOOKUP($F579,#REF!,6,0)*I579/1000),0,VLOOKUP($F579,#REF!,6,0)*I579/1000)</f>
        <v>0</v>
      </c>
      <c r="O579" s="21">
        <f>IF(ISERROR(VLOOKUP($F579,#REF!,6,0)*J579/1000),0,VLOOKUP($F579,#REF!,6,0)*J579/1000)</f>
        <v>0</v>
      </c>
      <c r="P579" s="21">
        <f>IF(ISERROR(VLOOKUP(F579,#REF!,6,0)*K579/1000),0,VLOOKUP(F579,#REF!,6,0)*K579/1000)</f>
        <v>0</v>
      </c>
      <c r="Q579" s="6">
        <f>IF(ISERROR(VLOOKUP(F579,#REF!,3,0)),0,VLOOKUP(F579,#REF!,3,0))</f>
        <v>0</v>
      </c>
      <c r="R579" s="6">
        <f>IF(ISERROR(VLOOKUP(F579,#REF!,4,0)),0,VLOOKUP(F579,#REF!,4,0))</f>
        <v>0</v>
      </c>
      <c r="S579" s="8">
        <f>IF(ISERROR(VLOOKUP(F579,#REF!,4,0)),0,VLOOKUP(F579,#REF!,10,0)/60*K579)</f>
        <v>0</v>
      </c>
      <c r="T579" s="3"/>
      <c r="U579" s="3"/>
      <c r="V579" s="4"/>
    </row>
    <row r="580" spans="1:22" x14ac:dyDescent="0.3">
      <c r="A580" s="5">
        <f t="shared" si="25"/>
        <v>0</v>
      </c>
      <c r="B580" s="6">
        <f t="shared" si="26"/>
        <v>0</v>
      </c>
      <c r="K580" s="18">
        <f t="shared" ref="K580:K643" si="27">SUM(G580:J580)</f>
        <v>0</v>
      </c>
      <c r="L580" s="21">
        <f>IF(ISERROR(VLOOKUP($F580,#REF!,6,0)*G580/1000),0,VLOOKUP($F580,#REF!,6,0)*G580/1000)</f>
        <v>0</v>
      </c>
      <c r="M580" s="21">
        <f>IF(ISERROR(VLOOKUP($F580,#REF!,6,0)*H580/1000),0,VLOOKUP($F580,#REF!,6,0)*H580/1000)</f>
        <v>0</v>
      </c>
      <c r="N580" s="21">
        <f>IF(ISERROR(VLOOKUP($F580,#REF!,6,0)*I580/1000),0,VLOOKUP($F580,#REF!,6,0)*I580/1000)</f>
        <v>0</v>
      </c>
      <c r="O580" s="21">
        <f>IF(ISERROR(VLOOKUP($F580,#REF!,6,0)*J580/1000),0,VLOOKUP($F580,#REF!,6,0)*J580/1000)</f>
        <v>0</v>
      </c>
      <c r="P580" s="21">
        <f>IF(ISERROR(VLOOKUP(F580,#REF!,6,0)*K580/1000),0,VLOOKUP(F580,#REF!,6,0)*K580/1000)</f>
        <v>0</v>
      </c>
      <c r="Q580" s="6">
        <f>IF(ISERROR(VLOOKUP(F580,#REF!,3,0)),0,VLOOKUP(F580,#REF!,3,0))</f>
        <v>0</v>
      </c>
      <c r="R580" s="6">
        <f>IF(ISERROR(VLOOKUP(F580,#REF!,4,0)),0,VLOOKUP(F580,#REF!,4,0))</f>
        <v>0</v>
      </c>
      <c r="S580" s="8">
        <f>IF(ISERROR(VLOOKUP(F580,#REF!,4,0)),0,VLOOKUP(F580,#REF!,10,0)/60*K580)</f>
        <v>0</v>
      </c>
      <c r="T580" s="3"/>
      <c r="U580" s="3"/>
      <c r="V580" s="4"/>
    </row>
    <row r="581" spans="1:22" x14ac:dyDescent="0.3">
      <c r="A581" s="5">
        <f t="shared" ref="A581:A644" si="28">IF(C581=0,0,YEAR(C581))</f>
        <v>0</v>
      </c>
      <c r="B581" s="6">
        <f t="shared" ref="B581:B644" si="29">IF(C581&gt;0,VLOOKUP(MONTH($C581),$AJ$3:$AK$14,2,0),0)</f>
        <v>0</v>
      </c>
      <c r="K581" s="18">
        <f t="shared" si="27"/>
        <v>0</v>
      </c>
      <c r="L581" s="21">
        <f>IF(ISERROR(VLOOKUP($F581,#REF!,6,0)*G581/1000),0,VLOOKUP($F581,#REF!,6,0)*G581/1000)</f>
        <v>0</v>
      </c>
      <c r="M581" s="21">
        <f>IF(ISERROR(VLOOKUP($F581,#REF!,6,0)*H581/1000),0,VLOOKUP($F581,#REF!,6,0)*H581/1000)</f>
        <v>0</v>
      </c>
      <c r="N581" s="21">
        <f>IF(ISERROR(VLOOKUP($F581,#REF!,6,0)*I581/1000),0,VLOOKUP($F581,#REF!,6,0)*I581/1000)</f>
        <v>0</v>
      </c>
      <c r="O581" s="21">
        <f>IF(ISERROR(VLOOKUP($F581,#REF!,6,0)*J581/1000),0,VLOOKUP($F581,#REF!,6,0)*J581/1000)</f>
        <v>0</v>
      </c>
      <c r="P581" s="21">
        <f>IF(ISERROR(VLOOKUP(F581,#REF!,6,0)*K581/1000),0,VLOOKUP(F581,#REF!,6,0)*K581/1000)</f>
        <v>0</v>
      </c>
      <c r="Q581" s="6">
        <f>IF(ISERROR(VLOOKUP(F581,#REF!,3,0)),0,VLOOKUP(F581,#REF!,3,0))</f>
        <v>0</v>
      </c>
      <c r="R581" s="6">
        <f>IF(ISERROR(VLOOKUP(F581,#REF!,4,0)),0,VLOOKUP(F581,#REF!,4,0))</f>
        <v>0</v>
      </c>
      <c r="S581" s="8">
        <f>IF(ISERROR(VLOOKUP(F581,#REF!,4,0)),0,VLOOKUP(F581,#REF!,10,0)/60*K581)</f>
        <v>0</v>
      </c>
      <c r="T581" s="3"/>
      <c r="U581" s="3"/>
      <c r="V581" s="4"/>
    </row>
    <row r="582" spans="1:22" x14ac:dyDescent="0.3">
      <c r="A582" s="5">
        <f t="shared" si="28"/>
        <v>0</v>
      </c>
      <c r="B582" s="6">
        <f t="shared" si="29"/>
        <v>0</v>
      </c>
      <c r="K582" s="18">
        <f t="shared" si="27"/>
        <v>0</v>
      </c>
      <c r="L582" s="21">
        <f>IF(ISERROR(VLOOKUP($F582,#REF!,6,0)*G582/1000),0,VLOOKUP($F582,#REF!,6,0)*G582/1000)</f>
        <v>0</v>
      </c>
      <c r="M582" s="21">
        <f>IF(ISERROR(VLOOKUP($F582,#REF!,6,0)*H582/1000),0,VLOOKUP($F582,#REF!,6,0)*H582/1000)</f>
        <v>0</v>
      </c>
      <c r="N582" s="21">
        <f>IF(ISERROR(VLOOKUP($F582,#REF!,6,0)*I582/1000),0,VLOOKUP($F582,#REF!,6,0)*I582/1000)</f>
        <v>0</v>
      </c>
      <c r="O582" s="21">
        <f>IF(ISERROR(VLOOKUP($F582,#REF!,6,0)*J582/1000),0,VLOOKUP($F582,#REF!,6,0)*J582/1000)</f>
        <v>0</v>
      </c>
      <c r="P582" s="21">
        <f>IF(ISERROR(VLOOKUP(F582,#REF!,6,0)*K582/1000),0,VLOOKUP(F582,#REF!,6,0)*K582/1000)</f>
        <v>0</v>
      </c>
      <c r="Q582" s="6">
        <f>IF(ISERROR(VLOOKUP(F582,#REF!,3,0)),0,VLOOKUP(F582,#REF!,3,0))</f>
        <v>0</v>
      </c>
      <c r="R582" s="6">
        <f>IF(ISERROR(VLOOKUP(F582,#REF!,4,0)),0,VLOOKUP(F582,#REF!,4,0))</f>
        <v>0</v>
      </c>
      <c r="S582" s="8">
        <f>IF(ISERROR(VLOOKUP(F582,#REF!,4,0)),0,VLOOKUP(F582,#REF!,10,0)/60*K582)</f>
        <v>0</v>
      </c>
      <c r="T582" s="3"/>
      <c r="U582" s="3"/>
      <c r="V582" s="4"/>
    </row>
    <row r="583" spans="1:22" x14ac:dyDescent="0.3">
      <c r="A583" s="5">
        <f t="shared" si="28"/>
        <v>0</v>
      </c>
      <c r="B583" s="6">
        <f t="shared" si="29"/>
        <v>0</v>
      </c>
      <c r="K583" s="18">
        <f t="shared" si="27"/>
        <v>0</v>
      </c>
      <c r="L583" s="21">
        <f>IF(ISERROR(VLOOKUP($F583,#REF!,6,0)*G583/1000),0,VLOOKUP($F583,#REF!,6,0)*G583/1000)</f>
        <v>0</v>
      </c>
      <c r="M583" s="21">
        <f>IF(ISERROR(VLOOKUP($F583,#REF!,6,0)*H583/1000),0,VLOOKUP($F583,#REF!,6,0)*H583/1000)</f>
        <v>0</v>
      </c>
      <c r="N583" s="21">
        <f>IF(ISERROR(VLOOKUP($F583,#REF!,6,0)*I583/1000),0,VLOOKUP($F583,#REF!,6,0)*I583/1000)</f>
        <v>0</v>
      </c>
      <c r="O583" s="21">
        <f>IF(ISERROR(VLOOKUP($F583,#REF!,6,0)*J583/1000),0,VLOOKUP($F583,#REF!,6,0)*J583/1000)</f>
        <v>0</v>
      </c>
      <c r="P583" s="21">
        <f>IF(ISERROR(VLOOKUP(F583,#REF!,6,0)*K583/1000),0,VLOOKUP(F583,#REF!,6,0)*K583/1000)</f>
        <v>0</v>
      </c>
      <c r="Q583" s="6">
        <f>IF(ISERROR(VLOOKUP(F583,#REF!,3,0)),0,VLOOKUP(F583,#REF!,3,0))</f>
        <v>0</v>
      </c>
      <c r="R583" s="6">
        <f>IF(ISERROR(VLOOKUP(F583,#REF!,4,0)),0,VLOOKUP(F583,#REF!,4,0))</f>
        <v>0</v>
      </c>
      <c r="S583" s="8">
        <f>IF(ISERROR(VLOOKUP(F583,#REF!,4,0)),0,VLOOKUP(F583,#REF!,10,0)/60*K583)</f>
        <v>0</v>
      </c>
      <c r="T583" s="3"/>
      <c r="U583" s="3"/>
      <c r="V583" s="4"/>
    </row>
    <row r="584" spans="1:22" x14ac:dyDescent="0.3">
      <c r="A584" s="5">
        <f t="shared" si="28"/>
        <v>0</v>
      </c>
      <c r="B584" s="6">
        <f t="shared" si="29"/>
        <v>0</v>
      </c>
      <c r="K584" s="18">
        <f t="shared" si="27"/>
        <v>0</v>
      </c>
      <c r="L584" s="21">
        <f>IF(ISERROR(VLOOKUP($F584,#REF!,6,0)*G584/1000),0,VLOOKUP($F584,#REF!,6,0)*G584/1000)</f>
        <v>0</v>
      </c>
      <c r="M584" s="21">
        <f>IF(ISERROR(VLOOKUP($F584,#REF!,6,0)*H584/1000),0,VLOOKUP($F584,#REF!,6,0)*H584/1000)</f>
        <v>0</v>
      </c>
      <c r="N584" s="21">
        <f>IF(ISERROR(VLOOKUP($F584,#REF!,6,0)*I584/1000),0,VLOOKUP($F584,#REF!,6,0)*I584/1000)</f>
        <v>0</v>
      </c>
      <c r="O584" s="21">
        <f>IF(ISERROR(VLOOKUP($F584,#REF!,6,0)*J584/1000),0,VLOOKUP($F584,#REF!,6,0)*J584/1000)</f>
        <v>0</v>
      </c>
      <c r="P584" s="21">
        <f>IF(ISERROR(VLOOKUP(F584,#REF!,6,0)*K584/1000),0,VLOOKUP(F584,#REF!,6,0)*K584/1000)</f>
        <v>0</v>
      </c>
      <c r="Q584" s="6">
        <f>IF(ISERROR(VLOOKUP(F584,#REF!,3,0)),0,VLOOKUP(F584,#REF!,3,0))</f>
        <v>0</v>
      </c>
      <c r="R584" s="6">
        <f>IF(ISERROR(VLOOKUP(F584,#REF!,4,0)),0,VLOOKUP(F584,#REF!,4,0))</f>
        <v>0</v>
      </c>
      <c r="S584" s="8">
        <f>IF(ISERROR(VLOOKUP(F584,#REF!,4,0)),0,VLOOKUP(F584,#REF!,10,0)/60*K584)</f>
        <v>0</v>
      </c>
      <c r="T584" s="3"/>
      <c r="U584" s="3"/>
      <c r="V584" s="4"/>
    </row>
    <row r="585" spans="1:22" x14ac:dyDescent="0.3">
      <c r="A585" s="5">
        <f t="shared" si="28"/>
        <v>0</v>
      </c>
      <c r="B585" s="6">
        <f t="shared" si="29"/>
        <v>0</v>
      </c>
      <c r="K585" s="18">
        <f t="shared" si="27"/>
        <v>0</v>
      </c>
      <c r="L585" s="21">
        <f>IF(ISERROR(VLOOKUP($F585,#REF!,6,0)*G585/1000),0,VLOOKUP($F585,#REF!,6,0)*G585/1000)</f>
        <v>0</v>
      </c>
      <c r="M585" s="21">
        <f>IF(ISERROR(VLOOKUP($F585,#REF!,6,0)*H585/1000),0,VLOOKUP($F585,#REF!,6,0)*H585/1000)</f>
        <v>0</v>
      </c>
      <c r="N585" s="21">
        <f>IF(ISERROR(VLOOKUP($F585,#REF!,6,0)*I585/1000),0,VLOOKUP($F585,#REF!,6,0)*I585/1000)</f>
        <v>0</v>
      </c>
      <c r="O585" s="21">
        <f>IF(ISERROR(VLOOKUP($F585,#REF!,6,0)*J585/1000),0,VLOOKUP($F585,#REF!,6,0)*J585/1000)</f>
        <v>0</v>
      </c>
      <c r="P585" s="21">
        <f>IF(ISERROR(VLOOKUP(F585,#REF!,6,0)*K585/1000),0,VLOOKUP(F585,#REF!,6,0)*K585/1000)</f>
        <v>0</v>
      </c>
      <c r="Q585" s="6">
        <f>IF(ISERROR(VLOOKUP(F585,#REF!,3,0)),0,VLOOKUP(F585,#REF!,3,0))</f>
        <v>0</v>
      </c>
      <c r="R585" s="6">
        <f>IF(ISERROR(VLOOKUP(F585,#REF!,4,0)),0,VLOOKUP(F585,#REF!,4,0))</f>
        <v>0</v>
      </c>
      <c r="S585" s="8">
        <f>IF(ISERROR(VLOOKUP(F585,#REF!,4,0)),0,VLOOKUP(F585,#REF!,10,0)/60*K585)</f>
        <v>0</v>
      </c>
      <c r="T585" s="3"/>
      <c r="U585" s="3"/>
      <c r="V585" s="4"/>
    </row>
    <row r="586" spans="1:22" x14ac:dyDescent="0.3">
      <c r="A586" s="5">
        <f t="shared" si="28"/>
        <v>0</v>
      </c>
      <c r="B586" s="6">
        <f t="shared" si="29"/>
        <v>0</v>
      </c>
      <c r="K586" s="18">
        <f t="shared" si="27"/>
        <v>0</v>
      </c>
      <c r="L586" s="21">
        <f>IF(ISERROR(VLOOKUP($F586,#REF!,6,0)*G586/1000),0,VLOOKUP($F586,#REF!,6,0)*G586/1000)</f>
        <v>0</v>
      </c>
      <c r="M586" s="21">
        <f>IF(ISERROR(VLOOKUP($F586,#REF!,6,0)*H586/1000),0,VLOOKUP($F586,#REF!,6,0)*H586/1000)</f>
        <v>0</v>
      </c>
      <c r="N586" s="21">
        <f>IF(ISERROR(VLOOKUP($F586,#REF!,6,0)*I586/1000),0,VLOOKUP($F586,#REF!,6,0)*I586/1000)</f>
        <v>0</v>
      </c>
      <c r="O586" s="21">
        <f>IF(ISERROR(VLOOKUP($F586,#REF!,6,0)*J586/1000),0,VLOOKUP($F586,#REF!,6,0)*J586/1000)</f>
        <v>0</v>
      </c>
      <c r="P586" s="21">
        <f>IF(ISERROR(VLOOKUP(F586,#REF!,6,0)*K586/1000),0,VLOOKUP(F586,#REF!,6,0)*K586/1000)</f>
        <v>0</v>
      </c>
      <c r="Q586" s="6">
        <f>IF(ISERROR(VLOOKUP(F586,#REF!,3,0)),0,VLOOKUP(F586,#REF!,3,0))</f>
        <v>0</v>
      </c>
      <c r="R586" s="6">
        <f>IF(ISERROR(VLOOKUP(F586,#REF!,4,0)),0,VLOOKUP(F586,#REF!,4,0))</f>
        <v>0</v>
      </c>
      <c r="S586" s="8">
        <f>IF(ISERROR(VLOOKUP(F586,#REF!,4,0)),0,VLOOKUP(F586,#REF!,10,0)/60*K586)</f>
        <v>0</v>
      </c>
      <c r="T586" s="3"/>
      <c r="U586" s="3"/>
      <c r="V586" s="4"/>
    </row>
    <row r="587" spans="1:22" x14ac:dyDescent="0.3">
      <c r="A587" s="5">
        <f t="shared" si="28"/>
        <v>0</v>
      </c>
      <c r="B587" s="6">
        <f t="shared" si="29"/>
        <v>0</v>
      </c>
      <c r="K587" s="18">
        <f t="shared" si="27"/>
        <v>0</v>
      </c>
      <c r="L587" s="21">
        <f>IF(ISERROR(VLOOKUP($F587,#REF!,6,0)*G587/1000),0,VLOOKUP($F587,#REF!,6,0)*G587/1000)</f>
        <v>0</v>
      </c>
      <c r="M587" s="21">
        <f>IF(ISERROR(VLOOKUP($F587,#REF!,6,0)*H587/1000),0,VLOOKUP($F587,#REF!,6,0)*H587/1000)</f>
        <v>0</v>
      </c>
      <c r="N587" s="21">
        <f>IF(ISERROR(VLOOKUP($F587,#REF!,6,0)*I587/1000),0,VLOOKUP($F587,#REF!,6,0)*I587/1000)</f>
        <v>0</v>
      </c>
      <c r="O587" s="21">
        <f>IF(ISERROR(VLOOKUP($F587,#REF!,6,0)*J587/1000),0,VLOOKUP($F587,#REF!,6,0)*J587/1000)</f>
        <v>0</v>
      </c>
      <c r="P587" s="21">
        <f>IF(ISERROR(VLOOKUP(F587,#REF!,6,0)*K587/1000),0,VLOOKUP(F587,#REF!,6,0)*K587/1000)</f>
        <v>0</v>
      </c>
      <c r="Q587" s="6">
        <f>IF(ISERROR(VLOOKUP(F587,#REF!,3,0)),0,VLOOKUP(F587,#REF!,3,0))</f>
        <v>0</v>
      </c>
      <c r="R587" s="6">
        <f>IF(ISERROR(VLOOKUP(F587,#REF!,4,0)),0,VLOOKUP(F587,#REF!,4,0))</f>
        <v>0</v>
      </c>
      <c r="S587" s="8">
        <f>IF(ISERROR(VLOOKUP(F587,#REF!,4,0)),0,VLOOKUP(F587,#REF!,10,0)/60*K587)</f>
        <v>0</v>
      </c>
      <c r="T587" s="3"/>
      <c r="U587" s="3"/>
      <c r="V587" s="4"/>
    </row>
    <row r="588" spans="1:22" x14ac:dyDescent="0.3">
      <c r="A588" s="5">
        <f t="shared" si="28"/>
        <v>0</v>
      </c>
      <c r="B588" s="6">
        <f t="shared" si="29"/>
        <v>0</v>
      </c>
      <c r="K588" s="18">
        <f t="shared" si="27"/>
        <v>0</v>
      </c>
      <c r="L588" s="21">
        <f>IF(ISERROR(VLOOKUP($F588,#REF!,6,0)*G588/1000),0,VLOOKUP($F588,#REF!,6,0)*G588/1000)</f>
        <v>0</v>
      </c>
      <c r="M588" s="21">
        <f>IF(ISERROR(VLOOKUP($F588,#REF!,6,0)*H588/1000),0,VLOOKUP($F588,#REF!,6,0)*H588/1000)</f>
        <v>0</v>
      </c>
      <c r="N588" s="21">
        <f>IF(ISERROR(VLOOKUP($F588,#REF!,6,0)*I588/1000),0,VLOOKUP($F588,#REF!,6,0)*I588/1000)</f>
        <v>0</v>
      </c>
      <c r="O588" s="21">
        <f>IF(ISERROR(VLOOKUP($F588,#REF!,6,0)*J588/1000),0,VLOOKUP($F588,#REF!,6,0)*J588/1000)</f>
        <v>0</v>
      </c>
      <c r="P588" s="21">
        <f>IF(ISERROR(VLOOKUP(F588,#REF!,6,0)*K588/1000),0,VLOOKUP(F588,#REF!,6,0)*K588/1000)</f>
        <v>0</v>
      </c>
      <c r="Q588" s="6">
        <f>IF(ISERROR(VLOOKUP(F588,#REF!,3,0)),0,VLOOKUP(F588,#REF!,3,0))</f>
        <v>0</v>
      </c>
      <c r="R588" s="6">
        <f>IF(ISERROR(VLOOKUP(F588,#REF!,4,0)),0,VLOOKUP(F588,#REF!,4,0))</f>
        <v>0</v>
      </c>
      <c r="S588" s="8">
        <f>IF(ISERROR(VLOOKUP(F588,#REF!,4,0)),0,VLOOKUP(F588,#REF!,10,0)/60*K588)</f>
        <v>0</v>
      </c>
      <c r="T588" s="3"/>
      <c r="U588" s="3"/>
      <c r="V588" s="4"/>
    </row>
    <row r="589" spans="1:22" x14ac:dyDescent="0.3">
      <c r="A589" s="5">
        <f t="shared" si="28"/>
        <v>0</v>
      </c>
      <c r="B589" s="6">
        <f t="shared" si="29"/>
        <v>0</v>
      </c>
      <c r="K589" s="18">
        <f t="shared" si="27"/>
        <v>0</v>
      </c>
      <c r="L589" s="21">
        <f>IF(ISERROR(VLOOKUP($F589,#REF!,6,0)*G589/1000),0,VLOOKUP($F589,#REF!,6,0)*G589/1000)</f>
        <v>0</v>
      </c>
      <c r="M589" s="21">
        <f>IF(ISERROR(VLOOKUP($F589,#REF!,6,0)*H589/1000),0,VLOOKUP($F589,#REF!,6,0)*H589/1000)</f>
        <v>0</v>
      </c>
      <c r="N589" s="21">
        <f>IF(ISERROR(VLOOKUP($F589,#REF!,6,0)*I589/1000),0,VLOOKUP($F589,#REF!,6,0)*I589/1000)</f>
        <v>0</v>
      </c>
      <c r="O589" s="21">
        <f>IF(ISERROR(VLOOKUP($F589,#REF!,6,0)*J589/1000),0,VLOOKUP($F589,#REF!,6,0)*J589/1000)</f>
        <v>0</v>
      </c>
      <c r="P589" s="21">
        <f>IF(ISERROR(VLOOKUP(F589,#REF!,6,0)*K589/1000),0,VLOOKUP(F589,#REF!,6,0)*K589/1000)</f>
        <v>0</v>
      </c>
      <c r="Q589" s="6">
        <f>IF(ISERROR(VLOOKUP(F589,#REF!,3,0)),0,VLOOKUP(F589,#REF!,3,0))</f>
        <v>0</v>
      </c>
      <c r="R589" s="6">
        <f>IF(ISERROR(VLOOKUP(F589,#REF!,4,0)),0,VLOOKUP(F589,#REF!,4,0))</f>
        <v>0</v>
      </c>
      <c r="S589" s="8">
        <f>IF(ISERROR(VLOOKUP(F589,#REF!,4,0)),0,VLOOKUP(F589,#REF!,10,0)/60*K589)</f>
        <v>0</v>
      </c>
      <c r="T589" s="3"/>
      <c r="U589" s="3"/>
      <c r="V589" s="4"/>
    </row>
    <row r="590" spans="1:22" x14ac:dyDescent="0.3">
      <c r="A590" s="5">
        <f t="shared" si="28"/>
        <v>0</v>
      </c>
      <c r="B590" s="6">
        <f t="shared" si="29"/>
        <v>0</v>
      </c>
      <c r="K590" s="18">
        <f t="shared" si="27"/>
        <v>0</v>
      </c>
      <c r="L590" s="21">
        <f>IF(ISERROR(VLOOKUP($F590,#REF!,6,0)*G590/1000),0,VLOOKUP($F590,#REF!,6,0)*G590/1000)</f>
        <v>0</v>
      </c>
      <c r="M590" s="21">
        <f>IF(ISERROR(VLOOKUP($F590,#REF!,6,0)*H590/1000),0,VLOOKUP($F590,#REF!,6,0)*H590/1000)</f>
        <v>0</v>
      </c>
      <c r="N590" s="21">
        <f>IF(ISERROR(VLOOKUP($F590,#REF!,6,0)*I590/1000),0,VLOOKUP($F590,#REF!,6,0)*I590/1000)</f>
        <v>0</v>
      </c>
      <c r="O590" s="21">
        <f>IF(ISERROR(VLOOKUP($F590,#REF!,6,0)*J590/1000),0,VLOOKUP($F590,#REF!,6,0)*J590/1000)</f>
        <v>0</v>
      </c>
      <c r="P590" s="21">
        <f>IF(ISERROR(VLOOKUP(F590,#REF!,6,0)*K590/1000),0,VLOOKUP(F590,#REF!,6,0)*K590/1000)</f>
        <v>0</v>
      </c>
      <c r="Q590" s="6">
        <f>IF(ISERROR(VLOOKUP(F590,#REF!,3,0)),0,VLOOKUP(F590,#REF!,3,0))</f>
        <v>0</v>
      </c>
      <c r="R590" s="6">
        <f>IF(ISERROR(VLOOKUP(F590,#REF!,4,0)),0,VLOOKUP(F590,#REF!,4,0))</f>
        <v>0</v>
      </c>
      <c r="S590" s="8">
        <f>IF(ISERROR(VLOOKUP(F590,#REF!,4,0)),0,VLOOKUP(F590,#REF!,10,0)/60*K590)</f>
        <v>0</v>
      </c>
      <c r="T590" s="3"/>
      <c r="U590" s="3"/>
      <c r="V590" s="4"/>
    </row>
    <row r="591" spans="1:22" x14ac:dyDescent="0.3">
      <c r="A591" s="5">
        <f t="shared" si="28"/>
        <v>0</v>
      </c>
      <c r="B591" s="6">
        <f t="shared" si="29"/>
        <v>0</v>
      </c>
      <c r="K591" s="18">
        <f t="shared" si="27"/>
        <v>0</v>
      </c>
      <c r="L591" s="21">
        <f>IF(ISERROR(VLOOKUP($F591,#REF!,6,0)*G591/1000),0,VLOOKUP($F591,#REF!,6,0)*G591/1000)</f>
        <v>0</v>
      </c>
      <c r="M591" s="21">
        <f>IF(ISERROR(VLOOKUP($F591,#REF!,6,0)*H591/1000),0,VLOOKUP($F591,#REF!,6,0)*H591/1000)</f>
        <v>0</v>
      </c>
      <c r="N591" s="21">
        <f>IF(ISERROR(VLOOKUP($F591,#REF!,6,0)*I591/1000),0,VLOOKUP($F591,#REF!,6,0)*I591/1000)</f>
        <v>0</v>
      </c>
      <c r="O591" s="21">
        <f>IF(ISERROR(VLOOKUP($F591,#REF!,6,0)*J591/1000),0,VLOOKUP($F591,#REF!,6,0)*J591/1000)</f>
        <v>0</v>
      </c>
      <c r="P591" s="21">
        <f>IF(ISERROR(VLOOKUP(F591,#REF!,6,0)*K591/1000),0,VLOOKUP(F591,#REF!,6,0)*K591/1000)</f>
        <v>0</v>
      </c>
      <c r="Q591" s="6">
        <f>IF(ISERROR(VLOOKUP(F591,#REF!,3,0)),0,VLOOKUP(F591,#REF!,3,0))</f>
        <v>0</v>
      </c>
      <c r="R591" s="6">
        <f>IF(ISERROR(VLOOKUP(F591,#REF!,4,0)),0,VLOOKUP(F591,#REF!,4,0))</f>
        <v>0</v>
      </c>
      <c r="S591" s="8">
        <f>IF(ISERROR(VLOOKUP(F591,#REF!,4,0)),0,VLOOKUP(F591,#REF!,10,0)/60*K591)</f>
        <v>0</v>
      </c>
      <c r="T591" s="3"/>
      <c r="U591" s="3"/>
      <c r="V591" s="4"/>
    </row>
    <row r="592" spans="1:22" x14ac:dyDescent="0.3">
      <c r="A592" s="5">
        <f t="shared" si="28"/>
        <v>0</v>
      </c>
      <c r="B592" s="6">
        <f t="shared" si="29"/>
        <v>0</v>
      </c>
      <c r="K592" s="18">
        <f t="shared" si="27"/>
        <v>0</v>
      </c>
      <c r="L592" s="21">
        <f>IF(ISERROR(VLOOKUP($F592,#REF!,6,0)*G592/1000),0,VLOOKUP($F592,#REF!,6,0)*G592/1000)</f>
        <v>0</v>
      </c>
      <c r="M592" s="21">
        <f>IF(ISERROR(VLOOKUP($F592,#REF!,6,0)*H592/1000),0,VLOOKUP($F592,#REF!,6,0)*H592/1000)</f>
        <v>0</v>
      </c>
      <c r="N592" s="21">
        <f>IF(ISERROR(VLOOKUP($F592,#REF!,6,0)*I592/1000),0,VLOOKUP($F592,#REF!,6,0)*I592/1000)</f>
        <v>0</v>
      </c>
      <c r="O592" s="21">
        <f>IF(ISERROR(VLOOKUP($F592,#REF!,6,0)*J592/1000),0,VLOOKUP($F592,#REF!,6,0)*J592/1000)</f>
        <v>0</v>
      </c>
      <c r="P592" s="21">
        <f>IF(ISERROR(VLOOKUP(F592,#REF!,6,0)*K592/1000),0,VLOOKUP(F592,#REF!,6,0)*K592/1000)</f>
        <v>0</v>
      </c>
      <c r="Q592" s="6">
        <f>IF(ISERROR(VLOOKUP(F592,#REF!,3,0)),0,VLOOKUP(F592,#REF!,3,0))</f>
        <v>0</v>
      </c>
      <c r="R592" s="6">
        <f>IF(ISERROR(VLOOKUP(F592,#REF!,4,0)),0,VLOOKUP(F592,#REF!,4,0))</f>
        <v>0</v>
      </c>
      <c r="S592" s="8">
        <f>IF(ISERROR(VLOOKUP(F592,#REF!,4,0)),0,VLOOKUP(F592,#REF!,10,0)/60*K592)</f>
        <v>0</v>
      </c>
      <c r="T592" s="3"/>
      <c r="U592" s="3"/>
      <c r="V592" s="4"/>
    </row>
    <row r="593" spans="1:22" x14ac:dyDescent="0.3">
      <c r="A593" s="5">
        <f t="shared" si="28"/>
        <v>0</v>
      </c>
      <c r="B593" s="6">
        <f t="shared" si="29"/>
        <v>0</v>
      </c>
      <c r="K593" s="18">
        <f t="shared" si="27"/>
        <v>0</v>
      </c>
      <c r="L593" s="21">
        <f>IF(ISERROR(VLOOKUP($F593,#REF!,6,0)*G593/1000),0,VLOOKUP($F593,#REF!,6,0)*G593/1000)</f>
        <v>0</v>
      </c>
      <c r="M593" s="21">
        <f>IF(ISERROR(VLOOKUP($F593,#REF!,6,0)*H593/1000),0,VLOOKUP($F593,#REF!,6,0)*H593/1000)</f>
        <v>0</v>
      </c>
      <c r="N593" s="21">
        <f>IF(ISERROR(VLOOKUP($F593,#REF!,6,0)*I593/1000),0,VLOOKUP($F593,#REF!,6,0)*I593/1000)</f>
        <v>0</v>
      </c>
      <c r="O593" s="21">
        <f>IF(ISERROR(VLOOKUP($F593,#REF!,6,0)*J593/1000),0,VLOOKUP($F593,#REF!,6,0)*J593/1000)</f>
        <v>0</v>
      </c>
      <c r="P593" s="21">
        <f>IF(ISERROR(VLOOKUP(F593,#REF!,6,0)*K593/1000),0,VLOOKUP(F593,#REF!,6,0)*K593/1000)</f>
        <v>0</v>
      </c>
      <c r="Q593" s="6">
        <f>IF(ISERROR(VLOOKUP(F593,#REF!,3,0)),0,VLOOKUP(F593,#REF!,3,0))</f>
        <v>0</v>
      </c>
      <c r="R593" s="6">
        <f>IF(ISERROR(VLOOKUP(F593,#REF!,4,0)),0,VLOOKUP(F593,#REF!,4,0))</f>
        <v>0</v>
      </c>
      <c r="S593" s="8">
        <f>IF(ISERROR(VLOOKUP(F593,#REF!,4,0)),0,VLOOKUP(F593,#REF!,10,0)/60*K593)</f>
        <v>0</v>
      </c>
      <c r="T593" s="3"/>
      <c r="U593" s="3"/>
      <c r="V593" s="4"/>
    </row>
    <row r="594" spans="1:22" x14ac:dyDescent="0.3">
      <c r="A594" s="5">
        <f t="shared" si="28"/>
        <v>0</v>
      </c>
      <c r="B594" s="6">
        <f t="shared" si="29"/>
        <v>0</v>
      </c>
      <c r="K594" s="18">
        <f t="shared" si="27"/>
        <v>0</v>
      </c>
      <c r="L594" s="21">
        <f>IF(ISERROR(VLOOKUP($F594,#REF!,6,0)*G594/1000),0,VLOOKUP($F594,#REF!,6,0)*G594/1000)</f>
        <v>0</v>
      </c>
      <c r="M594" s="21">
        <f>IF(ISERROR(VLOOKUP($F594,#REF!,6,0)*H594/1000),0,VLOOKUP($F594,#REF!,6,0)*H594/1000)</f>
        <v>0</v>
      </c>
      <c r="N594" s="21">
        <f>IF(ISERROR(VLOOKUP($F594,#REF!,6,0)*I594/1000),0,VLOOKUP($F594,#REF!,6,0)*I594/1000)</f>
        <v>0</v>
      </c>
      <c r="O594" s="21">
        <f>IF(ISERROR(VLOOKUP($F594,#REF!,6,0)*J594/1000),0,VLOOKUP($F594,#REF!,6,0)*J594/1000)</f>
        <v>0</v>
      </c>
      <c r="P594" s="21">
        <f>IF(ISERROR(VLOOKUP(F594,#REF!,6,0)*K594/1000),0,VLOOKUP(F594,#REF!,6,0)*K594/1000)</f>
        <v>0</v>
      </c>
      <c r="Q594" s="6">
        <f>IF(ISERROR(VLOOKUP(F594,#REF!,3,0)),0,VLOOKUP(F594,#REF!,3,0))</f>
        <v>0</v>
      </c>
      <c r="R594" s="6">
        <f>IF(ISERROR(VLOOKUP(F594,#REF!,4,0)),0,VLOOKUP(F594,#REF!,4,0))</f>
        <v>0</v>
      </c>
      <c r="S594" s="8">
        <f>IF(ISERROR(VLOOKUP(F594,#REF!,4,0)),0,VLOOKUP(F594,#REF!,10,0)/60*K594)</f>
        <v>0</v>
      </c>
      <c r="T594" s="3"/>
      <c r="U594" s="3"/>
      <c r="V594" s="4"/>
    </row>
    <row r="595" spans="1:22" x14ac:dyDescent="0.3">
      <c r="A595" s="5">
        <f t="shared" si="28"/>
        <v>0</v>
      </c>
      <c r="B595" s="6">
        <f t="shared" si="29"/>
        <v>0</v>
      </c>
      <c r="K595" s="18">
        <f t="shared" si="27"/>
        <v>0</v>
      </c>
      <c r="L595" s="21">
        <f>IF(ISERROR(VLOOKUP($F595,#REF!,6,0)*G595/1000),0,VLOOKUP($F595,#REF!,6,0)*G595/1000)</f>
        <v>0</v>
      </c>
      <c r="M595" s="21">
        <f>IF(ISERROR(VLOOKUP($F595,#REF!,6,0)*H595/1000),0,VLOOKUP($F595,#REF!,6,0)*H595/1000)</f>
        <v>0</v>
      </c>
      <c r="N595" s="21">
        <f>IF(ISERROR(VLOOKUP($F595,#REF!,6,0)*I595/1000),0,VLOOKUP($F595,#REF!,6,0)*I595/1000)</f>
        <v>0</v>
      </c>
      <c r="O595" s="21">
        <f>IF(ISERROR(VLOOKUP($F595,#REF!,6,0)*J595/1000),0,VLOOKUP($F595,#REF!,6,0)*J595/1000)</f>
        <v>0</v>
      </c>
      <c r="P595" s="21">
        <f>IF(ISERROR(VLOOKUP(F595,#REF!,6,0)*K595/1000),0,VLOOKUP(F595,#REF!,6,0)*K595/1000)</f>
        <v>0</v>
      </c>
      <c r="Q595" s="6">
        <f>IF(ISERROR(VLOOKUP(F595,#REF!,3,0)),0,VLOOKUP(F595,#REF!,3,0))</f>
        <v>0</v>
      </c>
      <c r="R595" s="6">
        <f>IF(ISERROR(VLOOKUP(F595,#REF!,4,0)),0,VLOOKUP(F595,#REF!,4,0))</f>
        <v>0</v>
      </c>
      <c r="S595" s="8">
        <f>IF(ISERROR(VLOOKUP(F595,#REF!,4,0)),0,VLOOKUP(F595,#REF!,10,0)/60*K595)</f>
        <v>0</v>
      </c>
      <c r="T595" s="3"/>
      <c r="U595" s="3"/>
      <c r="V595" s="4"/>
    </row>
    <row r="596" spans="1:22" x14ac:dyDescent="0.3">
      <c r="A596" s="5">
        <f t="shared" si="28"/>
        <v>0</v>
      </c>
      <c r="B596" s="6">
        <f t="shared" si="29"/>
        <v>0</v>
      </c>
      <c r="K596" s="18">
        <f t="shared" si="27"/>
        <v>0</v>
      </c>
      <c r="L596" s="21">
        <f>IF(ISERROR(VLOOKUP($F596,#REF!,6,0)*G596/1000),0,VLOOKUP($F596,#REF!,6,0)*G596/1000)</f>
        <v>0</v>
      </c>
      <c r="M596" s="21">
        <f>IF(ISERROR(VLOOKUP($F596,#REF!,6,0)*H596/1000),0,VLOOKUP($F596,#REF!,6,0)*H596/1000)</f>
        <v>0</v>
      </c>
      <c r="N596" s="21">
        <f>IF(ISERROR(VLOOKUP($F596,#REF!,6,0)*I596/1000),0,VLOOKUP($F596,#REF!,6,0)*I596/1000)</f>
        <v>0</v>
      </c>
      <c r="O596" s="21">
        <f>IF(ISERROR(VLOOKUP($F596,#REF!,6,0)*J596/1000),0,VLOOKUP($F596,#REF!,6,0)*J596/1000)</f>
        <v>0</v>
      </c>
      <c r="P596" s="21">
        <f>IF(ISERROR(VLOOKUP(F596,#REF!,6,0)*K596/1000),0,VLOOKUP(F596,#REF!,6,0)*K596/1000)</f>
        <v>0</v>
      </c>
      <c r="Q596" s="6">
        <f>IF(ISERROR(VLOOKUP(F596,#REF!,3,0)),0,VLOOKUP(F596,#REF!,3,0))</f>
        <v>0</v>
      </c>
      <c r="R596" s="6">
        <f>IF(ISERROR(VLOOKUP(F596,#REF!,4,0)),0,VLOOKUP(F596,#REF!,4,0))</f>
        <v>0</v>
      </c>
      <c r="S596" s="8">
        <f>IF(ISERROR(VLOOKUP(F596,#REF!,4,0)),0,VLOOKUP(F596,#REF!,10,0)/60*K596)</f>
        <v>0</v>
      </c>
      <c r="T596" s="3"/>
      <c r="U596" s="3"/>
      <c r="V596" s="4"/>
    </row>
    <row r="597" spans="1:22" x14ac:dyDescent="0.3">
      <c r="A597" s="5">
        <f t="shared" si="28"/>
        <v>0</v>
      </c>
      <c r="B597" s="6">
        <f t="shared" si="29"/>
        <v>0</v>
      </c>
      <c r="K597" s="18">
        <f t="shared" si="27"/>
        <v>0</v>
      </c>
      <c r="L597" s="21">
        <f>IF(ISERROR(VLOOKUP($F597,#REF!,6,0)*G597/1000),0,VLOOKUP($F597,#REF!,6,0)*G597/1000)</f>
        <v>0</v>
      </c>
      <c r="M597" s="21">
        <f>IF(ISERROR(VLOOKUP($F597,#REF!,6,0)*H597/1000),0,VLOOKUP($F597,#REF!,6,0)*H597/1000)</f>
        <v>0</v>
      </c>
      <c r="N597" s="21">
        <f>IF(ISERROR(VLOOKUP($F597,#REF!,6,0)*I597/1000),0,VLOOKUP($F597,#REF!,6,0)*I597/1000)</f>
        <v>0</v>
      </c>
      <c r="O597" s="21">
        <f>IF(ISERROR(VLOOKUP($F597,#REF!,6,0)*J597/1000),0,VLOOKUP($F597,#REF!,6,0)*J597/1000)</f>
        <v>0</v>
      </c>
      <c r="P597" s="21">
        <f>IF(ISERROR(VLOOKUP(F597,#REF!,6,0)*K597/1000),0,VLOOKUP(F597,#REF!,6,0)*K597/1000)</f>
        <v>0</v>
      </c>
      <c r="Q597" s="6">
        <f>IF(ISERROR(VLOOKUP(F597,#REF!,3,0)),0,VLOOKUP(F597,#REF!,3,0))</f>
        <v>0</v>
      </c>
      <c r="R597" s="6">
        <f>IF(ISERROR(VLOOKUP(F597,#REF!,4,0)),0,VLOOKUP(F597,#REF!,4,0))</f>
        <v>0</v>
      </c>
      <c r="S597" s="8">
        <f>IF(ISERROR(VLOOKUP(F597,#REF!,4,0)),0,VLOOKUP(F597,#REF!,10,0)/60*K597)</f>
        <v>0</v>
      </c>
      <c r="T597" s="3"/>
      <c r="U597" s="3"/>
      <c r="V597" s="4"/>
    </row>
    <row r="598" spans="1:22" x14ac:dyDescent="0.3">
      <c r="A598" s="5">
        <f t="shared" si="28"/>
        <v>0</v>
      </c>
      <c r="B598" s="6">
        <f t="shared" si="29"/>
        <v>0</v>
      </c>
      <c r="K598" s="18">
        <f t="shared" si="27"/>
        <v>0</v>
      </c>
      <c r="L598" s="21">
        <f>IF(ISERROR(VLOOKUP($F598,#REF!,6,0)*G598/1000),0,VLOOKUP($F598,#REF!,6,0)*G598/1000)</f>
        <v>0</v>
      </c>
      <c r="M598" s="21">
        <f>IF(ISERROR(VLOOKUP($F598,#REF!,6,0)*H598/1000),0,VLOOKUP($F598,#REF!,6,0)*H598/1000)</f>
        <v>0</v>
      </c>
      <c r="N598" s="21">
        <f>IF(ISERROR(VLOOKUP($F598,#REF!,6,0)*I598/1000),0,VLOOKUP($F598,#REF!,6,0)*I598/1000)</f>
        <v>0</v>
      </c>
      <c r="O598" s="21">
        <f>IF(ISERROR(VLOOKUP($F598,#REF!,6,0)*J598/1000),0,VLOOKUP($F598,#REF!,6,0)*J598/1000)</f>
        <v>0</v>
      </c>
      <c r="P598" s="21">
        <f>IF(ISERROR(VLOOKUP(F598,#REF!,6,0)*K598/1000),0,VLOOKUP(F598,#REF!,6,0)*K598/1000)</f>
        <v>0</v>
      </c>
      <c r="Q598" s="6">
        <f>IF(ISERROR(VLOOKUP(F598,#REF!,3,0)),0,VLOOKUP(F598,#REF!,3,0))</f>
        <v>0</v>
      </c>
      <c r="R598" s="6">
        <f>IF(ISERROR(VLOOKUP(F598,#REF!,4,0)),0,VLOOKUP(F598,#REF!,4,0))</f>
        <v>0</v>
      </c>
      <c r="S598" s="8">
        <f>IF(ISERROR(VLOOKUP(F598,#REF!,4,0)),0,VLOOKUP(F598,#REF!,10,0)/60*K598)</f>
        <v>0</v>
      </c>
      <c r="T598" s="3"/>
      <c r="U598" s="3"/>
      <c r="V598" s="4"/>
    </row>
    <row r="599" spans="1:22" x14ac:dyDescent="0.3">
      <c r="A599" s="5">
        <f t="shared" si="28"/>
        <v>0</v>
      </c>
      <c r="B599" s="6">
        <f t="shared" si="29"/>
        <v>0</v>
      </c>
      <c r="K599" s="18">
        <f t="shared" si="27"/>
        <v>0</v>
      </c>
      <c r="L599" s="21">
        <f>IF(ISERROR(VLOOKUP($F599,#REF!,6,0)*G599/1000),0,VLOOKUP($F599,#REF!,6,0)*G599/1000)</f>
        <v>0</v>
      </c>
      <c r="M599" s="21">
        <f>IF(ISERROR(VLOOKUP($F599,#REF!,6,0)*H599/1000),0,VLOOKUP($F599,#REF!,6,0)*H599/1000)</f>
        <v>0</v>
      </c>
      <c r="N599" s="21">
        <f>IF(ISERROR(VLOOKUP($F599,#REF!,6,0)*I599/1000),0,VLOOKUP($F599,#REF!,6,0)*I599/1000)</f>
        <v>0</v>
      </c>
      <c r="O599" s="21">
        <f>IF(ISERROR(VLOOKUP($F599,#REF!,6,0)*J599/1000),0,VLOOKUP($F599,#REF!,6,0)*J599/1000)</f>
        <v>0</v>
      </c>
      <c r="P599" s="21">
        <f>IF(ISERROR(VLOOKUP(F599,#REF!,6,0)*K599/1000),0,VLOOKUP(F599,#REF!,6,0)*K599/1000)</f>
        <v>0</v>
      </c>
      <c r="Q599" s="6">
        <f>IF(ISERROR(VLOOKUP(F599,#REF!,3,0)),0,VLOOKUP(F599,#REF!,3,0))</f>
        <v>0</v>
      </c>
      <c r="R599" s="6">
        <f>IF(ISERROR(VLOOKUP(F599,#REF!,4,0)),0,VLOOKUP(F599,#REF!,4,0))</f>
        <v>0</v>
      </c>
      <c r="S599" s="8">
        <f>IF(ISERROR(VLOOKUP(F599,#REF!,4,0)),0,VLOOKUP(F599,#REF!,10,0)/60*K599)</f>
        <v>0</v>
      </c>
      <c r="T599" s="3"/>
      <c r="U599" s="3"/>
      <c r="V599" s="4"/>
    </row>
    <row r="600" spans="1:22" x14ac:dyDescent="0.3">
      <c r="A600" s="5">
        <f t="shared" si="28"/>
        <v>0</v>
      </c>
      <c r="B600" s="6">
        <f t="shared" si="29"/>
        <v>0</v>
      </c>
      <c r="K600" s="18">
        <f t="shared" si="27"/>
        <v>0</v>
      </c>
      <c r="L600" s="21">
        <f>IF(ISERROR(VLOOKUP($F600,#REF!,6,0)*G600/1000),0,VLOOKUP($F600,#REF!,6,0)*G600/1000)</f>
        <v>0</v>
      </c>
      <c r="M600" s="21">
        <f>IF(ISERROR(VLOOKUP($F600,#REF!,6,0)*H600/1000),0,VLOOKUP($F600,#REF!,6,0)*H600/1000)</f>
        <v>0</v>
      </c>
      <c r="N600" s="21">
        <f>IF(ISERROR(VLOOKUP($F600,#REF!,6,0)*I600/1000),0,VLOOKUP($F600,#REF!,6,0)*I600/1000)</f>
        <v>0</v>
      </c>
      <c r="O600" s="21">
        <f>IF(ISERROR(VLOOKUP($F600,#REF!,6,0)*J600/1000),0,VLOOKUP($F600,#REF!,6,0)*J600/1000)</f>
        <v>0</v>
      </c>
      <c r="P600" s="21">
        <f>IF(ISERROR(VLOOKUP(F600,#REF!,6,0)*K600/1000),0,VLOOKUP(F600,#REF!,6,0)*K600/1000)</f>
        <v>0</v>
      </c>
      <c r="Q600" s="6">
        <f>IF(ISERROR(VLOOKUP(F600,#REF!,3,0)),0,VLOOKUP(F600,#REF!,3,0))</f>
        <v>0</v>
      </c>
      <c r="R600" s="6">
        <f>IF(ISERROR(VLOOKUP(F600,#REF!,4,0)),0,VLOOKUP(F600,#REF!,4,0))</f>
        <v>0</v>
      </c>
      <c r="S600" s="8">
        <f>IF(ISERROR(VLOOKUP(F600,#REF!,4,0)),0,VLOOKUP(F600,#REF!,10,0)/60*K600)</f>
        <v>0</v>
      </c>
      <c r="T600" s="3"/>
      <c r="U600" s="3"/>
      <c r="V600" s="4"/>
    </row>
    <row r="601" spans="1:22" x14ac:dyDescent="0.3">
      <c r="A601" s="5">
        <f t="shared" si="28"/>
        <v>0</v>
      </c>
      <c r="B601" s="6">
        <f t="shared" si="29"/>
        <v>0</v>
      </c>
      <c r="K601" s="18">
        <f t="shared" si="27"/>
        <v>0</v>
      </c>
      <c r="L601" s="21">
        <f>IF(ISERROR(VLOOKUP($F601,#REF!,6,0)*G601/1000),0,VLOOKUP($F601,#REF!,6,0)*G601/1000)</f>
        <v>0</v>
      </c>
      <c r="M601" s="21">
        <f>IF(ISERROR(VLOOKUP($F601,#REF!,6,0)*H601/1000),0,VLOOKUP($F601,#REF!,6,0)*H601/1000)</f>
        <v>0</v>
      </c>
      <c r="N601" s="21">
        <f>IF(ISERROR(VLOOKUP($F601,#REF!,6,0)*I601/1000),0,VLOOKUP($F601,#REF!,6,0)*I601/1000)</f>
        <v>0</v>
      </c>
      <c r="O601" s="21">
        <f>IF(ISERROR(VLOOKUP($F601,#REF!,6,0)*J601/1000),0,VLOOKUP($F601,#REF!,6,0)*J601/1000)</f>
        <v>0</v>
      </c>
      <c r="P601" s="21">
        <f>IF(ISERROR(VLOOKUP(F601,#REF!,6,0)*K601/1000),0,VLOOKUP(F601,#REF!,6,0)*K601/1000)</f>
        <v>0</v>
      </c>
      <c r="Q601" s="6">
        <f>IF(ISERROR(VLOOKUP(F601,#REF!,3,0)),0,VLOOKUP(F601,#REF!,3,0))</f>
        <v>0</v>
      </c>
      <c r="R601" s="6">
        <f>IF(ISERROR(VLOOKUP(F601,#REF!,4,0)),0,VLOOKUP(F601,#REF!,4,0))</f>
        <v>0</v>
      </c>
      <c r="S601" s="8">
        <f>IF(ISERROR(VLOOKUP(F601,#REF!,4,0)),0,VLOOKUP(F601,#REF!,10,0)/60*K601)</f>
        <v>0</v>
      </c>
      <c r="T601" s="3"/>
      <c r="U601" s="3"/>
      <c r="V601" s="4"/>
    </row>
    <row r="602" spans="1:22" x14ac:dyDescent="0.3">
      <c r="A602" s="5">
        <f t="shared" si="28"/>
        <v>0</v>
      </c>
      <c r="B602" s="6">
        <f t="shared" si="29"/>
        <v>0</v>
      </c>
      <c r="K602" s="18">
        <f t="shared" si="27"/>
        <v>0</v>
      </c>
      <c r="L602" s="21">
        <f>IF(ISERROR(VLOOKUP($F602,#REF!,6,0)*G602/1000),0,VLOOKUP($F602,#REF!,6,0)*G602/1000)</f>
        <v>0</v>
      </c>
      <c r="M602" s="21">
        <f>IF(ISERROR(VLOOKUP($F602,#REF!,6,0)*H602/1000),0,VLOOKUP($F602,#REF!,6,0)*H602/1000)</f>
        <v>0</v>
      </c>
      <c r="N602" s="21">
        <f>IF(ISERROR(VLOOKUP($F602,#REF!,6,0)*I602/1000),0,VLOOKUP($F602,#REF!,6,0)*I602/1000)</f>
        <v>0</v>
      </c>
      <c r="O602" s="21">
        <f>IF(ISERROR(VLOOKUP($F602,#REF!,6,0)*J602/1000),0,VLOOKUP($F602,#REF!,6,0)*J602/1000)</f>
        <v>0</v>
      </c>
      <c r="P602" s="21">
        <f>IF(ISERROR(VLOOKUP(F602,#REF!,6,0)*K602/1000),0,VLOOKUP(F602,#REF!,6,0)*K602/1000)</f>
        <v>0</v>
      </c>
      <c r="Q602" s="6">
        <f>IF(ISERROR(VLOOKUP(F602,#REF!,3,0)),0,VLOOKUP(F602,#REF!,3,0))</f>
        <v>0</v>
      </c>
      <c r="R602" s="6">
        <f>IF(ISERROR(VLOOKUP(F602,#REF!,4,0)),0,VLOOKUP(F602,#REF!,4,0))</f>
        <v>0</v>
      </c>
      <c r="S602" s="8">
        <f>IF(ISERROR(VLOOKUP(F602,#REF!,4,0)),0,VLOOKUP(F602,#REF!,10,0)/60*K602)</f>
        <v>0</v>
      </c>
      <c r="T602" s="3"/>
      <c r="U602" s="3"/>
      <c r="V602" s="4"/>
    </row>
    <row r="603" spans="1:22" x14ac:dyDescent="0.3">
      <c r="A603" s="5">
        <f t="shared" si="28"/>
        <v>0</v>
      </c>
      <c r="B603" s="6">
        <f t="shared" si="29"/>
        <v>0</v>
      </c>
      <c r="K603" s="18">
        <f t="shared" si="27"/>
        <v>0</v>
      </c>
      <c r="L603" s="21">
        <f>IF(ISERROR(VLOOKUP($F603,#REF!,6,0)*G603/1000),0,VLOOKUP($F603,#REF!,6,0)*G603/1000)</f>
        <v>0</v>
      </c>
      <c r="M603" s="21">
        <f>IF(ISERROR(VLOOKUP($F603,#REF!,6,0)*H603/1000),0,VLOOKUP($F603,#REF!,6,0)*H603/1000)</f>
        <v>0</v>
      </c>
      <c r="N603" s="21">
        <f>IF(ISERROR(VLOOKUP($F603,#REF!,6,0)*I603/1000),0,VLOOKUP($F603,#REF!,6,0)*I603/1000)</f>
        <v>0</v>
      </c>
      <c r="O603" s="21">
        <f>IF(ISERROR(VLOOKUP($F603,#REF!,6,0)*J603/1000),0,VLOOKUP($F603,#REF!,6,0)*J603/1000)</f>
        <v>0</v>
      </c>
      <c r="P603" s="21">
        <f>IF(ISERROR(VLOOKUP(F603,#REF!,6,0)*K603/1000),0,VLOOKUP(F603,#REF!,6,0)*K603/1000)</f>
        <v>0</v>
      </c>
      <c r="Q603" s="6">
        <f>IF(ISERROR(VLOOKUP(F603,#REF!,3,0)),0,VLOOKUP(F603,#REF!,3,0))</f>
        <v>0</v>
      </c>
      <c r="R603" s="6">
        <f>IF(ISERROR(VLOOKUP(F603,#REF!,4,0)),0,VLOOKUP(F603,#REF!,4,0))</f>
        <v>0</v>
      </c>
      <c r="S603" s="8">
        <f>IF(ISERROR(VLOOKUP(F603,#REF!,4,0)),0,VLOOKUP(F603,#REF!,10,0)/60*K603)</f>
        <v>0</v>
      </c>
      <c r="T603" s="3"/>
      <c r="U603" s="3"/>
      <c r="V603" s="4"/>
    </row>
    <row r="604" spans="1:22" x14ac:dyDescent="0.3">
      <c r="A604" s="5">
        <f t="shared" si="28"/>
        <v>0</v>
      </c>
      <c r="B604" s="6">
        <f t="shared" si="29"/>
        <v>0</v>
      </c>
      <c r="K604" s="18">
        <f t="shared" si="27"/>
        <v>0</v>
      </c>
      <c r="L604" s="21">
        <f>IF(ISERROR(VLOOKUP($F604,#REF!,6,0)*G604/1000),0,VLOOKUP($F604,#REF!,6,0)*G604/1000)</f>
        <v>0</v>
      </c>
      <c r="M604" s="21">
        <f>IF(ISERROR(VLOOKUP($F604,#REF!,6,0)*H604/1000),0,VLOOKUP($F604,#REF!,6,0)*H604/1000)</f>
        <v>0</v>
      </c>
      <c r="N604" s="21">
        <f>IF(ISERROR(VLOOKUP($F604,#REF!,6,0)*I604/1000),0,VLOOKUP($F604,#REF!,6,0)*I604/1000)</f>
        <v>0</v>
      </c>
      <c r="O604" s="21">
        <f>IF(ISERROR(VLOOKUP($F604,#REF!,6,0)*J604/1000),0,VLOOKUP($F604,#REF!,6,0)*J604/1000)</f>
        <v>0</v>
      </c>
      <c r="P604" s="21">
        <f>IF(ISERROR(VLOOKUP(F604,#REF!,6,0)*K604/1000),0,VLOOKUP(F604,#REF!,6,0)*K604/1000)</f>
        <v>0</v>
      </c>
      <c r="Q604" s="6">
        <f>IF(ISERROR(VLOOKUP(F604,#REF!,3,0)),0,VLOOKUP(F604,#REF!,3,0))</f>
        <v>0</v>
      </c>
      <c r="R604" s="6">
        <f>IF(ISERROR(VLOOKUP(F604,#REF!,4,0)),0,VLOOKUP(F604,#REF!,4,0))</f>
        <v>0</v>
      </c>
      <c r="S604" s="8">
        <f>IF(ISERROR(VLOOKUP(F604,#REF!,4,0)),0,VLOOKUP(F604,#REF!,10,0)/60*K604)</f>
        <v>0</v>
      </c>
      <c r="T604" s="3"/>
      <c r="U604" s="3"/>
      <c r="V604" s="4"/>
    </row>
    <row r="605" spans="1:22" x14ac:dyDescent="0.3">
      <c r="A605" s="5">
        <f t="shared" si="28"/>
        <v>0</v>
      </c>
      <c r="B605" s="6">
        <f t="shared" si="29"/>
        <v>0</v>
      </c>
      <c r="K605" s="18">
        <f t="shared" si="27"/>
        <v>0</v>
      </c>
      <c r="L605" s="21">
        <f>IF(ISERROR(VLOOKUP($F605,#REF!,6,0)*G605/1000),0,VLOOKUP($F605,#REF!,6,0)*G605/1000)</f>
        <v>0</v>
      </c>
      <c r="M605" s="21">
        <f>IF(ISERROR(VLOOKUP($F605,#REF!,6,0)*H605/1000),0,VLOOKUP($F605,#REF!,6,0)*H605/1000)</f>
        <v>0</v>
      </c>
      <c r="N605" s="21">
        <f>IF(ISERROR(VLOOKUP($F605,#REF!,6,0)*I605/1000),0,VLOOKUP($F605,#REF!,6,0)*I605/1000)</f>
        <v>0</v>
      </c>
      <c r="O605" s="21">
        <f>IF(ISERROR(VLOOKUP($F605,#REF!,6,0)*J605/1000),0,VLOOKUP($F605,#REF!,6,0)*J605/1000)</f>
        <v>0</v>
      </c>
      <c r="P605" s="21">
        <f>IF(ISERROR(VLOOKUP(F605,#REF!,6,0)*K605/1000),0,VLOOKUP(F605,#REF!,6,0)*K605/1000)</f>
        <v>0</v>
      </c>
      <c r="Q605" s="6">
        <f>IF(ISERROR(VLOOKUP(F605,#REF!,3,0)),0,VLOOKUP(F605,#REF!,3,0))</f>
        <v>0</v>
      </c>
      <c r="R605" s="6">
        <f>IF(ISERROR(VLOOKUP(F605,#REF!,4,0)),0,VLOOKUP(F605,#REF!,4,0))</f>
        <v>0</v>
      </c>
      <c r="S605" s="8">
        <f>IF(ISERROR(VLOOKUP(F605,#REF!,4,0)),0,VLOOKUP(F605,#REF!,10,0)/60*K605)</f>
        <v>0</v>
      </c>
      <c r="T605" s="3"/>
      <c r="U605" s="3"/>
      <c r="V605" s="4"/>
    </row>
    <row r="606" spans="1:22" x14ac:dyDescent="0.3">
      <c r="A606" s="5">
        <f t="shared" si="28"/>
        <v>0</v>
      </c>
      <c r="B606" s="6">
        <f t="shared" si="29"/>
        <v>0</v>
      </c>
      <c r="K606" s="18">
        <f t="shared" si="27"/>
        <v>0</v>
      </c>
      <c r="L606" s="21">
        <f>IF(ISERROR(VLOOKUP($F606,#REF!,6,0)*G606/1000),0,VLOOKUP($F606,#REF!,6,0)*G606/1000)</f>
        <v>0</v>
      </c>
      <c r="M606" s="21">
        <f>IF(ISERROR(VLOOKUP($F606,#REF!,6,0)*H606/1000),0,VLOOKUP($F606,#REF!,6,0)*H606/1000)</f>
        <v>0</v>
      </c>
      <c r="N606" s="21">
        <f>IF(ISERROR(VLOOKUP($F606,#REF!,6,0)*I606/1000),0,VLOOKUP($F606,#REF!,6,0)*I606/1000)</f>
        <v>0</v>
      </c>
      <c r="O606" s="21">
        <f>IF(ISERROR(VLOOKUP($F606,#REF!,6,0)*J606/1000),0,VLOOKUP($F606,#REF!,6,0)*J606/1000)</f>
        <v>0</v>
      </c>
      <c r="P606" s="21">
        <f>IF(ISERROR(VLOOKUP(F606,#REF!,6,0)*K606/1000),0,VLOOKUP(F606,#REF!,6,0)*K606/1000)</f>
        <v>0</v>
      </c>
      <c r="Q606" s="6">
        <f>IF(ISERROR(VLOOKUP(F606,#REF!,3,0)),0,VLOOKUP(F606,#REF!,3,0))</f>
        <v>0</v>
      </c>
      <c r="R606" s="6">
        <f>IF(ISERROR(VLOOKUP(F606,#REF!,4,0)),0,VLOOKUP(F606,#REF!,4,0))</f>
        <v>0</v>
      </c>
      <c r="S606" s="8">
        <f>IF(ISERROR(VLOOKUP(F606,#REF!,4,0)),0,VLOOKUP(F606,#REF!,10,0)/60*K606)</f>
        <v>0</v>
      </c>
      <c r="T606" s="3"/>
      <c r="U606" s="3"/>
      <c r="V606" s="4"/>
    </row>
    <row r="607" spans="1:22" x14ac:dyDescent="0.3">
      <c r="A607" s="5">
        <f t="shared" si="28"/>
        <v>0</v>
      </c>
      <c r="B607" s="6">
        <f t="shared" si="29"/>
        <v>0</v>
      </c>
      <c r="K607" s="18">
        <f t="shared" si="27"/>
        <v>0</v>
      </c>
      <c r="L607" s="21">
        <f>IF(ISERROR(VLOOKUP($F607,#REF!,6,0)*G607/1000),0,VLOOKUP($F607,#REF!,6,0)*G607/1000)</f>
        <v>0</v>
      </c>
      <c r="M607" s="21">
        <f>IF(ISERROR(VLOOKUP($F607,#REF!,6,0)*H607/1000),0,VLOOKUP($F607,#REF!,6,0)*H607/1000)</f>
        <v>0</v>
      </c>
      <c r="N607" s="21">
        <f>IF(ISERROR(VLOOKUP($F607,#REF!,6,0)*I607/1000),0,VLOOKUP($F607,#REF!,6,0)*I607/1000)</f>
        <v>0</v>
      </c>
      <c r="O607" s="21">
        <f>IF(ISERROR(VLOOKUP($F607,#REF!,6,0)*J607/1000),0,VLOOKUP($F607,#REF!,6,0)*J607/1000)</f>
        <v>0</v>
      </c>
      <c r="P607" s="21">
        <f>IF(ISERROR(VLOOKUP(F607,#REF!,6,0)*K607/1000),0,VLOOKUP(F607,#REF!,6,0)*K607/1000)</f>
        <v>0</v>
      </c>
      <c r="Q607" s="6">
        <f>IF(ISERROR(VLOOKUP(F607,#REF!,3,0)),0,VLOOKUP(F607,#REF!,3,0))</f>
        <v>0</v>
      </c>
      <c r="R607" s="6">
        <f>IF(ISERROR(VLOOKUP(F607,#REF!,4,0)),0,VLOOKUP(F607,#REF!,4,0))</f>
        <v>0</v>
      </c>
      <c r="S607" s="8">
        <f>IF(ISERROR(VLOOKUP(F607,#REF!,4,0)),0,VLOOKUP(F607,#REF!,10,0)/60*K607)</f>
        <v>0</v>
      </c>
      <c r="T607" s="3"/>
      <c r="U607" s="3"/>
      <c r="V607" s="4"/>
    </row>
    <row r="608" spans="1:22" x14ac:dyDescent="0.3">
      <c r="A608" s="5">
        <f t="shared" si="28"/>
        <v>0</v>
      </c>
      <c r="B608" s="6">
        <f t="shared" si="29"/>
        <v>0</v>
      </c>
      <c r="K608" s="18">
        <f t="shared" si="27"/>
        <v>0</v>
      </c>
      <c r="L608" s="21">
        <f>IF(ISERROR(VLOOKUP($F608,#REF!,6,0)*G608/1000),0,VLOOKUP($F608,#REF!,6,0)*G608/1000)</f>
        <v>0</v>
      </c>
      <c r="M608" s="21">
        <f>IF(ISERROR(VLOOKUP($F608,#REF!,6,0)*H608/1000),0,VLOOKUP($F608,#REF!,6,0)*H608/1000)</f>
        <v>0</v>
      </c>
      <c r="N608" s="21">
        <f>IF(ISERROR(VLOOKUP($F608,#REF!,6,0)*I608/1000),0,VLOOKUP($F608,#REF!,6,0)*I608/1000)</f>
        <v>0</v>
      </c>
      <c r="O608" s="21">
        <f>IF(ISERROR(VLOOKUP($F608,#REF!,6,0)*J608/1000),0,VLOOKUP($F608,#REF!,6,0)*J608/1000)</f>
        <v>0</v>
      </c>
      <c r="P608" s="21">
        <f>IF(ISERROR(VLOOKUP(F608,#REF!,6,0)*K608/1000),0,VLOOKUP(F608,#REF!,6,0)*K608/1000)</f>
        <v>0</v>
      </c>
      <c r="Q608" s="6">
        <f>IF(ISERROR(VLOOKUP(F608,#REF!,3,0)),0,VLOOKUP(F608,#REF!,3,0))</f>
        <v>0</v>
      </c>
      <c r="R608" s="6">
        <f>IF(ISERROR(VLOOKUP(F608,#REF!,4,0)),0,VLOOKUP(F608,#REF!,4,0))</f>
        <v>0</v>
      </c>
      <c r="S608" s="8">
        <f>IF(ISERROR(VLOOKUP(F608,#REF!,4,0)),0,VLOOKUP(F608,#REF!,10,0)/60*K608)</f>
        <v>0</v>
      </c>
      <c r="T608" s="3"/>
      <c r="U608" s="3"/>
      <c r="V608" s="4"/>
    </row>
    <row r="609" spans="1:22" x14ac:dyDescent="0.3">
      <c r="A609" s="5">
        <f t="shared" si="28"/>
        <v>0</v>
      </c>
      <c r="B609" s="6">
        <f t="shared" si="29"/>
        <v>0</v>
      </c>
      <c r="K609" s="18">
        <f t="shared" si="27"/>
        <v>0</v>
      </c>
      <c r="L609" s="21">
        <f>IF(ISERROR(VLOOKUP($F609,#REF!,6,0)*G609/1000),0,VLOOKUP($F609,#REF!,6,0)*G609/1000)</f>
        <v>0</v>
      </c>
      <c r="M609" s="21">
        <f>IF(ISERROR(VLOOKUP($F609,#REF!,6,0)*H609/1000),0,VLOOKUP($F609,#REF!,6,0)*H609/1000)</f>
        <v>0</v>
      </c>
      <c r="N609" s="21">
        <f>IF(ISERROR(VLOOKUP($F609,#REF!,6,0)*I609/1000),0,VLOOKUP($F609,#REF!,6,0)*I609/1000)</f>
        <v>0</v>
      </c>
      <c r="O609" s="21">
        <f>IF(ISERROR(VLOOKUP($F609,#REF!,6,0)*J609/1000),0,VLOOKUP($F609,#REF!,6,0)*J609/1000)</f>
        <v>0</v>
      </c>
      <c r="P609" s="21">
        <f>IF(ISERROR(VLOOKUP(F609,#REF!,6,0)*K609/1000),0,VLOOKUP(F609,#REF!,6,0)*K609/1000)</f>
        <v>0</v>
      </c>
      <c r="Q609" s="6">
        <f>IF(ISERROR(VLOOKUP(F609,#REF!,3,0)),0,VLOOKUP(F609,#REF!,3,0))</f>
        <v>0</v>
      </c>
      <c r="R609" s="6">
        <f>IF(ISERROR(VLOOKUP(F609,#REF!,4,0)),0,VLOOKUP(F609,#REF!,4,0))</f>
        <v>0</v>
      </c>
      <c r="S609" s="8">
        <f>IF(ISERROR(VLOOKUP(F609,#REF!,4,0)),0,VLOOKUP(F609,#REF!,10,0)/60*K609)</f>
        <v>0</v>
      </c>
      <c r="T609" s="3"/>
      <c r="U609" s="3"/>
      <c r="V609" s="4"/>
    </row>
    <row r="610" spans="1:22" x14ac:dyDescent="0.3">
      <c r="A610" s="5">
        <f t="shared" si="28"/>
        <v>0</v>
      </c>
      <c r="B610" s="6">
        <f t="shared" si="29"/>
        <v>0</v>
      </c>
      <c r="K610" s="18">
        <f t="shared" si="27"/>
        <v>0</v>
      </c>
      <c r="L610" s="21">
        <f>IF(ISERROR(VLOOKUP($F610,#REF!,6,0)*G610/1000),0,VLOOKUP($F610,#REF!,6,0)*G610/1000)</f>
        <v>0</v>
      </c>
      <c r="M610" s="21">
        <f>IF(ISERROR(VLOOKUP($F610,#REF!,6,0)*H610/1000),0,VLOOKUP($F610,#REF!,6,0)*H610/1000)</f>
        <v>0</v>
      </c>
      <c r="N610" s="21">
        <f>IF(ISERROR(VLOOKUP($F610,#REF!,6,0)*I610/1000),0,VLOOKUP($F610,#REF!,6,0)*I610/1000)</f>
        <v>0</v>
      </c>
      <c r="O610" s="21">
        <f>IF(ISERROR(VLOOKUP($F610,#REF!,6,0)*J610/1000),0,VLOOKUP($F610,#REF!,6,0)*J610/1000)</f>
        <v>0</v>
      </c>
      <c r="P610" s="21">
        <f>IF(ISERROR(VLOOKUP(F610,#REF!,6,0)*K610/1000),0,VLOOKUP(F610,#REF!,6,0)*K610/1000)</f>
        <v>0</v>
      </c>
      <c r="Q610" s="6">
        <f>IF(ISERROR(VLOOKUP(F610,#REF!,3,0)),0,VLOOKUP(F610,#REF!,3,0))</f>
        <v>0</v>
      </c>
      <c r="R610" s="6">
        <f>IF(ISERROR(VLOOKUP(F610,#REF!,4,0)),0,VLOOKUP(F610,#REF!,4,0))</f>
        <v>0</v>
      </c>
      <c r="S610" s="8">
        <f>IF(ISERROR(VLOOKUP(F610,#REF!,4,0)),0,VLOOKUP(F610,#REF!,10,0)/60*K610)</f>
        <v>0</v>
      </c>
      <c r="T610" s="3"/>
      <c r="U610" s="3"/>
      <c r="V610" s="4"/>
    </row>
    <row r="611" spans="1:22" x14ac:dyDescent="0.3">
      <c r="A611" s="5">
        <f t="shared" si="28"/>
        <v>0</v>
      </c>
      <c r="B611" s="6">
        <f t="shared" si="29"/>
        <v>0</v>
      </c>
      <c r="K611" s="18">
        <f t="shared" si="27"/>
        <v>0</v>
      </c>
      <c r="L611" s="21">
        <f>IF(ISERROR(VLOOKUP($F611,#REF!,6,0)*G611/1000),0,VLOOKUP($F611,#REF!,6,0)*G611/1000)</f>
        <v>0</v>
      </c>
      <c r="M611" s="21">
        <f>IF(ISERROR(VLOOKUP($F611,#REF!,6,0)*H611/1000),0,VLOOKUP($F611,#REF!,6,0)*H611/1000)</f>
        <v>0</v>
      </c>
      <c r="N611" s="21">
        <f>IF(ISERROR(VLOOKUP($F611,#REF!,6,0)*I611/1000),0,VLOOKUP($F611,#REF!,6,0)*I611/1000)</f>
        <v>0</v>
      </c>
      <c r="O611" s="21">
        <f>IF(ISERROR(VLOOKUP($F611,#REF!,6,0)*J611/1000),0,VLOOKUP($F611,#REF!,6,0)*J611/1000)</f>
        <v>0</v>
      </c>
      <c r="P611" s="21">
        <f>IF(ISERROR(VLOOKUP(F611,#REF!,6,0)*K611/1000),0,VLOOKUP(F611,#REF!,6,0)*K611/1000)</f>
        <v>0</v>
      </c>
      <c r="Q611" s="6">
        <f>IF(ISERROR(VLOOKUP(F611,#REF!,3,0)),0,VLOOKUP(F611,#REF!,3,0))</f>
        <v>0</v>
      </c>
      <c r="R611" s="6">
        <f>IF(ISERROR(VLOOKUP(F611,#REF!,4,0)),0,VLOOKUP(F611,#REF!,4,0))</f>
        <v>0</v>
      </c>
      <c r="S611" s="8">
        <f>IF(ISERROR(VLOOKUP(F611,#REF!,4,0)),0,VLOOKUP(F611,#REF!,10,0)/60*K611)</f>
        <v>0</v>
      </c>
      <c r="T611" s="3"/>
      <c r="U611" s="3"/>
      <c r="V611" s="4"/>
    </row>
    <row r="612" spans="1:22" x14ac:dyDescent="0.3">
      <c r="A612" s="5">
        <f t="shared" si="28"/>
        <v>0</v>
      </c>
      <c r="B612" s="6">
        <f t="shared" si="29"/>
        <v>0</v>
      </c>
      <c r="K612" s="18">
        <f t="shared" si="27"/>
        <v>0</v>
      </c>
      <c r="L612" s="21">
        <f>IF(ISERROR(VLOOKUP($F612,#REF!,6,0)*G612/1000),0,VLOOKUP($F612,#REF!,6,0)*G612/1000)</f>
        <v>0</v>
      </c>
      <c r="M612" s="21">
        <f>IF(ISERROR(VLOOKUP($F612,#REF!,6,0)*H612/1000),0,VLOOKUP($F612,#REF!,6,0)*H612/1000)</f>
        <v>0</v>
      </c>
      <c r="N612" s="21">
        <f>IF(ISERROR(VLOOKUP($F612,#REF!,6,0)*I612/1000),0,VLOOKUP($F612,#REF!,6,0)*I612/1000)</f>
        <v>0</v>
      </c>
      <c r="O612" s="21">
        <f>IF(ISERROR(VLOOKUP($F612,#REF!,6,0)*J612/1000),0,VLOOKUP($F612,#REF!,6,0)*J612/1000)</f>
        <v>0</v>
      </c>
      <c r="P612" s="21">
        <f>IF(ISERROR(VLOOKUP(F612,#REF!,6,0)*K612/1000),0,VLOOKUP(F612,#REF!,6,0)*K612/1000)</f>
        <v>0</v>
      </c>
      <c r="Q612" s="6">
        <f>IF(ISERROR(VLOOKUP(F612,#REF!,3,0)),0,VLOOKUP(F612,#REF!,3,0))</f>
        <v>0</v>
      </c>
      <c r="R612" s="6">
        <f>IF(ISERROR(VLOOKUP(F612,#REF!,4,0)),0,VLOOKUP(F612,#REF!,4,0))</f>
        <v>0</v>
      </c>
      <c r="S612" s="8">
        <f>IF(ISERROR(VLOOKUP(F612,#REF!,4,0)),0,VLOOKUP(F612,#REF!,10,0)/60*K612)</f>
        <v>0</v>
      </c>
      <c r="T612" s="3"/>
      <c r="U612" s="3"/>
      <c r="V612" s="4"/>
    </row>
    <row r="613" spans="1:22" x14ac:dyDescent="0.3">
      <c r="A613" s="5">
        <f t="shared" si="28"/>
        <v>0</v>
      </c>
      <c r="B613" s="6">
        <f t="shared" si="29"/>
        <v>0</v>
      </c>
      <c r="K613" s="18">
        <f t="shared" si="27"/>
        <v>0</v>
      </c>
      <c r="L613" s="21">
        <f>IF(ISERROR(VLOOKUP($F613,#REF!,6,0)*G613/1000),0,VLOOKUP($F613,#REF!,6,0)*G613/1000)</f>
        <v>0</v>
      </c>
      <c r="M613" s="21">
        <f>IF(ISERROR(VLOOKUP($F613,#REF!,6,0)*H613/1000),0,VLOOKUP($F613,#REF!,6,0)*H613/1000)</f>
        <v>0</v>
      </c>
      <c r="N613" s="21">
        <f>IF(ISERROR(VLOOKUP($F613,#REF!,6,0)*I613/1000),0,VLOOKUP($F613,#REF!,6,0)*I613/1000)</f>
        <v>0</v>
      </c>
      <c r="O613" s="21">
        <f>IF(ISERROR(VLOOKUP($F613,#REF!,6,0)*J613/1000),0,VLOOKUP($F613,#REF!,6,0)*J613/1000)</f>
        <v>0</v>
      </c>
      <c r="P613" s="21">
        <f>IF(ISERROR(VLOOKUP(F613,#REF!,6,0)*K613/1000),0,VLOOKUP(F613,#REF!,6,0)*K613/1000)</f>
        <v>0</v>
      </c>
      <c r="Q613" s="6">
        <f>IF(ISERROR(VLOOKUP(F613,#REF!,3,0)),0,VLOOKUP(F613,#REF!,3,0))</f>
        <v>0</v>
      </c>
      <c r="R613" s="6">
        <f>IF(ISERROR(VLOOKUP(F613,#REF!,4,0)),0,VLOOKUP(F613,#REF!,4,0))</f>
        <v>0</v>
      </c>
      <c r="S613" s="8">
        <f>IF(ISERROR(VLOOKUP(F613,#REF!,4,0)),0,VLOOKUP(F613,#REF!,10,0)/60*K613)</f>
        <v>0</v>
      </c>
      <c r="T613" s="3"/>
      <c r="U613" s="3"/>
      <c r="V613" s="4"/>
    </row>
    <row r="614" spans="1:22" x14ac:dyDescent="0.3">
      <c r="A614" s="5">
        <f t="shared" si="28"/>
        <v>0</v>
      </c>
      <c r="B614" s="6">
        <f t="shared" si="29"/>
        <v>0</v>
      </c>
      <c r="K614" s="18">
        <f t="shared" si="27"/>
        <v>0</v>
      </c>
      <c r="L614" s="21">
        <f>IF(ISERROR(VLOOKUP($F614,#REF!,6,0)*G614/1000),0,VLOOKUP($F614,#REF!,6,0)*G614/1000)</f>
        <v>0</v>
      </c>
      <c r="M614" s="21">
        <f>IF(ISERROR(VLOOKUP($F614,#REF!,6,0)*H614/1000),0,VLOOKUP($F614,#REF!,6,0)*H614/1000)</f>
        <v>0</v>
      </c>
      <c r="N614" s="21">
        <f>IF(ISERROR(VLOOKUP($F614,#REF!,6,0)*I614/1000),0,VLOOKUP($F614,#REF!,6,0)*I614/1000)</f>
        <v>0</v>
      </c>
      <c r="O614" s="21">
        <f>IF(ISERROR(VLOOKUP($F614,#REF!,6,0)*J614/1000),0,VLOOKUP($F614,#REF!,6,0)*J614/1000)</f>
        <v>0</v>
      </c>
      <c r="P614" s="21">
        <f>IF(ISERROR(VLOOKUP(F614,#REF!,6,0)*K614/1000),0,VLOOKUP(F614,#REF!,6,0)*K614/1000)</f>
        <v>0</v>
      </c>
      <c r="Q614" s="6">
        <f>IF(ISERROR(VLOOKUP(F614,#REF!,3,0)),0,VLOOKUP(F614,#REF!,3,0))</f>
        <v>0</v>
      </c>
      <c r="R614" s="6">
        <f>IF(ISERROR(VLOOKUP(F614,#REF!,4,0)),0,VLOOKUP(F614,#REF!,4,0))</f>
        <v>0</v>
      </c>
      <c r="S614" s="8">
        <f>IF(ISERROR(VLOOKUP(F614,#REF!,4,0)),0,VLOOKUP(F614,#REF!,10,0)/60*K614)</f>
        <v>0</v>
      </c>
      <c r="T614" s="3"/>
      <c r="U614" s="3"/>
      <c r="V614" s="4"/>
    </row>
    <row r="615" spans="1:22" x14ac:dyDescent="0.3">
      <c r="A615" s="5">
        <f t="shared" si="28"/>
        <v>0</v>
      </c>
      <c r="B615" s="6">
        <f t="shared" si="29"/>
        <v>0</v>
      </c>
      <c r="K615" s="18">
        <f t="shared" si="27"/>
        <v>0</v>
      </c>
      <c r="L615" s="21">
        <f>IF(ISERROR(VLOOKUP($F615,#REF!,6,0)*G615/1000),0,VLOOKUP($F615,#REF!,6,0)*G615/1000)</f>
        <v>0</v>
      </c>
      <c r="M615" s="21">
        <f>IF(ISERROR(VLOOKUP($F615,#REF!,6,0)*H615/1000),0,VLOOKUP($F615,#REF!,6,0)*H615/1000)</f>
        <v>0</v>
      </c>
      <c r="N615" s="21">
        <f>IF(ISERROR(VLOOKUP($F615,#REF!,6,0)*I615/1000),0,VLOOKUP($F615,#REF!,6,0)*I615/1000)</f>
        <v>0</v>
      </c>
      <c r="O615" s="21">
        <f>IF(ISERROR(VLOOKUP($F615,#REF!,6,0)*J615/1000),0,VLOOKUP($F615,#REF!,6,0)*J615/1000)</f>
        <v>0</v>
      </c>
      <c r="P615" s="21">
        <f>IF(ISERROR(VLOOKUP(F615,#REF!,6,0)*K615/1000),0,VLOOKUP(F615,#REF!,6,0)*K615/1000)</f>
        <v>0</v>
      </c>
      <c r="Q615" s="6">
        <f>IF(ISERROR(VLOOKUP(F615,#REF!,3,0)),0,VLOOKUP(F615,#REF!,3,0))</f>
        <v>0</v>
      </c>
      <c r="R615" s="6">
        <f>IF(ISERROR(VLOOKUP(F615,#REF!,4,0)),0,VLOOKUP(F615,#REF!,4,0))</f>
        <v>0</v>
      </c>
      <c r="S615" s="8">
        <f>IF(ISERROR(VLOOKUP(F615,#REF!,4,0)),0,VLOOKUP(F615,#REF!,10,0)/60*K615)</f>
        <v>0</v>
      </c>
      <c r="T615" s="3"/>
      <c r="U615" s="3"/>
      <c r="V615" s="4"/>
    </row>
    <row r="616" spans="1:22" x14ac:dyDescent="0.3">
      <c r="A616" s="5">
        <f t="shared" si="28"/>
        <v>0</v>
      </c>
      <c r="B616" s="6">
        <f t="shared" si="29"/>
        <v>0</v>
      </c>
      <c r="K616" s="18">
        <f t="shared" si="27"/>
        <v>0</v>
      </c>
      <c r="L616" s="21">
        <f>IF(ISERROR(VLOOKUP($F616,#REF!,6,0)*G616/1000),0,VLOOKUP($F616,#REF!,6,0)*G616/1000)</f>
        <v>0</v>
      </c>
      <c r="M616" s="21">
        <f>IF(ISERROR(VLOOKUP($F616,#REF!,6,0)*H616/1000),0,VLOOKUP($F616,#REF!,6,0)*H616/1000)</f>
        <v>0</v>
      </c>
      <c r="N616" s="21">
        <f>IF(ISERROR(VLOOKUP($F616,#REF!,6,0)*I616/1000),0,VLOOKUP($F616,#REF!,6,0)*I616/1000)</f>
        <v>0</v>
      </c>
      <c r="O616" s="21">
        <f>IF(ISERROR(VLOOKUP($F616,#REF!,6,0)*J616/1000),0,VLOOKUP($F616,#REF!,6,0)*J616/1000)</f>
        <v>0</v>
      </c>
      <c r="P616" s="21">
        <f>IF(ISERROR(VLOOKUP(F616,#REF!,6,0)*K616/1000),0,VLOOKUP(F616,#REF!,6,0)*K616/1000)</f>
        <v>0</v>
      </c>
      <c r="Q616" s="6">
        <f>IF(ISERROR(VLOOKUP(F616,#REF!,3,0)),0,VLOOKUP(F616,#REF!,3,0))</f>
        <v>0</v>
      </c>
      <c r="R616" s="6">
        <f>IF(ISERROR(VLOOKUP(F616,#REF!,4,0)),0,VLOOKUP(F616,#REF!,4,0))</f>
        <v>0</v>
      </c>
      <c r="S616" s="8">
        <f>IF(ISERROR(VLOOKUP(F616,#REF!,4,0)),0,VLOOKUP(F616,#REF!,10,0)/60*K616)</f>
        <v>0</v>
      </c>
      <c r="T616" s="3"/>
      <c r="U616" s="3"/>
      <c r="V616" s="4"/>
    </row>
    <row r="617" spans="1:22" x14ac:dyDescent="0.3">
      <c r="A617" s="5">
        <f t="shared" si="28"/>
        <v>0</v>
      </c>
      <c r="B617" s="6">
        <f t="shared" si="29"/>
        <v>0</v>
      </c>
      <c r="K617" s="18">
        <f t="shared" si="27"/>
        <v>0</v>
      </c>
      <c r="L617" s="21">
        <f>IF(ISERROR(VLOOKUP($F617,#REF!,6,0)*G617/1000),0,VLOOKUP($F617,#REF!,6,0)*G617/1000)</f>
        <v>0</v>
      </c>
      <c r="M617" s="21">
        <f>IF(ISERROR(VLOOKUP($F617,#REF!,6,0)*H617/1000),0,VLOOKUP($F617,#REF!,6,0)*H617/1000)</f>
        <v>0</v>
      </c>
      <c r="N617" s="21">
        <f>IF(ISERROR(VLOOKUP($F617,#REF!,6,0)*I617/1000),0,VLOOKUP($F617,#REF!,6,0)*I617/1000)</f>
        <v>0</v>
      </c>
      <c r="O617" s="21">
        <f>IF(ISERROR(VLOOKUP($F617,#REF!,6,0)*J617/1000),0,VLOOKUP($F617,#REF!,6,0)*J617/1000)</f>
        <v>0</v>
      </c>
      <c r="P617" s="21">
        <f>IF(ISERROR(VLOOKUP(F617,#REF!,6,0)*K617/1000),0,VLOOKUP(F617,#REF!,6,0)*K617/1000)</f>
        <v>0</v>
      </c>
      <c r="Q617" s="6">
        <f>IF(ISERROR(VLOOKUP(F617,#REF!,3,0)),0,VLOOKUP(F617,#REF!,3,0))</f>
        <v>0</v>
      </c>
      <c r="R617" s="6">
        <f>IF(ISERROR(VLOOKUP(F617,#REF!,4,0)),0,VLOOKUP(F617,#REF!,4,0))</f>
        <v>0</v>
      </c>
      <c r="S617" s="8">
        <f>IF(ISERROR(VLOOKUP(F617,#REF!,4,0)),0,VLOOKUP(F617,#REF!,10,0)/60*K617)</f>
        <v>0</v>
      </c>
      <c r="T617" s="3"/>
      <c r="U617" s="3"/>
      <c r="V617" s="4"/>
    </row>
    <row r="618" spans="1:22" x14ac:dyDescent="0.3">
      <c r="A618" s="5">
        <f t="shared" si="28"/>
        <v>0</v>
      </c>
      <c r="B618" s="6">
        <f t="shared" si="29"/>
        <v>0</v>
      </c>
      <c r="K618" s="18">
        <f t="shared" si="27"/>
        <v>0</v>
      </c>
      <c r="L618" s="21">
        <f>IF(ISERROR(VLOOKUP($F618,#REF!,6,0)*G618/1000),0,VLOOKUP($F618,#REF!,6,0)*G618/1000)</f>
        <v>0</v>
      </c>
      <c r="M618" s="21">
        <f>IF(ISERROR(VLOOKUP($F618,#REF!,6,0)*H618/1000),0,VLOOKUP($F618,#REF!,6,0)*H618/1000)</f>
        <v>0</v>
      </c>
      <c r="N618" s="21">
        <f>IF(ISERROR(VLOOKUP($F618,#REF!,6,0)*I618/1000),0,VLOOKUP($F618,#REF!,6,0)*I618/1000)</f>
        <v>0</v>
      </c>
      <c r="O618" s="21">
        <f>IF(ISERROR(VLOOKUP($F618,#REF!,6,0)*J618/1000),0,VLOOKUP($F618,#REF!,6,0)*J618/1000)</f>
        <v>0</v>
      </c>
      <c r="P618" s="21">
        <f>IF(ISERROR(VLOOKUP(F618,#REF!,6,0)*K618/1000),0,VLOOKUP(F618,#REF!,6,0)*K618/1000)</f>
        <v>0</v>
      </c>
      <c r="Q618" s="6">
        <f>IF(ISERROR(VLOOKUP(F618,#REF!,3,0)),0,VLOOKUP(F618,#REF!,3,0))</f>
        <v>0</v>
      </c>
      <c r="R618" s="6">
        <f>IF(ISERROR(VLOOKUP(F618,#REF!,4,0)),0,VLOOKUP(F618,#REF!,4,0))</f>
        <v>0</v>
      </c>
      <c r="S618" s="8">
        <f>IF(ISERROR(VLOOKUP(F618,#REF!,4,0)),0,VLOOKUP(F618,#REF!,10,0)/60*K618)</f>
        <v>0</v>
      </c>
      <c r="T618" s="3"/>
      <c r="U618" s="3"/>
      <c r="V618" s="4"/>
    </row>
    <row r="619" spans="1:22" x14ac:dyDescent="0.3">
      <c r="A619" s="5">
        <f t="shared" si="28"/>
        <v>0</v>
      </c>
      <c r="B619" s="6">
        <f t="shared" si="29"/>
        <v>0</v>
      </c>
      <c r="K619" s="18">
        <f t="shared" si="27"/>
        <v>0</v>
      </c>
      <c r="L619" s="21">
        <f>IF(ISERROR(VLOOKUP($F619,#REF!,6,0)*G619/1000),0,VLOOKUP($F619,#REF!,6,0)*G619/1000)</f>
        <v>0</v>
      </c>
      <c r="M619" s="21">
        <f>IF(ISERROR(VLOOKUP($F619,#REF!,6,0)*H619/1000),0,VLOOKUP($F619,#REF!,6,0)*H619/1000)</f>
        <v>0</v>
      </c>
      <c r="N619" s="21">
        <f>IF(ISERROR(VLOOKUP($F619,#REF!,6,0)*I619/1000),0,VLOOKUP($F619,#REF!,6,0)*I619/1000)</f>
        <v>0</v>
      </c>
      <c r="O619" s="21">
        <f>IF(ISERROR(VLOOKUP($F619,#REF!,6,0)*J619/1000),0,VLOOKUP($F619,#REF!,6,0)*J619/1000)</f>
        <v>0</v>
      </c>
      <c r="P619" s="21">
        <f>IF(ISERROR(VLOOKUP(F619,#REF!,6,0)*K619/1000),0,VLOOKUP(F619,#REF!,6,0)*K619/1000)</f>
        <v>0</v>
      </c>
      <c r="Q619" s="6">
        <f>IF(ISERROR(VLOOKUP(F619,#REF!,3,0)),0,VLOOKUP(F619,#REF!,3,0))</f>
        <v>0</v>
      </c>
      <c r="R619" s="6">
        <f>IF(ISERROR(VLOOKUP(F619,#REF!,4,0)),0,VLOOKUP(F619,#REF!,4,0))</f>
        <v>0</v>
      </c>
      <c r="S619" s="8">
        <f>IF(ISERROR(VLOOKUP(F619,#REF!,4,0)),0,VLOOKUP(F619,#REF!,10,0)/60*K619)</f>
        <v>0</v>
      </c>
      <c r="T619" s="3"/>
      <c r="U619" s="3"/>
      <c r="V619" s="4"/>
    </row>
    <row r="620" spans="1:22" x14ac:dyDescent="0.3">
      <c r="A620" s="5">
        <f t="shared" si="28"/>
        <v>0</v>
      </c>
      <c r="B620" s="6">
        <f t="shared" si="29"/>
        <v>0</v>
      </c>
      <c r="K620" s="18">
        <f t="shared" si="27"/>
        <v>0</v>
      </c>
      <c r="L620" s="21">
        <f>IF(ISERROR(VLOOKUP($F620,#REF!,6,0)*G620/1000),0,VLOOKUP($F620,#REF!,6,0)*G620/1000)</f>
        <v>0</v>
      </c>
      <c r="M620" s="21">
        <f>IF(ISERROR(VLOOKUP($F620,#REF!,6,0)*H620/1000),0,VLOOKUP($F620,#REF!,6,0)*H620/1000)</f>
        <v>0</v>
      </c>
      <c r="N620" s="21">
        <f>IF(ISERROR(VLOOKUP($F620,#REF!,6,0)*I620/1000),0,VLOOKUP($F620,#REF!,6,0)*I620/1000)</f>
        <v>0</v>
      </c>
      <c r="O620" s="21">
        <f>IF(ISERROR(VLOOKUP($F620,#REF!,6,0)*J620/1000),0,VLOOKUP($F620,#REF!,6,0)*J620/1000)</f>
        <v>0</v>
      </c>
      <c r="P620" s="21">
        <f>IF(ISERROR(VLOOKUP(F620,#REF!,6,0)*K620/1000),0,VLOOKUP(F620,#REF!,6,0)*K620/1000)</f>
        <v>0</v>
      </c>
      <c r="Q620" s="6">
        <f>IF(ISERROR(VLOOKUP(F620,#REF!,3,0)),0,VLOOKUP(F620,#REF!,3,0))</f>
        <v>0</v>
      </c>
      <c r="R620" s="6">
        <f>IF(ISERROR(VLOOKUP(F620,#REF!,4,0)),0,VLOOKUP(F620,#REF!,4,0))</f>
        <v>0</v>
      </c>
      <c r="S620" s="8">
        <f>IF(ISERROR(VLOOKUP(F620,#REF!,4,0)),0,VLOOKUP(F620,#REF!,10,0)/60*K620)</f>
        <v>0</v>
      </c>
      <c r="T620" s="3"/>
      <c r="U620" s="3"/>
      <c r="V620" s="4"/>
    </row>
    <row r="621" spans="1:22" x14ac:dyDescent="0.3">
      <c r="A621" s="5">
        <f t="shared" si="28"/>
        <v>0</v>
      </c>
      <c r="B621" s="6">
        <f t="shared" si="29"/>
        <v>0</v>
      </c>
      <c r="K621" s="18">
        <f t="shared" si="27"/>
        <v>0</v>
      </c>
      <c r="L621" s="21">
        <f>IF(ISERROR(VLOOKUP($F621,#REF!,6,0)*G621/1000),0,VLOOKUP($F621,#REF!,6,0)*G621/1000)</f>
        <v>0</v>
      </c>
      <c r="M621" s="21">
        <f>IF(ISERROR(VLOOKUP($F621,#REF!,6,0)*H621/1000),0,VLOOKUP($F621,#REF!,6,0)*H621/1000)</f>
        <v>0</v>
      </c>
      <c r="N621" s="21">
        <f>IF(ISERROR(VLOOKUP($F621,#REF!,6,0)*I621/1000),0,VLOOKUP($F621,#REF!,6,0)*I621/1000)</f>
        <v>0</v>
      </c>
      <c r="O621" s="21">
        <f>IF(ISERROR(VLOOKUP($F621,#REF!,6,0)*J621/1000),0,VLOOKUP($F621,#REF!,6,0)*J621/1000)</f>
        <v>0</v>
      </c>
      <c r="P621" s="21">
        <f>IF(ISERROR(VLOOKUP(F621,#REF!,6,0)*K621/1000),0,VLOOKUP(F621,#REF!,6,0)*K621/1000)</f>
        <v>0</v>
      </c>
      <c r="Q621" s="6">
        <f>IF(ISERROR(VLOOKUP(F621,#REF!,3,0)),0,VLOOKUP(F621,#REF!,3,0))</f>
        <v>0</v>
      </c>
      <c r="R621" s="6">
        <f>IF(ISERROR(VLOOKUP(F621,#REF!,4,0)),0,VLOOKUP(F621,#REF!,4,0))</f>
        <v>0</v>
      </c>
      <c r="S621" s="8">
        <f>IF(ISERROR(VLOOKUP(F621,#REF!,4,0)),0,VLOOKUP(F621,#REF!,10,0)/60*K621)</f>
        <v>0</v>
      </c>
      <c r="T621" s="3"/>
      <c r="U621" s="3"/>
      <c r="V621" s="4"/>
    </row>
    <row r="622" spans="1:22" x14ac:dyDescent="0.3">
      <c r="A622" s="5">
        <f t="shared" si="28"/>
        <v>0</v>
      </c>
      <c r="B622" s="6">
        <f t="shared" si="29"/>
        <v>0</v>
      </c>
      <c r="K622" s="18">
        <f t="shared" si="27"/>
        <v>0</v>
      </c>
      <c r="L622" s="21">
        <f>IF(ISERROR(VLOOKUP($F622,#REF!,6,0)*G622/1000),0,VLOOKUP($F622,#REF!,6,0)*G622/1000)</f>
        <v>0</v>
      </c>
      <c r="M622" s="21">
        <f>IF(ISERROR(VLOOKUP($F622,#REF!,6,0)*H622/1000),0,VLOOKUP($F622,#REF!,6,0)*H622/1000)</f>
        <v>0</v>
      </c>
      <c r="N622" s="21">
        <f>IF(ISERROR(VLOOKUP($F622,#REF!,6,0)*I622/1000),0,VLOOKUP($F622,#REF!,6,0)*I622/1000)</f>
        <v>0</v>
      </c>
      <c r="O622" s="21">
        <f>IF(ISERROR(VLOOKUP($F622,#REF!,6,0)*J622/1000),0,VLOOKUP($F622,#REF!,6,0)*J622/1000)</f>
        <v>0</v>
      </c>
      <c r="P622" s="21">
        <f>IF(ISERROR(VLOOKUP(F622,#REF!,6,0)*K622/1000),0,VLOOKUP(F622,#REF!,6,0)*K622/1000)</f>
        <v>0</v>
      </c>
      <c r="Q622" s="6">
        <f>IF(ISERROR(VLOOKUP(F622,#REF!,3,0)),0,VLOOKUP(F622,#REF!,3,0))</f>
        <v>0</v>
      </c>
      <c r="R622" s="6">
        <f>IF(ISERROR(VLOOKUP(F622,#REF!,4,0)),0,VLOOKUP(F622,#REF!,4,0))</f>
        <v>0</v>
      </c>
      <c r="S622" s="8">
        <f>IF(ISERROR(VLOOKUP(F622,#REF!,4,0)),0,VLOOKUP(F622,#REF!,10,0)/60*K622)</f>
        <v>0</v>
      </c>
      <c r="T622" s="3"/>
      <c r="U622" s="3"/>
      <c r="V622" s="4"/>
    </row>
    <row r="623" spans="1:22" x14ac:dyDescent="0.3">
      <c r="A623" s="5">
        <f t="shared" si="28"/>
        <v>0</v>
      </c>
      <c r="B623" s="6">
        <f t="shared" si="29"/>
        <v>0</v>
      </c>
      <c r="K623" s="18">
        <f t="shared" si="27"/>
        <v>0</v>
      </c>
      <c r="L623" s="21">
        <f>IF(ISERROR(VLOOKUP($F623,#REF!,6,0)*G623/1000),0,VLOOKUP($F623,#REF!,6,0)*G623/1000)</f>
        <v>0</v>
      </c>
      <c r="M623" s="21">
        <f>IF(ISERROR(VLOOKUP($F623,#REF!,6,0)*H623/1000),0,VLOOKUP($F623,#REF!,6,0)*H623/1000)</f>
        <v>0</v>
      </c>
      <c r="N623" s="21">
        <f>IF(ISERROR(VLOOKUP($F623,#REF!,6,0)*I623/1000),0,VLOOKUP($F623,#REF!,6,0)*I623/1000)</f>
        <v>0</v>
      </c>
      <c r="O623" s="21">
        <f>IF(ISERROR(VLOOKUP($F623,#REF!,6,0)*J623/1000),0,VLOOKUP($F623,#REF!,6,0)*J623/1000)</f>
        <v>0</v>
      </c>
      <c r="P623" s="21">
        <f>IF(ISERROR(VLOOKUP(F623,#REF!,6,0)*K623/1000),0,VLOOKUP(F623,#REF!,6,0)*K623/1000)</f>
        <v>0</v>
      </c>
      <c r="Q623" s="6">
        <f>IF(ISERROR(VLOOKUP(F623,#REF!,3,0)),0,VLOOKUP(F623,#REF!,3,0))</f>
        <v>0</v>
      </c>
      <c r="R623" s="6">
        <f>IF(ISERROR(VLOOKUP(F623,#REF!,4,0)),0,VLOOKUP(F623,#REF!,4,0))</f>
        <v>0</v>
      </c>
      <c r="S623" s="8">
        <f>IF(ISERROR(VLOOKUP(F623,#REF!,4,0)),0,VLOOKUP(F623,#REF!,10,0)/60*K623)</f>
        <v>0</v>
      </c>
      <c r="T623" s="3"/>
      <c r="U623" s="3"/>
      <c r="V623" s="4"/>
    </row>
    <row r="624" spans="1:22" x14ac:dyDescent="0.3">
      <c r="A624" s="5">
        <f t="shared" si="28"/>
        <v>0</v>
      </c>
      <c r="B624" s="6">
        <f t="shared" si="29"/>
        <v>0</v>
      </c>
      <c r="K624" s="18">
        <f t="shared" si="27"/>
        <v>0</v>
      </c>
      <c r="L624" s="21">
        <f>IF(ISERROR(VLOOKUP($F624,#REF!,6,0)*G624/1000),0,VLOOKUP($F624,#REF!,6,0)*G624/1000)</f>
        <v>0</v>
      </c>
      <c r="M624" s="21">
        <f>IF(ISERROR(VLOOKUP($F624,#REF!,6,0)*H624/1000),0,VLOOKUP($F624,#REF!,6,0)*H624/1000)</f>
        <v>0</v>
      </c>
      <c r="N624" s="21">
        <f>IF(ISERROR(VLOOKUP($F624,#REF!,6,0)*I624/1000),0,VLOOKUP($F624,#REF!,6,0)*I624/1000)</f>
        <v>0</v>
      </c>
      <c r="O624" s="21">
        <f>IF(ISERROR(VLOOKUP($F624,#REF!,6,0)*J624/1000),0,VLOOKUP($F624,#REF!,6,0)*J624/1000)</f>
        <v>0</v>
      </c>
      <c r="P624" s="21">
        <f>IF(ISERROR(VLOOKUP(F624,#REF!,6,0)*K624/1000),0,VLOOKUP(F624,#REF!,6,0)*K624/1000)</f>
        <v>0</v>
      </c>
      <c r="Q624" s="6">
        <f>IF(ISERROR(VLOOKUP(F624,#REF!,3,0)),0,VLOOKUP(F624,#REF!,3,0))</f>
        <v>0</v>
      </c>
      <c r="R624" s="6">
        <f>IF(ISERROR(VLOOKUP(F624,#REF!,4,0)),0,VLOOKUP(F624,#REF!,4,0))</f>
        <v>0</v>
      </c>
      <c r="S624" s="8">
        <f>IF(ISERROR(VLOOKUP(F624,#REF!,4,0)),0,VLOOKUP(F624,#REF!,10,0)/60*K624)</f>
        <v>0</v>
      </c>
      <c r="T624" s="3"/>
      <c r="U624" s="3"/>
      <c r="V624" s="4"/>
    </row>
    <row r="625" spans="1:22" x14ac:dyDescent="0.3">
      <c r="A625" s="5">
        <f t="shared" si="28"/>
        <v>0</v>
      </c>
      <c r="B625" s="6">
        <f t="shared" si="29"/>
        <v>0</v>
      </c>
      <c r="K625" s="18">
        <f t="shared" si="27"/>
        <v>0</v>
      </c>
      <c r="L625" s="21">
        <f>IF(ISERROR(VLOOKUP($F625,#REF!,6,0)*G625/1000),0,VLOOKUP($F625,#REF!,6,0)*G625/1000)</f>
        <v>0</v>
      </c>
      <c r="M625" s="21">
        <f>IF(ISERROR(VLOOKUP($F625,#REF!,6,0)*H625/1000),0,VLOOKUP($F625,#REF!,6,0)*H625/1000)</f>
        <v>0</v>
      </c>
      <c r="N625" s="21">
        <f>IF(ISERROR(VLOOKUP($F625,#REF!,6,0)*I625/1000),0,VLOOKUP($F625,#REF!,6,0)*I625/1000)</f>
        <v>0</v>
      </c>
      <c r="O625" s="21">
        <f>IF(ISERROR(VLOOKUP($F625,#REF!,6,0)*J625/1000),0,VLOOKUP($F625,#REF!,6,0)*J625/1000)</f>
        <v>0</v>
      </c>
      <c r="P625" s="21">
        <f>IF(ISERROR(VLOOKUP(F625,#REF!,6,0)*K625/1000),0,VLOOKUP(F625,#REF!,6,0)*K625/1000)</f>
        <v>0</v>
      </c>
      <c r="Q625" s="6">
        <f>IF(ISERROR(VLOOKUP(F625,#REF!,3,0)),0,VLOOKUP(F625,#REF!,3,0))</f>
        <v>0</v>
      </c>
      <c r="R625" s="6">
        <f>IF(ISERROR(VLOOKUP(F625,#REF!,4,0)),0,VLOOKUP(F625,#REF!,4,0))</f>
        <v>0</v>
      </c>
      <c r="S625" s="8">
        <f>IF(ISERROR(VLOOKUP(F625,#REF!,4,0)),0,VLOOKUP(F625,#REF!,10,0)/60*K625)</f>
        <v>0</v>
      </c>
      <c r="T625" s="3"/>
      <c r="U625" s="3"/>
      <c r="V625" s="4"/>
    </row>
    <row r="626" spans="1:22" x14ac:dyDescent="0.3">
      <c r="A626" s="5">
        <f t="shared" si="28"/>
        <v>0</v>
      </c>
      <c r="B626" s="6">
        <f t="shared" si="29"/>
        <v>0</v>
      </c>
      <c r="K626" s="18">
        <f t="shared" si="27"/>
        <v>0</v>
      </c>
      <c r="L626" s="21">
        <f>IF(ISERROR(VLOOKUP($F626,#REF!,6,0)*G626/1000),0,VLOOKUP($F626,#REF!,6,0)*G626/1000)</f>
        <v>0</v>
      </c>
      <c r="M626" s="21">
        <f>IF(ISERROR(VLOOKUP($F626,#REF!,6,0)*H626/1000),0,VLOOKUP($F626,#REF!,6,0)*H626/1000)</f>
        <v>0</v>
      </c>
      <c r="N626" s="21">
        <f>IF(ISERROR(VLOOKUP($F626,#REF!,6,0)*I626/1000),0,VLOOKUP($F626,#REF!,6,0)*I626/1000)</f>
        <v>0</v>
      </c>
      <c r="O626" s="21">
        <f>IF(ISERROR(VLOOKUP($F626,#REF!,6,0)*J626/1000),0,VLOOKUP($F626,#REF!,6,0)*J626/1000)</f>
        <v>0</v>
      </c>
      <c r="P626" s="21">
        <f>IF(ISERROR(VLOOKUP(F626,#REF!,6,0)*K626/1000),0,VLOOKUP(F626,#REF!,6,0)*K626/1000)</f>
        <v>0</v>
      </c>
      <c r="Q626" s="6">
        <f>IF(ISERROR(VLOOKUP(F626,#REF!,3,0)),0,VLOOKUP(F626,#REF!,3,0))</f>
        <v>0</v>
      </c>
      <c r="R626" s="6">
        <f>IF(ISERROR(VLOOKUP(F626,#REF!,4,0)),0,VLOOKUP(F626,#REF!,4,0))</f>
        <v>0</v>
      </c>
      <c r="S626" s="8">
        <f>IF(ISERROR(VLOOKUP(F626,#REF!,4,0)),0,VLOOKUP(F626,#REF!,10,0)/60*K626)</f>
        <v>0</v>
      </c>
      <c r="T626" s="3"/>
      <c r="U626" s="3"/>
      <c r="V626" s="4"/>
    </row>
    <row r="627" spans="1:22" x14ac:dyDescent="0.3">
      <c r="A627" s="5">
        <f t="shared" si="28"/>
        <v>0</v>
      </c>
      <c r="B627" s="6">
        <f t="shared" si="29"/>
        <v>0</v>
      </c>
      <c r="K627" s="18">
        <f t="shared" si="27"/>
        <v>0</v>
      </c>
      <c r="L627" s="21">
        <f>IF(ISERROR(VLOOKUP($F627,#REF!,6,0)*G627/1000),0,VLOOKUP($F627,#REF!,6,0)*G627/1000)</f>
        <v>0</v>
      </c>
      <c r="M627" s="21">
        <f>IF(ISERROR(VLOOKUP($F627,#REF!,6,0)*H627/1000),0,VLOOKUP($F627,#REF!,6,0)*H627/1000)</f>
        <v>0</v>
      </c>
      <c r="N627" s="21">
        <f>IF(ISERROR(VLOOKUP($F627,#REF!,6,0)*I627/1000),0,VLOOKUP($F627,#REF!,6,0)*I627/1000)</f>
        <v>0</v>
      </c>
      <c r="O627" s="21">
        <f>IF(ISERROR(VLOOKUP($F627,#REF!,6,0)*J627/1000),0,VLOOKUP($F627,#REF!,6,0)*J627/1000)</f>
        <v>0</v>
      </c>
      <c r="P627" s="21">
        <f>IF(ISERROR(VLOOKUP(F627,#REF!,6,0)*K627/1000),0,VLOOKUP(F627,#REF!,6,0)*K627/1000)</f>
        <v>0</v>
      </c>
      <c r="Q627" s="6">
        <f>IF(ISERROR(VLOOKUP(F627,#REF!,3,0)),0,VLOOKUP(F627,#REF!,3,0))</f>
        <v>0</v>
      </c>
      <c r="R627" s="6">
        <f>IF(ISERROR(VLOOKUP(F627,#REF!,4,0)),0,VLOOKUP(F627,#REF!,4,0))</f>
        <v>0</v>
      </c>
      <c r="S627" s="8">
        <f>IF(ISERROR(VLOOKUP(F627,#REF!,4,0)),0,VLOOKUP(F627,#REF!,10,0)/60*K627)</f>
        <v>0</v>
      </c>
      <c r="T627" s="3"/>
      <c r="U627" s="3"/>
      <c r="V627" s="4"/>
    </row>
    <row r="628" spans="1:22" x14ac:dyDescent="0.3">
      <c r="A628" s="5">
        <f t="shared" si="28"/>
        <v>0</v>
      </c>
      <c r="B628" s="6">
        <f t="shared" si="29"/>
        <v>0</v>
      </c>
      <c r="K628" s="18">
        <f t="shared" si="27"/>
        <v>0</v>
      </c>
      <c r="L628" s="21">
        <f>IF(ISERROR(VLOOKUP($F628,#REF!,6,0)*G628/1000),0,VLOOKUP($F628,#REF!,6,0)*G628/1000)</f>
        <v>0</v>
      </c>
      <c r="M628" s="21">
        <f>IF(ISERROR(VLOOKUP($F628,#REF!,6,0)*H628/1000),0,VLOOKUP($F628,#REF!,6,0)*H628/1000)</f>
        <v>0</v>
      </c>
      <c r="N628" s="21">
        <f>IF(ISERROR(VLOOKUP($F628,#REF!,6,0)*I628/1000),0,VLOOKUP($F628,#REF!,6,0)*I628/1000)</f>
        <v>0</v>
      </c>
      <c r="O628" s="21">
        <f>IF(ISERROR(VLOOKUP($F628,#REF!,6,0)*J628/1000),0,VLOOKUP($F628,#REF!,6,0)*J628/1000)</f>
        <v>0</v>
      </c>
      <c r="P628" s="21">
        <f>IF(ISERROR(VLOOKUP(F628,#REF!,6,0)*K628/1000),0,VLOOKUP(F628,#REF!,6,0)*K628/1000)</f>
        <v>0</v>
      </c>
      <c r="Q628" s="6">
        <f>IF(ISERROR(VLOOKUP(F628,#REF!,3,0)),0,VLOOKUP(F628,#REF!,3,0))</f>
        <v>0</v>
      </c>
      <c r="R628" s="6">
        <f>IF(ISERROR(VLOOKUP(F628,#REF!,4,0)),0,VLOOKUP(F628,#REF!,4,0))</f>
        <v>0</v>
      </c>
      <c r="S628" s="8">
        <f>IF(ISERROR(VLOOKUP(F628,#REF!,4,0)),0,VLOOKUP(F628,#REF!,10,0)/60*K628)</f>
        <v>0</v>
      </c>
      <c r="T628" s="3"/>
      <c r="U628" s="3"/>
      <c r="V628" s="4"/>
    </row>
    <row r="629" spans="1:22" x14ac:dyDescent="0.3">
      <c r="A629" s="5">
        <f t="shared" si="28"/>
        <v>0</v>
      </c>
      <c r="B629" s="6">
        <f t="shared" si="29"/>
        <v>0</v>
      </c>
      <c r="K629" s="18">
        <f t="shared" si="27"/>
        <v>0</v>
      </c>
      <c r="L629" s="21">
        <f>IF(ISERROR(VLOOKUP($F629,#REF!,6,0)*G629/1000),0,VLOOKUP($F629,#REF!,6,0)*G629/1000)</f>
        <v>0</v>
      </c>
      <c r="M629" s="21">
        <f>IF(ISERROR(VLOOKUP($F629,#REF!,6,0)*H629/1000),0,VLOOKUP($F629,#REF!,6,0)*H629/1000)</f>
        <v>0</v>
      </c>
      <c r="N629" s="21">
        <f>IF(ISERROR(VLOOKUP($F629,#REF!,6,0)*I629/1000),0,VLOOKUP($F629,#REF!,6,0)*I629/1000)</f>
        <v>0</v>
      </c>
      <c r="O629" s="21">
        <f>IF(ISERROR(VLOOKUP($F629,#REF!,6,0)*J629/1000),0,VLOOKUP($F629,#REF!,6,0)*J629/1000)</f>
        <v>0</v>
      </c>
      <c r="P629" s="21">
        <f>IF(ISERROR(VLOOKUP(F629,#REF!,6,0)*K629/1000),0,VLOOKUP(F629,#REF!,6,0)*K629/1000)</f>
        <v>0</v>
      </c>
      <c r="Q629" s="6">
        <f>IF(ISERROR(VLOOKUP(F629,#REF!,3,0)),0,VLOOKUP(F629,#REF!,3,0))</f>
        <v>0</v>
      </c>
      <c r="R629" s="6">
        <f>IF(ISERROR(VLOOKUP(F629,#REF!,4,0)),0,VLOOKUP(F629,#REF!,4,0))</f>
        <v>0</v>
      </c>
      <c r="S629" s="8">
        <f>IF(ISERROR(VLOOKUP(F629,#REF!,4,0)),0,VLOOKUP(F629,#REF!,10,0)/60*K629)</f>
        <v>0</v>
      </c>
      <c r="T629" s="3"/>
      <c r="U629" s="3"/>
      <c r="V629" s="4"/>
    </row>
    <row r="630" spans="1:22" x14ac:dyDescent="0.3">
      <c r="A630" s="5">
        <f t="shared" si="28"/>
        <v>0</v>
      </c>
      <c r="B630" s="6">
        <f t="shared" si="29"/>
        <v>0</v>
      </c>
      <c r="K630" s="18">
        <f t="shared" si="27"/>
        <v>0</v>
      </c>
      <c r="L630" s="21">
        <f>IF(ISERROR(VLOOKUP($F630,#REF!,6,0)*G630/1000),0,VLOOKUP($F630,#REF!,6,0)*G630/1000)</f>
        <v>0</v>
      </c>
      <c r="M630" s="21">
        <f>IF(ISERROR(VLOOKUP($F630,#REF!,6,0)*H630/1000),0,VLOOKUP($F630,#REF!,6,0)*H630/1000)</f>
        <v>0</v>
      </c>
      <c r="N630" s="21">
        <f>IF(ISERROR(VLOOKUP($F630,#REF!,6,0)*I630/1000),0,VLOOKUP($F630,#REF!,6,0)*I630/1000)</f>
        <v>0</v>
      </c>
      <c r="O630" s="21">
        <f>IF(ISERROR(VLOOKUP($F630,#REF!,6,0)*J630/1000),0,VLOOKUP($F630,#REF!,6,0)*J630/1000)</f>
        <v>0</v>
      </c>
      <c r="P630" s="21">
        <f>IF(ISERROR(VLOOKUP(F630,#REF!,6,0)*K630/1000),0,VLOOKUP(F630,#REF!,6,0)*K630/1000)</f>
        <v>0</v>
      </c>
      <c r="Q630" s="6">
        <f>IF(ISERROR(VLOOKUP(F630,#REF!,3,0)),0,VLOOKUP(F630,#REF!,3,0))</f>
        <v>0</v>
      </c>
      <c r="R630" s="6">
        <f>IF(ISERROR(VLOOKUP(F630,#REF!,4,0)),0,VLOOKUP(F630,#REF!,4,0))</f>
        <v>0</v>
      </c>
      <c r="S630" s="8">
        <f>IF(ISERROR(VLOOKUP(F630,#REF!,4,0)),0,VLOOKUP(F630,#REF!,10,0)/60*K630)</f>
        <v>0</v>
      </c>
      <c r="T630" s="3"/>
      <c r="U630" s="3"/>
      <c r="V630" s="4"/>
    </row>
    <row r="631" spans="1:22" x14ac:dyDescent="0.3">
      <c r="A631" s="5">
        <f t="shared" si="28"/>
        <v>0</v>
      </c>
      <c r="B631" s="6">
        <f t="shared" si="29"/>
        <v>0</v>
      </c>
      <c r="K631" s="18">
        <f t="shared" si="27"/>
        <v>0</v>
      </c>
      <c r="L631" s="21">
        <f>IF(ISERROR(VLOOKUP($F631,#REF!,6,0)*G631/1000),0,VLOOKUP($F631,#REF!,6,0)*G631/1000)</f>
        <v>0</v>
      </c>
      <c r="M631" s="21">
        <f>IF(ISERROR(VLOOKUP($F631,#REF!,6,0)*H631/1000),0,VLOOKUP($F631,#REF!,6,0)*H631/1000)</f>
        <v>0</v>
      </c>
      <c r="N631" s="21">
        <f>IF(ISERROR(VLOOKUP($F631,#REF!,6,0)*I631/1000),0,VLOOKUP($F631,#REF!,6,0)*I631/1000)</f>
        <v>0</v>
      </c>
      <c r="O631" s="21">
        <f>IF(ISERROR(VLOOKUP($F631,#REF!,6,0)*J631/1000),0,VLOOKUP($F631,#REF!,6,0)*J631/1000)</f>
        <v>0</v>
      </c>
      <c r="P631" s="21">
        <f>IF(ISERROR(VLOOKUP(F631,#REF!,6,0)*K631/1000),0,VLOOKUP(F631,#REF!,6,0)*K631/1000)</f>
        <v>0</v>
      </c>
      <c r="Q631" s="6">
        <f>IF(ISERROR(VLOOKUP(F631,#REF!,3,0)),0,VLOOKUP(F631,#REF!,3,0))</f>
        <v>0</v>
      </c>
      <c r="R631" s="6">
        <f>IF(ISERROR(VLOOKUP(F631,#REF!,4,0)),0,VLOOKUP(F631,#REF!,4,0))</f>
        <v>0</v>
      </c>
      <c r="S631" s="8">
        <f>IF(ISERROR(VLOOKUP(F631,#REF!,4,0)),0,VLOOKUP(F631,#REF!,10,0)/60*K631)</f>
        <v>0</v>
      </c>
      <c r="T631" s="3"/>
      <c r="U631" s="3"/>
      <c r="V631" s="4"/>
    </row>
    <row r="632" spans="1:22" x14ac:dyDescent="0.3">
      <c r="A632" s="5">
        <f t="shared" si="28"/>
        <v>0</v>
      </c>
      <c r="B632" s="6">
        <f t="shared" si="29"/>
        <v>0</v>
      </c>
      <c r="K632" s="18">
        <f t="shared" si="27"/>
        <v>0</v>
      </c>
      <c r="L632" s="21">
        <f>IF(ISERROR(VLOOKUP($F632,#REF!,6,0)*G632/1000),0,VLOOKUP($F632,#REF!,6,0)*G632/1000)</f>
        <v>0</v>
      </c>
      <c r="M632" s="21">
        <f>IF(ISERROR(VLOOKUP($F632,#REF!,6,0)*H632/1000),0,VLOOKUP($F632,#REF!,6,0)*H632/1000)</f>
        <v>0</v>
      </c>
      <c r="N632" s="21">
        <f>IF(ISERROR(VLOOKUP($F632,#REF!,6,0)*I632/1000),0,VLOOKUP($F632,#REF!,6,0)*I632/1000)</f>
        <v>0</v>
      </c>
      <c r="O632" s="21">
        <f>IF(ISERROR(VLOOKUP($F632,#REF!,6,0)*J632/1000),0,VLOOKUP($F632,#REF!,6,0)*J632/1000)</f>
        <v>0</v>
      </c>
      <c r="P632" s="21">
        <f>IF(ISERROR(VLOOKUP(F632,#REF!,6,0)*K632/1000),0,VLOOKUP(F632,#REF!,6,0)*K632/1000)</f>
        <v>0</v>
      </c>
      <c r="Q632" s="6">
        <f>IF(ISERROR(VLOOKUP(F632,#REF!,3,0)),0,VLOOKUP(F632,#REF!,3,0))</f>
        <v>0</v>
      </c>
      <c r="R632" s="6">
        <f>IF(ISERROR(VLOOKUP(F632,#REF!,4,0)),0,VLOOKUP(F632,#REF!,4,0))</f>
        <v>0</v>
      </c>
      <c r="S632" s="8">
        <f>IF(ISERROR(VLOOKUP(F632,#REF!,4,0)),0,VLOOKUP(F632,#REF!,10,0)/60*K632)</f>
        <v>0</v>
      </c>
      <c r="T632" s="3"/>
      <c r="U632" s="3"/>
      <c r="V632" s="4"/>
    </row>
    <row r="633" spans="1:22" x14ac:dyDescent="0.3">
      <c r="A633" s="5">
        <f t="shared" si="28"/>
        <v>0</v>
      </c>
      <c r="B633" s="6">
        <f t="shared" si="29"/>
        <v>0</v>
      </c>
      <c r="K633" s="18">
        <f t="shared" si="27"/>
        <v>0</v>
      </c>
      <c r="L633" s="21">
        <f>IF(ISERROR(VLOOKUP($F633,#REF!,6,0)*G633/1000),0,VLOOKUP($F633,#REF!,6,0)*G633/1000)</f>
        <v>0</v>
      </c>
      <c r="M633" s="21">
        <f>IF(ISERROR(VLOOKUP($F633,#REF!,6,0)*H633/1000),0,VLOOKUP($F633,#REF!,6,0)*H633/1000)</f>
        <v>0</v>
      </c>
      <c r="N633" s="21">
        <f>IF(ISERROR(VLOOKUP($F633,#REF!,6,0)*I633/1000),0,VLOOKUP($F633,#REF!,6,0)*I633/1000)</f>
        <v>0</v>
      </c>
      <c r="O633" s="21">
        <f>IF(ISERROR(VLOOKUP($F633,#REF!,6,0)*J633/1000),0,VLOOKUP($F633,#REF!,6,0)*J633/1000)</f>
        <v>0</v>
      </c>
      <c r="P633" s="21">
        <f>IF(ISERROR(VLOOKUP(F633,#REF!,6,0)*K633/1000),0,VLOOKUP(F633,#REF!,6,0)*K633/1000)</f>
        <v>0</v>
      </c>
      <c r="Q633" s="6">
        <f>IF(ISERROR(VLOOKUP(F633,#REF!,3,0)),0,VLOOKUP(F633,#REF!,3,0))</f>
        <v>0</v>
      </c>
      <c r="R633" s="6">
        <f>IF(ISERROR(VLOOKUP(F633,#REF!,4,0)),0,VLOOKUP(F633,#REF!,4,0))</f>
        <v>0</v>
      </c>
      <c r="S633" s="8">
        <f>IF(ISERROR(VLOOKUP(F633,#REF!,4,0)),0,VLOOKUP(F633,#REF!,10,0)/60*K633)</f>
        <v>0</v>
      </c>
      <c r="T633" s="3"/>
      <c r="U633" s="3"/>
      <c r="V633" s="4"/>
    </row>
    <row r="634" spans="1:22" x14ac:dyDescent="0.3">
      <c r="A634" s="5">
        <f t="shared" si="28"/>
        <v>0</v>
      </c>
      <c r="B634" s="6">
        <f t="shared" si="29"/>
        <v>0</v>
      </c>
      <c r="K634" s="18">
        <f t="shared" si="27"/>
        <v>0</v>
      </c>
      <c r="L634" s="21">
        <f>IF(ISERROR(VLOOKUP($F634,#REF!,6,0)*G634/1000),0,VLOOKUP($F634,#REF!,6,0)*G634/1000)</f>
        <v>0</v>
      </c>
      <c r="M634" s="21">
        <f>IF(ISERROR(VLOOKUP($F634,#REF!,6,0)*H634/1000),0,VLOOKUP($F634,#REF!,6,0)*H634/1000)</f>
        <v>0</v>
      </c>
      <c r="N634" s="21">
        <f>IF(ISERROR(VLOOKUP($F634,#REF!,6,0)*I634/1000),0,VLOOKUP($F634,#REF!,6,0)*I634/1000)</f>
        <v>0</v>
      </c>
      <c r="O634" s="21">
        <f>IF(ISERROR(VLOOKUP($F634,#REF!,6,0)*J634/1000),0,VLOOKUP($F634,#REF!,6,0)*J634/1000)</f>
        <v>0</v>
      </c>
      <c r="P634" s="21">
        <f>IF(ISERROR(VLOOKUP(F634,#REF!,6,0)*K634/1000),0,VLOOKUP(F634,#REF!,6,0)*K634/1000)</f>
        <v>0</v>
      </c>
      <c r="Q634" s="6">
        <f>IF(ISERROR(VLOOKUP(F634,#REF!,3,0)),0,VLOOKUP(F634,#REF!,3,0))</f>
        <v>0</v>
      </c>
      <c r="R634" s="6">
        <f>IF(ISERROR(VLOOKUP(F634,#REF!,4,0)),0,VLOOKUP(F634,#REF!,4,0))</f>
        <v>0</v>
      </c>
      <c r="S634" s="8">
        <f>IF(ISERROR(VLOOKUP(F634,#REF!,4,0)),0,VLOOKUP(F634,#REF!,10,0)/60*K634)</f>
        <v>0</v>
      </c>
      <c r="T634" s="3"/>
      <c r="U634" s="3"/>
      <c r="V634" s="4"/>
    </row>
    <row r="635" spans="1:22" x14ac:dyDescent="0.3">
      <c r="A635" s="5">
        <f t="shared" si="28"/>
        <v>0</v>
      </c>
      <c r="B635" s="6">
        <f t="shared" si="29"/>
        <v>0</v>
      </c>
      <c r="K635" s="18">
        <f t="shared" si="27"/>
        <v>0</v>
      </c>
      <c r="L635" s="21">
        <f>IF(ISERROR(VLOOKUP($F635,#REF!,6,0)*G635/1000),0,VLOOKUP($F635,#REF!,6,0)*G635/1000)</f>
        <v>0</v>
      </c>
      <c r="M635" s="21">
        <f>IF(ISERROR(VLOOKUP($F635,#REF!,6,0)*H635/1000),0,VLOOKUP($F635,#REF!,6,0)*H635/1000)</f>
        <v>0</v>
      </c>
      <c r="N635" s="21">
        <f>IF(ISERROR(VLOOKUP($F635,#REF!,6,0)*I635/1000),0,VLOOKUP($F635,#REF!,6,0)*I635/1000)</f>
        <v>0</v>
      </c>
      <c r="O635" s="21">
        <f>IF(ISERROR(VLOOKUP($F635,#REF!,6,0)*J635/1000),0,VLOOKUP($F635,#REF!,6,0)*J635/1000)</f>
        <v>0</v>
      </c>
      <c r="P635" s="21">
        <f>IF(ISERROR(VLOOKUP(F635,#REF!,6,0)*K635/1000),0,VLOOKUP(F635,#REF!,6,0)*K635/1000)</f>
        <v>0</v>
      </c>
      <c r="Q635" s="6">
        <f>IF(ISERROR(VLOOKUP(F635,#REF!,3,0)),0,VLOOKUP(F635,#REF!,3,0))</f>
        <v>0</v>
      </c>
      <c r="R635" s="6">
        <f>IF(ISERROR(VLOOKUP(F635,#REF!,4,0)),0,VLOOKUP(F635,#REF!,4,0))</f>
        <v>0</v>
      </c>
      <c r="S635" s="8">
        <f>IF(ISERROR(VLOOKUP(F635,#REF!,4,0)),0,VLOOKUP(F635,#REF!,10,0)/60*K635)</f>
        <v>0</v>
      </c>
      <c r="T635" s="3"/>
      <c r="U635" s="3"/>
      <c r="V635" s="4"/>
    </row>
    <row r="636" spans="1:22" x14ac:dyDescent="0.3">
      <c r="A636" s="5">
        <f t="shared" si="28"/>
        <v>0</v>
      </c>
      <c r="B636" s="6">
        <f t="shared" si="29"/>
        <v>0</v>
      </c>
      <c r="K636" s="18">
        <f t="shared" si="27"/>
        <v>0</v>
      </c>
      <c r="L636" s="21">
        <f>IF(ISERROR(VLOOKUP($F636,#REF!,6,0)*G636/1000),0,VLOOKUP($F636,#REF!,6,0)*G636/1000)</f>
        <v>0</v>
      </c>
      <c r="M636" s="21">
        <f>IF(ISERROR(VLOOKUP($F636,#REF!,6,0)*H636/1000),0,VLOOKUP($F636,#REF!,6,0)*H636/1000)</f>
        <v>0</v>
      </c>
      <c r="N636" s="21">
        <f>IF(ISERROR(VLOOKUP($F636,#REF!,6,0)*I636/1000),0,VLOOKUP($F636,#REF!,6,0)*I636/1000)</f>
        <v>0</v>
      </c>
      <c r="O636" s="21">
        <f>IF(ISERROR(VLOOKUP($F636,#REF!,6,0)*J636/1000),0,VLOOKUP($F636,#REF!,6,0)*J636/1000)</f>
        <v>0</v>
      </c>
      <c r="P636" s="21">
        <f>IF(ISERROR(VLOOKUP(F636,#REF!,6,0)*K636/1000),0,VLOOKUP(F636,#REF!,6,0)*K636/1000)</f>
        <v>0</v>
      </c>
      <c r="Q636" s="6">
        <f>IF(ISERROR(VLOOKUP(F636,#REF!,3,0)),0,VLOOKUP(F636,#REF!,3,0))</f>
        <v>0</v>
      </c>
      <c r="R636" s="6">
        <f>IF(ISERROR(VLOOKUP(F636,#REF!,4,0)),0,VLOOKUP(F636,#REF!,4,0))</f>
        <v>0</v>
      </c>
      <c r="S636" s="8">
        <f>IF(ISERROR(VLOOKUP(F636,#REF!,4,0)),0,VLOOKUP(F636,#REF!,10,0)/60*K636)</f>
        <v>0</v>
      </c>
      <c r="T636" s="3"/>
      <c r="U636" s="3"/>
      <c r="V636" s="4"/>
    </row>
    <row r="637" spans="1:22" x14ac:dyDescent="0.3">
      <c r="A637" s="5">
        <f t="shared" si="28"/>
        <v>0</v>
      </c>
      <c r="B637" s="6">
        <f t="shared" si="29"/>
        <v>0</v>
      </c>
      <c r="K637" s="18">
        <f t="shared" si="27"/>
        <v>0</v>
      </c>
      <c r="L637" s="21">
        <f>IF(ISERROR(VLOOKUP($F637,#REF!,6,0)*G637/1000),0,VLOOKUP($F637,#REF!,6,0)*G637/1000)</f>
        <v>0</v>
      </c>
      <c r="M637" s="21">
        <f>IF(ISERROR(VLOOKUP($F637,#REF!,6,0)*H637/1000),0,VLOOKUP($F637,#REF!,6,0)*H637/1000)</f>
        <v>0</v>
      </c>
      <c r="N637" s="21">
        <f>IF(ISERROR(VLOOKUP($F637,#REF!,6,0)*I637/1000),0,VLOOKUP($F637,#REF!,6,0)*I637/1000)</f>
        <v>0</v>
      </c>
      <c r="O637" s="21">
        <f>IF(ISERROR(VLOOKUP($F637,#REF!,6,0)*J637/1000),0,VLOOKUP($F637,#REF!,6,0)*J637/1000)</f>
        <v>0</v>
      </c>
      <c r="P637" s="21">
        <f>IF(ISERROR(VLOOKUP(F637,#REF!,6,0)*K637/1000),0,VLOOKUP(F637,#REF!,6,0)*K637/1000)</f>
        <v>0</v>
      </c>
      <c r="Q637" s="6">
        <f>IF(ISERROR(VLOOKUP(F637,#REF!,3,0)),0,VLOOKUP(F637,#REF!,3,0))</f>
        <v>0</v>
      </c>
      <c r="R637" s="6">
        <f>IF(ISERROR(VLOOKUP(F637,#REF!,4,0)),0,VLOOKUP(F637,#REF!,4,0))</f>
        <v>0</v>
      </c>
      <c r="S637" s="8">
        <f>IF(ISERROR(VLOOKUP(F637,#REF!,4,0)),0,VLOOKUP(F637,#REF!,10,0)/60*K637)</f>
        <v>0</v>
      </c>
      <c r="T637" s="3"/>
      <c r="U637" s="3"/>
      <c r="V637" s="4"/>
    </row>
    <row r="638" spans="1:22" x14ac:dyDescent="0.3">
      <c r="A638" s="5">
        <f t="shared" si="28"/>
        <v>0</v>
      </c>
      <c r="B638" s="6">
        <f t="shared" si="29"/>
        <v>0</v>
      </c>
      <c r="K638" s="18">
        <f t="shared" si="27"/>
        <v>0</v>
      </c>
      <c r="L638" s="21">
        <f>IF(ISERROR(VLOOKUP($F638,#REF!,6,0)*G638/1000),0,VLOOKUP($F638,#REF!,6,0)*G638/1000)</f>
        <v>0</v>
      </c>
      <c r="M638" s="21">
        <f>IF(ISERROR(VLOOKUP($F638,#REF!,6,0)*H638/1000),0,VLOOKUP($F638,#REF!,6,0)*H638/1000)</f>
        <v>0</v>
      </c>
      <c r="N638" s="21">
        <f>IF(ISERROR(VLOOKUP($F638,#REF!,6,0)*I638/1000),0,VLOOKUP($F638,#REF!,6,0)*I638/1000)</f>
        <v>0</v>
      </c>
      <c r="O638" s="21">
        <f>IF(ISERROR(VLOOKUP($F638,#REF!,6,0)*J638/1000),0,VLOOKUP($F638,#REF!,6,0)*J638/1000)</f>
        <v>0</v>
      </c>
      <c r="P638" s="21">
        <f>IF(ISERROR(VLOOKUP(F638,#REF!,6,0)*K638/1000),0,VLOOKUP(F638,#REF!,6,0)*K638/1000)</f>
        <v>0</v>
      </c>
      <c r="Q638" s="6">
        <f>IF(ISERROR(VLOOKUP(F638,#REF!,3,0)),0,VLOOKUP(F638,#REF!,3,0))</f>
        <v>0</v>
      </c>
      <c r="R638" s="6">
        <f>IF(ISERROR(VLOOKUP(F638,#REF!,4,0)),0,VLOOKUP(F638,#REF!,4,0))</f>
        <v>0</v>
      </c>
      <c r="S638" s="8">
        <f>IF(ISERROR(VLOOKUP(F638,#REF!,4,0)),0,VLOOKUP(F638,#REF!,10,0)/60*K638)</f>
        <v>0</v>
      </c>
      <c r="T638" s="3"/>
      <c r="U638" s="3"/>
      <c r="V638" s="4"/>
    </row>
    <row r="639" spans="1:22" x14ac:dyDescent="0.3">
      <c r="A639" s="5">
        <f t="shared" si="28"/>
        <v>0</v>
      </c>
      <c r="B639" s="6">
        <f t="shared" si="29"/>
        <v>0</v>
      </c>
      <c r="K639" s="18">
        <f t="shared" si="27"/>
        <v>0</v>
      </c>
      <c r="L639" s="21">
        <f>IF(ISERROR(VLOOKUP($F639,#REF!,6,0)*G639/1000),0,VLOOKUP($F639,#REF!,6,0)*G639/1000)</f>
        <v>0</v>
      </c>
      <c r="M639" s="21">
        <f>IF(ISERROR(VLOOKUP($F639,#REF!,6,0)*H639/1000),0,VLOOKUP($F639,#REF!,6,0)*H639/1000)</f>
        <v>0</v>
      </c>
      <c r="N639" s="21">
        <f>IF(ISERROR(VLOOKUP($F639,#REF!,6,0)*I639/1000),0,VLOOKUP($F639,#REF!,6,0)*I639/1000)</f>
        <v>0</v>
      </c>
      <c r="O639" s="21">
        <f>IF(ISERROR(VLOOKUP($F639,#REF!,6,0)*J639/1000),0,VLOOKUP($F639,#REF!,6,0)*J639/1000)</f>
        <v>0</v>
      </c>
      <c r="P639" s="21">
        <f>IF(ISERROR(VLOOKUP(F639,#REF!,6,0)*K639/1000),0,VLOOKUP(F639,#REF!,6,0)*K639/1000)</f>
        <v>0</v>
      </c>
      <c r="Q639" s="6">
        <f>IF(ISERROR(VLOOKUP(F639,#REF!,3,0)),0,VLOOKUP(F639,#REF!,3,0))</f>
        <v>0</v>
      </c>
      <c r="R639" s="6">
        <f>IF(ISERROR(VLOOKUP(F639,#REF!,4,0)),0,VLOOKUP(F639,#REF!,4,0))</f>
        <v>0</v>
      </c>
      <c r="S639" s="8">
        <f>IF(ISERROR(VLOOKUP(F639,#REF!,4,0)),0,VLOOKUP(F639,#REF!,10,0)/60*K639)</f>
        <v>0</v>
      </c>
      <c r="T639" s="3"/>
      <c r="U639" s="3"/>
      <c r="V639" s="4"/>
    </row>
    <row r="640" spans="1:22" x14ac:dyDescent="0.3">
      <c r="A640" s="5">
        <f t="shared" si="28"/>
        <v>0</v>
      </c>
      <c r="B640" s="6">
        <f t="shared" si="29"/>
        <v>0</v>
      </c>
      <c r="K640" s="18">
        <f t="shared" si="27"/>
        <v>0</v>
      </c>
      <c r="L640" s="21">
        <f>IF(ISERROR(VLOOKUP($F640,#REF!,6,0)*G640/1000),0,VLOOKUP($F640,#REF!,6,0)*G640/1000)</f>
        <v>0</v>
      </c>
      <c r="M640" s="21">
        <f>IF(ISERROR(VLOOKUP($F640,#REF!,6,0)*H640/1000),0,VLOOKUP($F640,#REF!,6,0)*H640/1000)</f>
        <v>0</v>
      </c>
      <c r="N640" s="21">
        <f>IF(ISERROR(VLOOKUP($F640,#REF!,6,0)*I640/1000),0,VLOOKUP($F640,#REF!,6,0)*I640/1000)</f>
        <v>0</v>
      </c>
      <c r="O640" s="21">
        <f>IF(ISERROR(VLOOKUP($F640,#REF!,6,0)*J640/1000),0,VLOOKUP($F640,#REF!,6,0)*J640/1000)</f>
        <v>0</v>
      </c>
      <c r="P640" s="21">
        <f>IF(ISERROR(VLOOKUP(F640,#REF!,6,0)*K640/1000),0,VLOOKUP(F640,#REF!,6,0)*K640/1000)</f>
        <v>0</v>
      </c>
      <c r="Q640" s="6">
        <f>IF(ISERROR(VLOOKUP(F640,#REF!,3,0)),0,VLOOKUP(F640,#REF!,3,0))</f>
        <v>0</v>
      </c>
      <c r="R640" s="6">
        <f>IF(ISERROR(VLOOKUP(F640,#REF!,4,0)),0,VLOOKUP(F640,#REF!,4,0))</f>
        <v>0</v>
      </c>
      <c r="S640" s="8">
        <f>IF(ISERROR(VLOOKUP(F640,#REF!,4,0)),0,VLOOKUP(F640,#REF!,10,0)/60*K640)</f>
        <v>0</v>
      </c>
      <c r="T640" s="3"/>
      <c r="U640" s="3"/>
      <c r="V640" s="4"/>
    </row>
    <row r="641" spans="1:22" x14ac:dyDescent="0.3">
      <c r="A641" s="5">
        <f t="shared" si="28"/>
        <v>0</v>
      </c>
      <c r="B641" s="6">
        <f t="shared" si="29"/>
        <v>0</v>
      </c>
      <c r="K641" s="18">
        <f t="shared" si="27"/>
        <v>0</v>
      </c>
      <c r="L641" s="21">
        <f>IF(ISERROR(VLOOKUP($F641,#REF!,6,0)*G641/1000),0,VLOOKUP($F641,#REF!,6,0)*G641/1000)</f>
        <v>0</v>
      </c>
      <c r="M641" s="21">
        <f>IF(ISERROR(VLOOKUP($F641,#REF!,6,0)*H641/1000),0,VLOOKUP($F641,#REF!,6,0)*H641/1000)</f>
        <v>0</v>
      </c>
      <c r="N641" s="21">
        <f>IF(ISERROR(VLOOKUP($F641,#REF!,6,0)*I641/1000),0,VLOOKUP($F641,#REF!,6,0)*I641/1000)</f>
        <v>0</v>
      </c>
      <c r="O641" s="21">
        <f>IF(ISERROR(VLOOKUP($F641,#REF!,6,0)*J641/1000),0,VLOOKUP($F641,#REF!,6,0)*J641/1000)</f>
        <v>0</v>
      </c>
      <c r="P641" s="21">
        <f>IF(ISERROR(VLOOKUP(F641,#REF!,6,0)*K641/1000),0,VLOOKUP(F641,#REF!,6,0)*K641/1000)</f>
        <v>0</v>
      </c>
      <c r="Q641" s="6">
        <f>IF(ISERROR(VLOOKUP(F641,#REF!,3,0)),0,VLOOKUP(F641,#REF!,3,0))</f>
        <v>0</v>
      </c>
      <c r="R641" s="6">
        <f>IF(ISERROR(VLOOKUP(F641,#REF!,4,0)),0,VLOOKUP(F641,#REF!,4,0))</f>
        <v>0</v>
      </c>
      <c r="S641" s="8">
        <f>IF(ISERROR(VLOOKUP(F641,#REF!,4,0)),0,VLOOKUP(F641,#REF!,10,0)/60*K641)</f>
        <v>0</v>
      </c>
      <c r="T641" s="3"/>
      <c r="U641" s="3"/>
      <c r="V641" s="4"/>
    </row>
    <row r="642" spans="1:22" x14ac:dyDescent="0.3">
      <c r="A642" s="5">
        <f t="shared" si="28"/>
        <v>0</v>
      </c>
      <c r="B642" s="6">
        <f t="shared" si="29"/>
        <v>0</v>
      </c>
      <c r="K642" s="18">
        <f t="shared" si="27"/>
        <v>0</v>
      </c>
      <c r="L642" s="21">
        <f>IF(ISERROR(VLOOKUP($F642,#REF!,6,0)*G642/1000),0,VLOOKUP($F642,#REF!,6,0)*G642/1000)</f>
        <v>0</v>
      </c>
      <c r="M642" s="21">
        <f>IF(ISERROR(VLOOKUP($F642,#REF!,6,0)*H642/1000),0,VLOOKUP($F642,#REF!,6,0)*H642/1000)</f>
        <v>0</v>
      </c>
      <c r="N642" s="21">
        <f>IF(ISERROR(VLOOKUP($F642,#REF!,6,0)*I642/1000),0,VLOOKUP($F642,#REF!,6,0)*I642/1000)</f>
        <v>0</v>
      </c>
      <c r="O642" s="21">
        <f>IF(ISERROR(VLOOKUP($F642,#REF!,6,0)*J642/1000),0,VLOOKUP($F642,#REF!,6,0)*J642/1000)</f>
        <v>0</v>
      </c>
      <c r="P642" s="21">
        <f>IF(ISERROR(VLOOKUP(F642,#REF!,6,0)*K642/1000),0,VLOOKUP(F642,#REF!,6,0)*K642/1000)</f>
        <v>0</v>
      </c>
      <c r="Q642" s="6">
        <f>IF(ISERROR(VLOOKUP(F642,#REF!,3,0)),0,VLOOKUP(F642,#REF!,3,0))</f>
        <v>0</v>
      </c>
      <c r="R642" s="6">
        <f>IF(ISERROR(VLOOKUP(F642,#REF!,4,0)),0,VLOOKUP(F642,#REF!,4,0))</f>
        <v>0</v>
      </c>
      <c r="S642" s="8">
        <f>IF(ISERROR(VLOOKUP(F642,#REF!,4,0)),0,VLOOKUP(F642,#REF!,10,0)/60*K642)</f>
        <v>0</v>
      </c>
      <c r="T642" s="3"/>
      <c r="U642" s="3"/>
      <c r="V642" s="4"/>
    </row>
    <row r="643" spans="1:22" x14ac:dyDescent="0.3">
      <c r="A643" s="5">
        <f t="shared" si="28"/>
        <v>0</v>
      </c>
      <c r="B643" s="6">
        <f t="shared" si="29"/>
        <v>0</v>
      </c>
      <c r="K643" s="18">
        <f t="shared" si="27"/>
        <v>0</v>
      </c>
      <c r="L643" s="21">
        <f>IF(ISERROR(VLOOKUP($F643,#REF!,6,0)*G643/1000),0,VLOOKUP($F643,#REF!,6,0)*G643/1000)</f>
        <v>0</v>
      </c>
      <c r="M643" s="21">
        <f>IF(ISERROR(VLOOKUP($F643,#REF!,6,0)*H643/1000),0,VLOOKUP($F643,#REF!,6,0)*H643/1000)</f>
        <v>0</v>
      </c>
      <c r="N643" s="21">
        <f>IF(ISERROR(VLOOKUP($F643,#REF!,6,0)*I643/1000),0,VLOOKUP($F643,#REF!,6,0)*I643/1000)</f>
        <v>0</v>
      </c>
      <c r="O643" s="21">
        <f>IF(ISERROR(VLOOKUP($F643,#REF!,6,0)*J643/1000),0,VLOOKUP($F643,#REF!,6,0)*J643/1000)</f>
        <v>0</v>
      </c>
      <c r="P643" s="21">
        <f>IF(ISERROR(VLOOKUP(F643,#REF!,6,0)*K643/1000),0,VLOOKUP(F643,#REF!,6,0)*K643/1000)</f>
        <v>0</v>
      </c>
      <c r="Q643" s="6">
        <f>IF(ISERROR(VLOOKUP(F643,#REF!,3,0)),0,VLOOKUP(F643,#REF!,3,0))</f>
        <v>0</v>
      </c>
      <c r="R643" s="6">
        <f>IF(ISERROR(VLOOKUP(F643,#REF!,4,0)),0,VLOOKUP(F643,#REF!,4,0))</f>
        <v>0</v>
      </c>
      <c r="S643" s="8">
        <f>IF(ISERROR(VLOOKUP(F643,#REF!,4,0)),0,VLOOKUP(F643,#REF!,10,0)/60*K643)</f>
        <v>0</v>
      </c>
      <c r="T643" s="3"/>
      <c r="U643" s="3"/>
      <c r="V643" s="4"/>
    </row>
    <row r="644" spans="1:22" x14ac:dyDescent="0.3">
      <c r="A644" s="5">
        <f t="shared" si="28"/>
        <v>0</v>
      </c>
      <c r="B644" s="6">
        <f t="shared" si="29"/>
        <v>0</v>
      </c>
      <c r="K644" s="18">
        <f t="shared" ref="K644:K707" si="30">SUM(G644:J644)</f>
        <v>0</v>
      </c>
      <c r="L644" s="21">
        <f>IF(ISERROR(VLOOKUP($F644,#REF!,6,0)*G644/1000),0,VLOOKUP($F644,#REF!,6,0)*G644/1000)</f>
        <v>0</v>
      </c>
      <c r="M644" s="21">
        <f>IF(ISERROR(VLOOKUP($F644,#REF!,6,0)*H644/1000),0,VLOOKUP($F644,#REF!,6,0)*H644/1000)</f>
        <v>0</v>
      </c>
      <c r="N644" s="21">
        <f>IF(ISERROR(VLOOKUP($F644,#REF!,6,0)*I644/1000),0,VLOOKUP($F644,#REF!,6,0)*I644/1000)</f>
        <v>0</v>
      </c>
      <c r="O644" s="21">
        <f>IF(ISERROR(VLOOKUP($F644,#REF!,6,0)*J644/1000),0,VLOOKUP($F644,#REF!,6,0)*J644/1000)</f>
        <v>0</v>
      </c>
      <c r="P644" s="21">
        <f>IF(ISERROR(VLOOKUP(F644,#REF!,6,0)*K644/1000),0,VLOOKUP(F644,#REF!,6,0)*K644/1000)</f>
        <v>0</v>
      </c>
      <c r="Q644" s="6">
        <f>IF(ISERROR(VLOOKUP(F644,#REF!,3,0)),0,VLOOKUP(F644,#REF!,3,0))</f>
        <v>0</v>
      </c>
      <c r="R644" s="6">
        <f>IF(ISERROR(VLOOKUP(F644,#REF!,4,0)),0,VLOOKUP(F644,#REF!,4,0))</f>
        <v>0</v>
      </c>
      <c r="S644" s="8">
        <f>IF(ISERROR(VLOOKUP(F644,#REF!,4,0)),0,VLOOKUP(F644,#REF!,10,0)/60*K644)</f>
        <v>0</v>
      </c>
      <c r="T644" s="3"/>
      <c r="U644" s="3"/>
      <c r="V644" s="4"/>
    </row>
    <row r="645" spans="1:22" x14ac:dyDescent="0.3">
      <c r="A645" s="5">
        <f t="shared" ref="A645:A708" si="31">IF(C645=0,0,YEAR(C645))</f>
        <v>0</v>
      </c>
      <c r="B645" s="6">
        <f t="shared" ref="B645:B708" si="32">IF(C645&gt;0,VLOOKUP(MONTH($C645),$AJ$3:$AK$14,2,0),0)</f>
        <v>0</v>
      </c>
      <c r="K645" s="18">
        <f t="shared" si="30"/>
        <v>0</v>
      </c>
      <c r="L645" s="21">
        <f>IF(ISERROR(VLOOKUP($F645,#REF!,6,0)*G645/1000),0,VLOOKUP($F645,#REF!,6,0)*G645/1000)</f>
        <v>0</v>
      </c>
      <c r="M645" s="21">
        <f>IF(ISERROR(VLOOKUP($F645,#REF!,6,0)*H645/1000),0,VLOOKUP($F645,#REF!,6,0)*H645/1000)</f>
        <v>0</v>
      </c>
      <c r="N645" s="21">
        <f>IF(ISERROR(VLOOKUP($F645,#REF!,6,0)*I645/1000),0,VLOOKUP($F645,#REF!,6,0)*I645/1000)</f>
        <v>0</v>
      </c>
      <c r="O645" s="21">
        <f>IF(ISERROR(VLOOKUP($F645,#REF!,6,0)*J645/1000),0,VLOOKUP($F645,#REF!,6,0)*J645/1000)</f>
        <v>0</v>
      </c>
      <c r="P645" s="21">
        <f>IF(ISERROR(VLOOKUP(F645,#REF!,6,0)*K645/1000),0,VLOOKUP(F645,#REF!,6,0)*K645/1000)</f>
        <v>0</v>
      </c>
      <c r="Q645" s="6">
        <f>IF(ISERROR(VLOOKUP(F645,#REF!,3,0)),0,VLOOKUP(F645,#REF!,3,0))</f>
        <v>0</v>
      </c>
      <c r="R645" s="6">
        <f>IF(ISERROR(VLOOKUP(F645,#REF!,4,0)),0,VLOOKUP(F645,#REF!,4,0))</f>
        <v>0</v>
      </c>
      <c r="S645" s="8">
        <f>IF(ISERROR(VLOOKUP(F645,#REF!,4,0)),0,VLOOKUP(F645,#REF!,10,0)/60*K645)</f>
        <v>0</v>
      </c>
      <c r="T645" s="3"/>
      <c r="U645" s="3"/>
      <c r="V645" s="4"/>
    </row>
    <row r="646" spans="1:22" x14ac:dyDescent="0.3">
      <c r="A646" s="5">
        <f t="shared" si="31"/>
        <v>0</v>
      </c>
      <c r="B646" s="6">
        <f t="shared" si="32"/>
        <v>0</v>
      </c>
      <c r="K646" s="18">
        <f t="shared" si="30"/>
        <v>0</v>
      </c>
      <c r="L646" s="21">
        <f>IF(ISERROR(VLOOKUP($F646,#REF!,6,0)*G646/1000),0,VLOOKUP($F646,#REF!,6,0)*G646/1000)</f>
        <v>0</v>
      </c>
      <c r="M646" s="21">
        <f>IF(ISERROR(VLOOKUP($F646,#REF!,6,0)*H646/1000),0,VLOOKUP($F646,#REF!,6,0)*H646/1000)</f>
        <v>0</v>
      </c>
      <c r="N646" s="21">
        <f>IF(ISERROR(VLOOKUP($F646,#REF!,6,0)*I646/1000),0,VLOOKUP($F646,#REF!,6,0)*I646/1000)</f>
        <v>0</v>
      </c>
      <c r="O646" s="21">
        <f>IF(ISERROR(VLOOKUP($F646,#REF!,6,0)*J646/1000),0,VLOOKUP($F646,#REF!,6,0)*J646/1000)</f>
        <v>0</v>
      </c>
      <c r="P646" s="21">
        <f>IF(ISERROR(VLOOKUP(F646,#REF!,6,0)*K646/1000),0,VLOOKUP(F646,#REF!,6,0)*K646/1000)</f>
        <v>0</v>
      </c>
      <c r="Q646" s="6">
        <f>IF(ISERROR(VLOOKUP(F646,#REF!,3,0)),0,VLOOKUP(F646,#REF!,3,0))</f>
        <v>0</v>
      </c>
      <c r="R646" s="6">
        <f>IF(ISERROR(VLOOKUP(F646,#REF!,4,0)),0,VLOOKUP(F646,#REF!,4,0))</f>
        <v>0</v>
      </c>
      <c r="S646" s="8">
        <f>IF(ISERROR(VLOOKUP(F646,#REF!,4,0)),0,VLOOKUP(F646,#REF!,10,0)/60*K646)</f>
        <v>0</v>
      </c>
      <c r="T646" s="3"/>
      <c r="U646" s="3"/>
      <c r="V646" s="4"/>
    </row>
    <row r="647" spans="1:22" x14ac:dyDescent="0.3">
      <c r="A647" s="5">
        <f t="shared" si="31"/>
        <v>0</v>
      </c>
      <c r="B647" s="6">
        <f t="shared" si="32"/>
        <v>0</v>
      </c>
      <c r="K647" s="18">
        <f t="shared" si="30"/>
        <v>0</v>
      </c>
      <c r="L647" s="21">
        <f>IF(ISERROR(VLOOKUP($F647,#REF!,6,0)*G647/1000),0,VLOOKUP($F647,#REF!,6,0)*G647/1000)</f>
        <v>0</v>
      </c>
      <c r="M647" s="21">
        <f>IF(ISERROR(VLOOKUP($F647,#REF!,6,0)*H647/1000),0,VLOOKUP($F647,#REF!,6,0)*H647/1000)</f>
        <v>0</v>
      </c>
      <c r="N647" s="21">
        <f>IF(ISERROR(VLOOKUP($F647,#REF!,6,0)*I647/1000),0,VLOOKUP($F647,#REF!,6,0)*I647/1000)</f>
        <v>0</v>
      </c>
      <c r="O647" s="21">
        <f>IF(ISERROR(VLOOKUP($F647,#REF!,6,0)*J647/1000),0,VLOOKUP($F647,#REF!,6,0)*J647/1000)</f>
        <v>0</v>
      </c>
      <c r="P647" s="21">
        <f>IF(ISERROR(VLOOKUP(F647,#REF!,6,0)*K647/1000),0,VLOOKUP(F647,#REF!,6,0)*K647/1000)</f>
        <v>0</v>
      </c>
      <c r="Q647" s="6">
        <f>IF(ISERROR(VLOOKUP(F647,#REF!,3,0)),0,VLOOKUP(F647,#REF!,3,0))</f>
        <v>0</v>
      </c>
      <c r="R647" s="6">
        <f>IF(ISERROR(VLOOKUP(F647,#REF!,4,0)),0,VLOOKUP(F647,#REF!,4,0))</f>
        <v>0</v>
      </c>
      <c r="S647" s="8">
        <f>IF(ISERROR(VLOOKUP(F647,#REF!,4,0)),0,VLOOKUP(F647,#REF!,10,0)/60*K647)</f>
        <v>0</v>
      </c>
      <c r="T647" s="3"/>
      <c r="U647" s="3"/>
      <c r="V647" s="4"/>
    </row>
    <row r="648" spans="1:22" x14ac:dyDescent="0.3">
      <c r="A648" s="5">
        <f t="shared" si="31"/>
        <v>0</v>
      </c>
      <c r="B648" s="6">
        <f t="shared" si="32"/>
        <v>0</v>
      </c>
      <c r="K648" s="18">
        <f t="shared" si="30"/>
        <v>0</v>
      </c>
      <c r="L648" s="21">
        <f>IF(ISERROR(VLOOKUP($F648,#REF!,6,0)*G648/1000),0,VLOOKUP($F648,#REF!,6,0)*G648/1000)</f>
        <v>0</v>
      </c>
      <c r="M648" s="21">
        <f>IF(ISERROR(VLOOKUP($F648,#REF!,6,0)*H648/1000),0,VLOOKUP($F648,#REF!,6,0)*H648/1000)</f>
        <v>0</v>
      </c>
      <c r="N648" s="21">
        <f>IF(ISERROR(VLOOKUP($F648,#REF!,6,0)*I648/1000),0,VLOOKUP($F648,#REF!,6,0)*I648/1000)</f>
        <v>0</v>
      </c>
      <c r="O648" s="21">
        <f>IF(ISERROR(VLOOKUP($F648,#REF!,6,0)*J648/1000),0,VLOOKUP($F648,#REF!,6,0)*J648/1000)</f>
        <v>0</v>
      </c>
      <c r="P648" s="21">
        <f>IF(ISERROR(VLOOKUP(F648,#REF!,6,0)*K648/1000),0,VLOOKUP(F648,#REF!,6,0)*K648/1000)</f>
        <v>0</v>
      </c>
      <c r="Q648" s="6">
        <f>IF(ISERROR(VLOOKUP(F648,#REF!,3,0)),0,VLOOKUP(F648,#REF!,3,0))</f>
        <v>0</v>
      </c>
      <c r="R648" s="6">
        <f>IF(ISERROR(VLOOKUP(F648,#REF!,4,0)),0,VLOOKUP(F648,#REF!,4,0))</f>
        <v>0</v>
      </c>
      <c r="S648" s="8">
        <f>IF(ISERROR(VLOOKUP(F648,#REF!,4,0)),0,VLOOKUP(F648,#REF!,10,0)/60*K648)</f>
        <v>0</v>
      </c>
      <c r="T648" s="3"/>
      <c r="U648" s="3"/>
      <c r="V648" s="4"/>
    </row>
    <row r="649" spans="1:22" x14ac:dyDescent="0.3">
      <c r="A649" s="5">
        <f t="shared" si="31"/>
        <v>0</v>
      </c>
      <c r="B649" s="6">
        <f t="shared" si="32"/>
        <v>0</v>
      </c>
      <c r="K649" s="18">
        <f t="shared" si="30"/>
        <v>0</v>
      </c>
      <c r="L649" s="21">
        <f>IF(ISERROR(VLOOKUP($F649,#REF!,6,0)*G649/1000),0,VLOOKUP($F649,#REF!,6,0)*G649/1000)</f>
        <v>0</v>
      </c>
      <c r="M649" s="21">
        <f>IF(ISERROR(VLOOKUP($F649,#REF!,6,0)*H649/1000),0,VLOOKUP($F649,#REF!,6,0)*H649/1000)</f>
        <v>0</v>
      </c>
      <c r="N649" s="21">
        <f>IF(ISERROR(VLOOKUP($F649,#REF!,6,0)*I649/1000),0,VLOOKUP($F649,#REF!,6,0)*I649/1000)</f>
        <v>0</v>
      </c>
      <c r="O649" s="21">
        <f>IF(ISERROR(VLOOKUP($F649,#REF!,6,0)*J649/1000),0,VLOOKUP($F649,#REF!,6,0)*J649/1000)</f>
        <v>0</v>
      </c>
      <c r="P649" s="21">
        <f>IF(ISERROR(VLOOKUP(F649,#REF!,6,0)*K649/1000),0,VLOOKUP(F649,#REF!,6,0)*K649/1000)</f>
        <v>0</v>
      </c>
      <c r="Q649" s="6">
        <f>IF(ISERROR(VLOOKUP(F649,#REF!,3,0)),0,VLOOKUP(F649,#REF!,3,0))</f>
        <v>0</v>
      </c>
      <c r="R649" s="6">
        <f>IF(ISERROR(VLOOKUP(F649,#REF!,4,0)),0,VLOOKUP(F649,#REF!,4,0))</f>
        <v>0</v>
      </c>
      <c r="S649" s="8">
        <f>IF(ISERROR(VLOOKUP(F649,#REF!,4,0)),0,VLOOKUP(F649,#REF!,10,0)/60*K649)</f>
        <v>0</v>
      </c>
      <c r="T649" s="3"/>
      <c r="U649" s="3"/>
      <c r="V649" s="4"/>
    </row>
    <row r="650" spans="1:22" x14ac:dyDescent="0.3">
      <c r="A650" s="5">
        <f t="shared" si="31"/>
        <v>0</v>
      </c>
      <c r="B650" s="6">
        <f t="shared" si="32"/>
        <v>0</v>
      </c>
      <c r="K650" s="18">
        <f t="shared" si="30"/>
        <v>0</v>
      </c>
      <c r="L650" s="21">
        <f>IF(ISERROR(VLOOKUP($F650,#REF!,6,0)*G650/1000),0,VLOOKUP($F650,#REF!,6,0)*G650/1000)</f>
        <v>0</v>
      </c>
      <c r="M650" s="21">
        <f>IF(ISERROR(VLOOKUP($F650,#REF!,6,0)*H650/1000),0,VLOOKUP($F650,#REF!,6,0)*H650/1000)</f>
        <v>0</v>
      </c>
      <c r="N650" s="21">
        <f>IF(ISERROR(VLOOKUP($F650,#REF!,6,0)*I650/1000),0,VLOOKUP($F650,#REF!,6,0)*I650/1000)</f>
        <v>0</v>
      </c>
      <c r="O650" s="21">
        <f>IF(ISERROR(VLOOKUP($F650,#REF!,6,0)*J650/1000),0,VLOOKUP($F650,#REF!,6,0)*J650/1000)</f>
        <v>0</v>
      </c>
      <c r="P650" s="21">
        <f>IF(ISERROR(VLOOKUP(F650,#REF!,6,0)*K650/1000),0,VLOOKUP(F650,#REF!,6,0)*K650/1000)</f>
        <v>0</v>
      </c>
      <c r="Q650" s="6">
        <f>IF(ISERROR(VLOOKUP(F650,#REF!,3,0)),0,VLOOKUP(F650,#REF!,3,0))</f>
        <v>0</v>
      </c>
      <c r="R650" s="6">
        <f>IF(ISERROR(VLOOKUP(F650,#REF!,4,0)),0,VLOOKUP(F650,#REF!,4,0))</f>
        <v>0</v>
      </c>
      <c r="S650" s="8">
        <f>IF(ISERROR(VLOOKUP(F650,#REF!,4,0)),0,VLOOKUP(F650,#REF!,10,0)/60*K650)</f>
        <v>0</v>
      </c>
      <c r="T650" s="3"/>
      <c r="U650" s="3"/>
      <c r="V650" s="4"/>
    </row>
    <row r="651" spans="1:22" x14ac:dyDescent="0.3">
      <c r="A651" s="5">
        <f t="shared" si="31"/>
        <v>0</v>
      </c>
      <c r="B651" s="6">
        <f t="shared" si="32"/>
        <v>0</v>
      </c>
      <c r="K651" s="18">
        <f t="shared" si="30"/>
        <v>0</v>
      </c>
      <c r="L651" s="21">
        <f>IF(ISERROR(VLOOKUP($F651,#REF!,6,0)*G651/1000),0,VLOOKUP($F651,#REF!,6,0)*G651/1000)</f>
        <v>0</v>
      </c>
      <c r="M651" s="21">
        <f>IF(ISERROR(VLOOKUP($F651,#REF!,6,0)*H651/1000),0,VLOOKUP($F651,#REF!,6,0)*H651/1000)</f>
        <v>0</v>
      </c>
      <c r="N651" s="21">
        <f>IF(ISERROR(VLOOKUP($F651,#REF!,6,0)*I651/1000),0,VLOOKUP($F651,#REF!,6,0)*I651/1000)</f>
        <v>0</v>
      </c>
      <c r="O651" s="21">
        <f>IF(ISERROR(VLOOKUP($F651,#REF!,6,0)*J651/1000),0,VLOOKUP($F651,#REF!,6,0)*J651/1000)</f>
        <v>0</v>
      </c>
      <c r="P651" s="21">
        <f>IF(ISERROR(VLOOKUP(F651,#REF!,6,0)*K651/1000),0,VLOOKUP(F651,#REF!,6,0)*K651/1000)</f>
        <v>0</v>
      </c>
      <c r="Q651" s="6">
        <f>IF(ISERROR(VLOOKUP(F651,#REF!,3,0)),0,VLOOKUP(F651,#REF!,3,0))</f>
        <v>0</v>
      </c>
      <c r="R651" s="6">
        <f>IF(ISERROR(VLOOKUP(F651,#REF!,4,0)),0,VLOOKUP(F651,#REF!,4,0))</f>
        <v>0</v>
      </c>
      <c r="S651" s="8">
        <f>IF(ISERROR(VLOOKUP(F651,#REF!,4,0)),0,VLOOKUP(F651,#REF!,10,0)/60*K651)</f>
        <v>0</v>
      </c>
      <c r="T651" s="3"/>
      <c r="U651" s="3"/>
      <c r="V651" s="4"/>
    </row>
    <row r="652" spans="1:22" x14ac:dyDescent="0.3">
      <c r="A652" s="5">
        <f t="shared" si="31"/>
        <v>0</v>
      </c>
      <c r="B652" s="6">
        <f t="shared" si="32"/>
        <v>0</v>
      </c>
      <c r="K652" s="18">
        <f t="shared" si="30"/>
        <v>0</v>
      </c>
      <c r="L652" s="21">
        <f>IF(ISERROR(VLOOKUP($F652,#REF!,6,0)*G652/1000),0,VLOOKUP($F652,#REF!,6,0)*G652/1000)</f>
        <v>0</v>
      </c>
      <c r="M652" s="21">
        <f>IF(ISERROR(VLOOKUP($F652,#REF!,6,0)*H652/1000),0,VLOOKUP($F652,#REF!,6,0)*H652/1000)</f>
        <v>0</v>
      </c>
      <c r="N652" s="21">
        <f>IF(ISERROR(VLOOKUP($F652,#REF!,6,0)*I652/1000),0,VLOOKUP($F652,#REF!,6,0)*I652/1000)</f>
        <v>0</v>
      </c>
      <c r="O652" s="21">
        <f>IF(ISERROR(VLOOKUP($F652,#REF!,6,0)*J652/1000),0,VLOOKUP($F652,#REF!,6,0)*J652/1000)</f>
        <v>0</v>
      </c>
      <c r="P652" s="21">
        <f>IF(ISERROR(VLOOKUP(F652,#REF!,6,0)*K652/1000),0,VLOOKUP(F652,#REF!,6,0)*K652/1000)</f>
        <v>0</v>
      </c>
      <c r="Q652" s="6">
        <f>IF(ISERROR(VLOOKUP(F652,#REF!,3,0)),0,VLOOKUP(F652,#REF!,3,0))</f>
        <v>0</v>
      </c>
      <c r="R652" s="6">
        <f>IF(ISERROR(VLOOKUP(F652,#REF!,4,0)),0,VLOOKUP(F652,#REF!,4,0))</f>
        <v>0</v>
      </c>
      <c r="S652" s="8">
        <f>IF(ISERROR(VLOOKUP(F652,#REF!,4,0)),0,VLOOKUP(F652,#REF!,10,0)/60*K652)</f>
        <v>0</v>
      </c>
      <c r="T652" s="3"/>
      <c r="U652" s="3"/>
      <c r="V652" s="4"/>
    </row>
    <row r="653" spans="1:22" x14ac:dyDescent="0.3">
      <c r="A653" s="5">
        <f t="shared" si="31"/>
        <v>0</v>
      </c>
      <c r="B653" s="6">
        <f t="shared" si="32"/>
        <v>0</v>
      </c>
      <c r="K653" s="18">
        <f t="shared" si="30"/>
        <v>0</v>
      </c>
      <c r="L653" s="21">
        <f>IF(ISERROR(VLOOKUP($F653,#REF!,6,0)*G653/1000),0,VLOOKUP($F653,#REF!,6,0)*G653/1000)</f>
        <v>0</v>
      </c>
      <c r="M653" s="21">
        <f>IF(ISERROR(VLOOKUP($F653,#REF!,6,0)*H653/1000),0,VLOOKUP($F653,#REF!,6,0)*H653/1000)</f>
        <v>0</v>
      </c>
      <c r="N653" s="21">
        <f>IF(ISERROR(VLOOKUP($F653,#REF!,6,0)*I653/1000),0,VLOOKUP($F653,#REF!,6,0)*I653/1000)</f>
        <v>0</v>
      </c>
      <c r="O653" s="21">
        <f>IF(ISERROR(VLOOKUP($F653,#REF!,6,0)*J653/1000),0,VLOOKUP($F653,#REF!,6,0)*J653/1000)</f>
        <v>0</v>
      </c>
      <c r="P653" s="21">
        <f>IF(ISERROR(VLOOKUP(F653,#REF!,6,0)*K653/1000),0,VLOOKUP(F653,#REF!,6,0)*K653/1000)</f>
        <v>0</v>
      </c>
      <c r="Q653" s="6">
        <f>IF(ISERROR(VLOOKUP(F653,#REF!,3,0)),0,VLOOKUP(F653,#REF!,3,0))</f>
        <v>0</v>
      </c>
      <c r="R653" s="6">
        <f>IF(ISERROR(VLOOKUP(F653,#REF!,4,0)),0,VLOOKUP(F653,#REF!,4,0))</f>
        <v>0</v>
      </c>
      <c r="S653" s="8">
        <f>IF(ISERROR(VLOOKUP(F653,#REF!,4,0)),0,VLOOKUP(F653,#REF!,10,0)/60*K653)</f>
        <v>0</v>
      </c>
      <c r="T653" s="3"/>
      <c r="U653" s="3"/>
      <c r="V653" s="4"/>
    </row>
    <row r="654" spans="1:22" x14ac:dyDescent="0.3">
      <c r="A654" s="5">
        <f t="shared" si="31"/>
        <v>0</v>
      </c>
      <c r="B654" s="6">
        <f t="shared" si="32"/>
        <v>0</v>
      </c>
      <c r="K654" s="18">
        <f t="shared" si="30"/>
        <v>0</v>
      </c>
      <c r="L654" s="21">
        <f>IF(ISERROR(VLOOKUP($F654,#REF!,6,0)*G654/1000),0,VLOOKUP($F654,#REF!,6,0)*G654/1000)</f>
        <v>0</v>
      </c>
      <c r="M654" s="21">
        <f>IF(ISERROR(VLOOKUP($F654,#REF!,6,0)*H654/1000),0,VLOOKUP($F654,#REF!,6,0)*H654/1000)</f>
        <v>0</v>
      </c>
      <c r="N654" s="21">
        <f>IF(ISERROR(VLOOKUP($F654,#REF!,6,0)*I654/1000),0,VLOOKUP($F654,#REF!,6,0)*I654/1000)</f>
        <v>0</v>
      </c>
      <c r="O654" s="21">
        <f>IF(ISERROR(VLOOKUP($F654,#REF!,6,0)*J654/1000),0,VLOOKUP($F654,#REF!,6,0)*J654/1000)</f>
        <v>0</v>
      </c>
      <c r="P654" s="21">
        <f>IF(ISERROR(VLOOKUP(F654,#REF!,6,0)*K654/1000),0,VLOOKUP(F654,#REF!,6,0)*K654/1000)</f>
        <v>0</v>
      </c>
      <c r="Q654" s="6">
        <f>IF(ISERROR(VLOOKUP(F654,#REF!,3,0)),0,VLOOKUP(F654,#REF!,3,0))</f>
        <v>0</v>
      </c>
      <c r="R654" s="6">
        <f>IF(ISERROR(VLOOKUP(F654,#REF!,4,0)),0,VLOOKUP(F654,#REF!,4,0))</f>
        <v>0</v>
      </c>
      <c r="S654" s="8">
        <f>IF(ISERROR(VLOOKUP(F654,#REF!,4,0)),0,VLOOKUP(F654,#REF!,10,0)/60*K654)</f>
        <v>0</v>
      </c>
      <c r="T654" s="3"/>
      <c r="U654" s="3"/>
      <c r="V654" s="4"/>
    </row>
    <row r="655" spans="1:22" x14ac:dyDescent="0.3">
      <c r="A655" s="5">
        <f t="shared" si="31"/>
        <v>0</v>
      </c>
      <c r="B655" s="6">
        <f t="shared" si="32"/>
        <v>0</v>
      </c>
      <c r="K655" s="18">
        <f t="shared" si="30"/>
        <v>0</v>
      </c>
      <c r="L655" s="21">
        <f>IF(ISERROR(VLOOKUP($F655,#REF!,6,0)*G655/1000),0,VLOOKUP($F655,#REF!,6,0)*G655/1000)</f>
        <v>0</v>
      </c>
      <c r="M655" s="21">
        <f>IF(ISERROR(VLOOKUP($F655,#REF!,6,0)*H655/1000),0,VLOOKUP($F655,#REF!,6,0)*H655/1000)</f>
        <v>0</v>
      </c>
      <c r="N655" s="21">
        <f>IF(ISERROR(VLOOKUP($F655,#REF!,6,0)*I655/1000),0,VLOOKUP($F655,#REF!,6,0)*I655/1000)</f>
        <v>0</v>
      </c>
      <c r="O655" s="21">
        <f>IF(ISERROR(VLOOKUP($F655,#REF!,6,0)*J655/1000),0,VLOOKUP($F655,#REF!,6,0)*J655/1000)</f>
        <v>0</v>
      </c>
      <c r="P655" s="21">
        <f>IF(ISERROR(VLOOKUP(F655,#REF!,6,0)*K655/1000),0,VLOOKUP(F655,#REF!,6,0)*K655/1000)</f>
        <v>0</v>
      </c>
      <c r="Q655" s="6">
        <f>IF(ISERROR(VLOOKUP(F655,#REF!,3,0)),0,VLOOKUP(F655,#REF!,3,0))</f>
        <v>0</v>
      </c>
      <c r="R655" s="6">
        <f>IF(ISERROR(VLOOKUP(F655,#REF!,4,0)),0,VLOOKUP(F655,#REF!,4,0))</f>
        <v>0</v>
      </c>
      <c r="S655" s="8">
        <f>IF(ISERROR(VLOOKUP(F655,#REF!,4,0)),0,VLOOKUP(F655,#REF!,10,0)/60*K655)</f>
        <v>0</v>
      </c>
      <c r="T655" s="3"/>
      <c r="U655" s="3"/>
      <c r="V655" s="4"/>
    </row>
    <row r="656" spans="1:22" x14ac:dyDescent="0.3">
      <c r="A656" s="5">
        <f t="shared" si="31"/>
        <v>0</v>
      </c>
      <c r="B656" s="6">
        <f t="shared" si="32"/>
        <v>0</v>
      </c>
      <c r="K656" s="18">
        <f t="shared" si="30"/>
        <v>0</v>
      </c>
      <c r="L656" s="21">
        <f>IF(ISERROR(VLOOKUP($F656,#REF!,6,0)*G656/1000),0,VLOOKUP($F656,#REF!,6,0)*G656/1000)</f>
        <v>0</v>
      </c>
      <c r="M656" s="21">
        <f>IF(ISERROR(VLOOKUP($F656,#REF!,6,0)*H656/1000),0,VLOOKUP($F656,#REF!,6,0)*H656/1000)</f>
        <v>0</v>
      </c>
      <c r="N656" s="21">
        <f>IF(ISERROR(VLOOKUP($F656,#REF!,6,0)*I656/1000),0,VLOOKUP($F656,#REF!,6,0)*I656/1000)</f>
        <v>0</v>
      </c>
      <c r="O656" s="21">
        <f>IF(ISERROR(VLOOKUP($F656,#REF!,6,0)*J656/1000),0,VLOOKUP($F656,#REF!,6,0)*J656/1000)</f>
        <v>0</v>
      </c>
      <c r="P656" s="21">
        <f>IF(ISERROR(VLOOKUP(F656,#REF!,6,0)*K656/1000),0,VLOOKUP(F656,#REF!,6,0)*K656/1000)</f>
        <v>0</v>
      </c>
      <c r="Q656" s="6">
        <f>IF(ISERROR(VLOOKUP(F656,#REF!,3,0)),0,VLOOKUP(F656,#REF!,3,0))</f>
        <v>0</v>
      </c>
      <c r="R656" s="6">
        <f>IF(ISERROR(VLOOKUP(F656,#REF!,4,0)),0,VLOOKUP(F656,#REF!,4,0))</f>
        <v>0</v>
      </c>
      <c r="S656" s="8">
        <f>IF(ISERROR(VLOOKUP(F656,#REF!,4,0)),0,VLOOKUP(F656,#REF!,10,0)/60*K656)</f>
        <v>0</v>
      </c>
      <c r="T656" s="3"/>
      <c r="U656" s="3"/>
      <c r="V656" s="4"/>
    </row>
    <row r="657" spans="1:22" x14ac:dyDescent="0.3">
      <c r="A657" s="5">
        <f t="shared" si="31"/>
        <v>0</v>
      </c>
      <c r="B657" s="6">
        <f t="shared" si="32"/>
        <v>0</v>
      </c>
      <c r="K657" s="18">
        <f t="shared" si="30"/>
        <v>0</v>
      </c>
      <c r="L657" s="21">
        <f>IF(ISERROR(VLOOKUP($F657,#REF!,6,0)*G657/1000),0,VLOOKUP($F657,#REF!,6,0)*G657/1000)</f>
        <v>0</v>
      </c>
      <c r="M657" s="21">
        <f>IF(ISERROR(VLOOKUP($F657,#REF!,6,0)*H657/1000),0,VLOOKUP($F657,#REF!,6,0)*H657/1000)</f>
        <v>0</v>
      </c>
      <c r="N657" s="21">
        <f>IF(ISERROR(VLOOKUP($F657,#REF!,6,0)*I657/1000),0,VLOOKUP($F657,#REF!,6,0)*I657/1000)</f>
        <v>0</v>
      </c>
      <c r="O657" s="21">
        <f>IF(ISERROR(VLOOKUP($F657,#REF!,6,0)*J657/1000),0,VLOOKUP($F657,#REF!,6,0)*J657/1000)</f>
        <v>0</v>
      </c>
      <c r="P657" s="21">
        <f>IF(ISERROR(VLOOKUP(F657,#REF!,6,0)*K657/1000),0,VLOOKUP(F657,#REF!,6,0)*K657/1000)</f>
        <v>0</v>
      </c>
      <c r="Q657" s="6">
        <f>IF(ISERROR(VLOOKUP(F657,#REF!,3,0)),0,VLOOKUP(F657,#REF!,3,0))</f>
        <v>0</v>
      </c>
      <c r="R657" s="6">
        <f>IF(ISERROR(VLOOKUP(F657,#REF!,4,0)),0,VLOOKUP(F657,#REF!,4,0))</f>
        <v>0</v>
      </c>
      <c r="S657" s="8">
        <f>IF(ISERROR(VLOOKUP(F657,#REF!,4,0)),0,VLOOKUP(F657,#REF!,10,0)/60*K657)</f>
        <v>0</v>
      </c>
      <c r="T657" s="3"/>
      <c r="U657" s="3"/>
      <c r="V657" s="4"/>
    </row>
    <row r="658" spans="1:22" x14ac:dyDescent="0.3">
      <c r="A658" s="5">
        <f t="shared" si="31"/>
        <v>0</v>
      </c>
      <c r="B658" s="6">
        <f t="shared" si="32"/>
        <v>0</v>
      </c>
      <c r="K658" s="18">
        <f t="shared" si="30"/>
        <v>0</v>
      </c>
      <c r="L658" s="21">
        <f>IF(ISERROR(VLOOKUP($F658,#REF!,6,0)*G658/1000),0,VLOOKUP($F658,#REF!,6,0)*G658/1000)</f>
        <v>0</v>
      </c>
      <c r="M658" s="21">
        <f>IF(ISERROR(VLOOKUP($F658,#REF!,6,0)*H658/1000),0,VLOOKUP($F658,#REF!,6,0)*H658/1000)</f>
        <v>0</v>
      </c>
      <c r="N658" s="21">
        <f>IF(ISERROR(VLOOKUP($F658,#REF!,6,0)*I658/1000),0,VLOOKUP($F658,#REF!,6,0)*I658/1000)</f>
        <v>0</v>
      </c>
      <c r="O658" s="21">
        <f>IF(ISERROR(VLOOKUP($F658,#REF!,6,0)*J658/1000),0,VLOOKUP($F658,#REF!,6,0)*J658/1000)</f>
        <v>0</v>
      </c>
      <c r="P658" s="21">
        <f>IF(ISERROR(VLOOKUP(F658,#REF!,6,0)*K658/1000),0,VLOOKUP(F658,#REF!,6,0)*K658/1000)</f>
        <v>0</v>
      </c>
      <c r="Q658" s="6">
        <f>IF(ISERROR(VLOOKUP(F658,#REF!,3,0)),0,VLOOKUP(F658,#REF!,3,0))</f>
        <v>0</v>
      </c>
      <c r="R658" s="6">
        <f>IF(ISERROR(VLOOKUP(F658,#REF!,4,0)),0,VLOOKUP(F658,#REF!,4,0))</f>
        <v>0</v>
      </c>
      <c r="S658" s="8">
        <f>IF(ISERROR(VLOOKUP(F658,#REF!,4,0)),0,VLOOKUP(F658,#REF!,10,0)/60*K658)</f>
        <v>0</v>
      </c>
      <c r="T658" s="3"/>
      <c r="U658" s="3"/>
      <c r="V658" s="4"/>
    </row>
    <row r="659" spans="1:22" x14ac:dyDescent="0.3">
      <c r="A659" s="5">
        <f t="shared" si="31"/>
        <v>0</v>
      </c>
      <c r="B659" s="6">
        <f t="shared" si="32"/>
        <v>0</v>
      </c>
      <c r="K659" s="18">
        <f t="shared" si="30"/>
        <v>0</v>
      </c>
      <c r="L659" s="21">
        <f>IF(ISERROR(VLOOKUP($F659,#REF!,6,0)*G659/1000),0,VLOOKUP($F659,#REF!,6,0)*G659/1000)</f>
        <v>0</v>
      </c>
      <c r="M659" s="21">
        <f>IF(ISERROR(VLOOKUP($F659,#REF!,6,0)*H659/1000),0,VLOOKUP($F659,#REF!,6,0)*H659/1000)</f>
        <v>0</v>
      </c>
      <c r="N659" s="21">
        <f>IF(ISERROR(VLOOKUP($F659,#REF!,6,0)*I659/1000),0,VLOOKUP($F659,#REF!,6,0)*I659/1000)</f>
        <v>0</v>
      </c>
      <c r="O659" s="21">
        <f>IF(ISERROR(VLOOKUP($F659,#REF!,6,0)*J659/1000),0,VLOOKUP($F659,#REF!,6,0)*J659/1000)</f>
        <v>0</v>
      </c>
      <c r="P659" s="21">
        <f>IF(ISERROR(VLOOKUP(F659,#REF!,6,0)*K659/1000),0,VLOOKUP(F659,#REF!,6,0)*K659/1000)</f>
        <v>0</v>
      </c>
      <c r="Q659" s="6">
        <f>IF(ISERROR(VLOOKUP(F659,#REF!,3,0)),0,VLOOKUP(F659,#REF!,3,0))</f>
        <v>0</v>
      </c>
      <c r="R659" s="6">
        <f>IF(ISERROR(VLOOKUP(F659,#REF!,4,0)),0,VLOOKUP(F659,#REF!,4,0))</f>
        <v>0</v>
      </c>
      <c r="S659" s="8">
        <f>IF(ISERROR(VLOOKUP(F659,#REF!,4,0)),0,VLOOKUP(F659,#REF!,10,0)/60*K659)</f>
        <v>0</v>
      </c>
      <c r="T659" s="3"/>
      <c r="U659" s="3"/>
      <c r="V659" s="4"/>
    </row>
    <row r="660" spans="1:22" x14ac:dyDescent="0.3">
      <c r="A660" s="5">
        <f t="shared" si="31"/>
        <v>0</v>
      </c>
      <c r="B660" s="6">
        <f t="shared" si="32"/>
        <v>0</v>
      </c>
      <c r="K660" s="18">
        <f t="shared" si="30"/>
        <v>0</v>
      </c>
      <c r="L660" s="21">
        <f>IF(ISERROR(VLOOKUP($F660,#REF!,6,0)*G660/1000),0,VLOOKUP($F660,#REF!,6,0)*G660/1000)</f>
        <v>0</v>
      </c>
      <c r="M660" s="21">
        <f>IF(ISERROR(VLOOKUP($F660,#REF!,6,0)*H660/1000),0,VLOOKUP($F660,#REF!,6,0)*H660/1000)</f>
        <v>0</v>
      </c>
      <c r="N660" s="21">
        <f>IF(ISERROR(VLOOKUP($F660,#REF!,6,0)*I660/1000),0,VLOOKUP($F660,#REF!,6,0)*I660/1000)</f>
        <v>0</v>
      </c>
      <c r="O660" s="21">
        <f>IF(ISERROR(VLOOKUP($F660,#REF!,6,0)*J660/1000),0,VLOOKUP($F660,#REF!,6,0)*J660/1000)</f>
        <v>0</v>
      </c>
      <c r="P660" s="21">
        <f>IF(ISERROR(VLOOKUP(F660,#REF!,6,0)*K660/1000),0,VLOOKUP(F660,#REF!,6,0)*K660/1000)</f>
        <v>0</v>
      </c>
      <c r="Q660" s="6">
        <f>IF(ISERROR(VLOOKUP(F660,#REF!,3,0)),0,VLOOKUP(F660,#REF!,3,0))</f>
        <v>0</v>
      </c>
      <c r="R660" s="6">
        <f>IF(ISERROR(VLOOKUP(F660,#REF!,4,0)),0,VLOOKUP(F660,#REF!,4,0))</f>
        <v>0</v>
      </c>
      <c r="S660" s="8">
        <f>IF(ISERROR(VLOOKUP(F660,#REF!,4,0)),0,VLOOKUP(F660,#REF!,10,0)/60*K660)</f>
        <v>0</v>
      </c>
      <c r="T660" s="3"/>
      <c r="U660" s="3"/>
      <c r="V660" s="4"/>
    </row>
    <row r="661" spans="1:22" x14ac:dyDescent="0.3">
      <c r="A661" s="5">
        <f t="shared" si="31"/>
        <v>0</v>
      </c>
      <c r="B661" s="6">
        <f t="shared" si="32"/>
        <v>0</v>
      </c>
      <c r="K661" s="18">
        <f t="shared" si="30"/>
        <v>0</v>
      </c>
      <c r="L661" s="21">
        <f>IF(ISERROR(VLOOKUP($F661,#REF!,6,0)*G661/1000),0,VLOOKUP($F661,#REF!,6,0)*G661/1000)</f>
        <v>0</v>
      </c>
      <c r="M661" s="21">
        <f>IF(ISERROR(VLOOKUP($F661,#REF!,6,0)*H661/1000),0,VLOOKUP($F661,#REF!,6,0)*H661/1000)</f>
        <v>0</v>
      </c>
      <c r="N661" s="21">
        <f>IF(ISERROR(VLOOKUP($F661,#REF!,6,0)*I661/1000),0,VLOOKUP($F661,#REF!,6,0)*I661/1000)</f>
        <v>0</v>
      </c>
      <c r="O661" s="21">
        <f>IF(ISERROR(VLOOKUP($F661,#REF!,6,0)*J661/1000),0,VLOOKUP($F661,#REF!,6,0)*J661/1000)</f>
        <v>0</v>
      </c>
      <c r="P661" s="21">
        <f>IF(ISERROR(VLOOKUP(F661,#REF!,6,0)*K661/1000),0,VLOOKUP(F661,#REF!,6,0)*K661/1000)</f>
        <v>0</v>
      </c>
      <c r="Q661" s="6">
        <f>IF(ISERROR(VLOOKUP(F661,#REF!,3,0)),0,VLOOKUP(F661,#REF!,3,0))</f>
        <v>0</v>
      </c>
      <c r="R661" s="6">
        <f>IF(ISERROR(VLOOKUP(F661,#REF!,4,0)),0,VLOOKUP(F661,#REF!,4,0))</f>
        <v>0</v>
      </c>
      <c r="S661" s="8">
        <f>IF(ISERROR(VLOOKUP(F661,#REF!,4,0)),0,VLOOKUP(F661,#REF!,10,0)/60*K661)</f>
        <v>0</v>
      </c>
      <c r="T661" s="3"/>
      <c r="U661" s="3"/>
      <c r="V661" s="4"/>
    </row>
    <row r="662" spans="1:22" x14ac:dyDescent="0.3">
      <c r="A662" s="5">
        <f t="shared" si="31"/>
        <v>0</v>
      </c>
      <c r="B662" s="6">
        <f t="shared" si="32"/>
        <v>0</v>
      </c>
      <c r="K662" s="18">
        <f t="shared" si="30"/>
        <v>0</v>
      </c>
      <c r="L662" s="21">
        <f>IF(ISERROR(VLOOKUP($F662,#REF!,6,0)*G662/1000),0,VLOOKUP($F662,#REF!,6,0)*G662/1000)</f>
        <v>0</v>
      </c>
      <c r="M662" s="21">
        <f>IF(ISERROR(VLOOKUP($F662,#REF!,6,0)*H662/1000),0,VLOOKUP($F662,#REF!,6,0)*H662/1000)</f>
        <v>0</v>
      </c>
      <c r="N662" s="21">
        <f>IF(ISERROR(VLOOKUP($F662,#REF!,6,0)*I662/1000),0,VLOOKUP($F662,#REF!,6,0)*I662/1000)</f>
        <v>0</v>
      </c>
      <c r="O662" s="21">
        <f>IF(ISERROR(VLOOKUP($F662,#REF!,6,0)*J662/1000),0,VLOOKUP($F662,#REF!,6,0)*J662/1000)</f>
        <v>0</v>
      </c>
      <c r="P662" s="21">
        <f>IF(ISERROR(VLOOKUP(F662,#REF!,6,0)*K662/1000),0,VLOOKUP(F662,#REF!,6,0)*K662/1000)</f>
        <v>0</v>
      </c>
      <c r="Q662" s="6">
        <f>IF(ISERROR(VLOOKUP(F662,#REF!,3,0)),0,VLOOKUP(F662,#REF!,3,0))</f>
        <v>0</v>
      </c>
      <c r="R662" s="6">
        <f>IF(ISERROR(VLOOKUP(F662,#REF!,4,0)),0,VLOOKUP(F662,#REF!,4,0))</f>
        <v>0</v>
      </c>
      <c r="S662" s="8">
        <f>IF(ISERROR(VLOOKUP(F662,#REF!,4,0)),0,VLOOKUP(F662,#REF!,10,0)/60*K662)</f>
        <v>0</v>
      </c>
      <c r="T662" s="3"/>
      <c r="U662" s="3"/>
      <c r="V662" s="4"/>
    </row>
    <row r="663" spans="1:22" x14ac:dyDescent="0.3">
      <c r="A663" s="5">
        <f t="shared" si="31"/>
        <v>0</v>
      </c>
      <c r="B663" s="6">
        <f t="shared" si="32"/>
        <v>0</v>
      </c>
      <c r="K663" s="18">
        <f t="shared" si="30"/>
        <v>0</v>
      </c>
      <c r="L663" s="21">
        <f>IF(ISERROR(VLOOKUP($F663,#REF!,6,0)*G663/1000),0,VLOOKUP($F663,#REF!,6,0)*G663/1000)</f>
        <v>0</v>
      </c>
      <c r="M663" s="21">
        <f>IF(ISERROR(VLOOKUP($F663,#REF!,6,0)*H663/1000),0,VLOOKUP($F663,#REF!,6,0)*H663/1000)</f>
        <v>0</v>
      </c>
      <c r="N663" s="21">
        <f>IF(ISERROR(VLOOKUP($F663,#REF!,6,0)*I663/1000),0,VLOOKUP($F663,#REF!,6,0)*I663/1000)</f>
        <v>0</v>
      </c>
      <c r="O663" s="21">
        <f>IF(ISERROR(VLOOKUP($F663,#REF!,6,0)*J663/1000),0,VLOOKUP($F663,#REF!,6,0)*J663/1000)</f>
        <v>0</v>
      </c>
      <c r="P663" s="21">
        <f>IF(ISERROR(VLOOKUP(F663,#REF!,6,0)*K663/1000),0,VLOOKUP(F663,#REF!,6,0)*K663/1000)</f>
        <v>0</v>
      </c>
      <c r="Q663" s="6">
        <f>IF(ISERROR(VLOOKUP(F663,#REF!,3,0)),0,VLOOKUP(F663,#REF!,3,0))</f>
        <v>0</v>
      </c>
      <c r="R663" s="6">
        <f>IF(ISERROR(VLOOKUP(F663,#REF!,4,0)),0,VLOOKUP(F663,#REF!,4,0))</f>
        <v>0</v>
      </c>
      <c r="S663" s="8">
        <f>IF(ISERROR(VLOOKUP(F663,#REF!,4,0)),0,VLOOKUP(F663,#REF!,10,0)/60*K663)</f>
        <v>0</v>
      </c>
      <c r="T663" s="3"/>
      <c r="U663" s="3"/>
      <c r="V663" s="4"/>
    </row>
    <row r="664" spans="1:22" x14ac:dyDescent="0.3">
      <c r="A664" s="5">
        <f t="shared" si="31"/>
        <v>0</v>
      </c>
      <c r="B664" s="6">
        <f t="shared" si="32"/>
        <v>0</v>
      </c>
      <c r="K664" s="18">
        <f t="shared" si="30"/>
        <v>0</v>
      </c>
      <c r="L664" s="21">
        <f>IF(ISERROR(VLOOKUP($F664,#REF!,6,0)*G664/1000),0,VLOOKUP($F664,#REF!,6,0)*G664/1000)</f>
        <v>0</v>
      </c>
      <c r="M664" s="21">
        <f>IF(ISERROR(VLOOKUP($F664,#REF!,6,0)*H664/1000),0,VLOOKUP($F664,#REF!,6,0)*H664/1000)</f>
        <v>0</v>
      </c>
      <c r="N664" s="21">
        <f>IF(ISERROR(VLOOKUP($F664,#REF!,6,0)*I664/1000),0,VLOOKUP($F664,#REF!,6,0)*I664/1000)</f>
        <v>0</v>
      </c>
      <c r="O664" s="21">
        <f>IF(ISERROR(VLOOKUP($F664,#REF!,6,0)*J664/1000),0,VLOOKUP($F664,#REF!,6,0)*J664/1000)</f>
        <v>0</v>
      </c>
      <c r="P664" s="21">
        <f>IF(ISERROR(VLOOKUP(F664,#REF!,6,0)*K664/1000),0,VLOOKUP(F664,#REF!,6,0)*K664/1000)</f>
        <v>0</v>
      </c>
      <c r="Q664" s="6">
        <f>IF(ISERROR(VLOOKUP(F664,#REF!,3,0)),0,VLOOKUP(F664,#REF!,3,0))</f>
        <v>0</v>
      </c>
      <c r="R664" s="6">
        <f>IF(ISERROR(VLOOKUP(F664,#REF!,4,0)),0,VLOOKUP(F664,#REF!,4,0))</f>
        <v>0</v>
      </c>
      <c r="S664" s="8">
        <f>IF(ISERROR(VLOOKUP(F664,#REF!,4,0)),0,VLOOKUP(F664,#REF!,10,0)/60*K664)</f>
        <v>0</v>
      </c>
      <c r="T664" s="3"/>
      <c r="U664" s="3"/>
      <c r="V664" s="4"/>
    </row>
    <row r="665" spans="1:22" x14ac:dyDescent="0.3">
      <c r="A665" s="5">
        <f t="shared" si="31"/>
        <v>0</v>
      </c>
      <c r="B665" s="6">
        <f t="shared" si="32"/>
        <v>0</v>
      </c>
      <c r="K665" s="18">
        <f t="shared" si="30"/>
        <v>0</v>
      </c>
      <c r="L665" s="21">
        <f>IF(ISERROR(VLOOKUP($F665,#REF!,6,0)*G665/1000),0,VLOOKUP($F665,#REF!,6,0)*G665/1000)</f>
        <v>0</v>
      </c>
      <c r="M665" s="21">
        <f>IF(ISERROR(VLOOKUP($F665,#REF!,6,0)*H665/1000),0,VLOOKUP($F665,#REF!,6,0)*H665/1000)</f>
        <v>0</v>
      </c>
      <c r="N665" s="21">
        <f>IF(ISERROR(VLOOKUP($F665,#REF!,6,0)*I665/1000),0,VLOOKUP($F665,#REF!,6,0)*I665/1000)</f>
        <v>0</v>
      </c>
      <c r="O665" s="21">
        <f>IF(ISERROR(VLOOKUP($F665,#REF!,6,0)*J665/1000),0,VLOOKUP($F665,#REF!,6,0)*J665/1000)</f>
        <v>0</v>
      </c>
      <c r="P665" s="21">
        <f>IF(ISERROR(VLOOKUP(F665,#REF!,6,0)*K665/1000),0,VLOOKUP(F665,#REF!,6,0)*K665/1000)</f>
        <v>0</v>
      </c>
      <c r="Q665" s="6">
        <f>IF(ISERROR(VLOOKUP(F665,#REF!,3,0)),0,VLOOKUP(F665,#REF!,3,0))</f>
        <v>0</v>
      </c>
      <c r="R665" s="6">
        <f>IF(ISERROR(VLOOKUP(F665,#REF!,4,0)),0,VLOOKUP(F665,#REF!,4,0))</f>
        <v>0</v>
      </c>
      <c r="S665" s="8">
        <f>IF(ISERROR(VLOOKUP(F665,#REF!,4,0)),0,VLOOKUP(F665,#REF!,10,0)/60*K665)</f>
        <v>0</v>
      </c>
      <c r="T665" s="3"/>
      <c r="U665" s="3"/>
      <c r="V665" s="4"/>
    </row>
    <row r="666" spans="1:22" x14ac:dyDescent="0.3">
      <c r="A666" s="5">
        <f t="shared" si="31"/>
        <v>0</v>
      </c>
      <c r="B666" s="6">
        <f t="shared" si="32"/>
        <v>0</v>
      </c>
      <c r="K666" s="18">
        <f t="shared" si="30"/>
        <v>0</v>
      </c>
      <c r="L666" s="21">
        <f>IF(ISERROR(VLOOKUP($F666,#REF!,6,0)*G666/1000),0,VLOOKUP($F666,#REF!,6,0)*G666/1000)</f>
        <v>0</v>
      </c>
      <c r="M666" s="21">
        <f>IF(ISERROR(VLOOKUP($F666,#REF!,6,0)*H666/1000),0,VLOOKUP($F666,#REF!,6,0)*H666/1000)</f>
        <v>0</v>
      </c>
      <c r="N666" s="21">
        <f>IF(ISERROR(VLOOKUP($F666,#REF!,6,0)*I666/1000),0,VLOOKUP($F666,#REF!,6,0)*I666/1000)</f>
        <v>0</v>
      </c>
      <c r="O666" s="21">
        <f>IF(ISERROR(VLOOKUP($F666,#REF!,6,0)*J666/1000),0,VLOOKUP($F666,#REF!,6,0)*J666/1000)</f>
        <v>0</v>
      </c>
      <c r="P666" s="21">
        <f>IF(ISERROR(VLOOKUP(F666,#REF!,6,0)*K666/1000),0,VLOOKUP(F666,#REF!,6,0)*K666/1000)</f>
        <v>0</v>
      </c>
      <c r="Q666" s="6">
        <f>IF(ISERROR(VLOOKUP(F666,#REF!,3,0)),0,VLOOKUP(F666,#REF!,3,0))</f>
        <v>0</v>
      </c>
      <c r="R666" s="6">
        <f>IF(ISERROR(VLOOKUP(F666,#REF!,4,0)),0,VLOOKUP(F666,#REF!,4,0))</f>
        <v>0</v>
      </c>
      <c r="S666" s="8">
        <f>IF(ISERROR(VLOOKUP(F666,#REF!,4,0)),0,VLOOKUP(F666,#REF!,10,0)/60*K666)</f>
        <v>0</v>
      </c>
      <c r="T666" s="3"/>
      <c r="U666" s="3"/>
      <c r="V666" s="4"/>
    </row>
    <row r="667" spans="1:22" x14ac:dyDescent="0.3">
      <c r="A667" s="5">
        <f t="shared" si="31"/>
        <v>0</v>
      </c>
      <c r="B667" s="6">
        <f t="shared" si="32"/>
        <v>0</v>
      </c>
      <c r="K667" s="18">
        <f t="shared" si="30"/>
        <v>0</v>
      </c>
      <c r="L667" s="21">
        <f>IF(ISERROR(VLOOKUP($F667,#REF!,6,0)*G667/1000),0,VLOOKUP($F667,#REF!,6,0)*G667/1000)</f>
        <v>0</v>
      </c>
      <c r="M667" s="21">
        <f>IF(ISERROR(VLOOKUP($F667,#REF!,6,0)*H667/1000),0,VLOOKUP($F667,#REF!,6,0)*H667/1000)</f>
        <v>0</v>
      </c>
      <c r="N667" s="21">
        <f>IF(ISERROR(VLOOKUP($F667,#REF!,6,0)*I667/1000),0,VLOOKUP($F667,#REF!,6,0)*I667/1000)</f>
        <v>0</v>
      </c>
      <c r="O667" s="21">
        <f>IF(ISERROR(VLOOKUP($F667,#REF!,6,0)*J667/1000),0,VLOOKUP($F667,#REF!,6,0)*J667/1000)</f>
        <v>0</v>
      </c>
      <c r="P667" s="21">
        <f>IF(ISERROR(VLOOKUP(F667,#REF!,6,0)*K667/1000),0,VLOOKUP(F667,#REF!,6,0)*K667/1000)</f>
        <v>0</v>
      </c>
      <c r="Q667" s="6">
        <f>IF(ISERROR(VLOOKUP(F667,#REF!,3,0)),0,VLOOKUP(F667,#REF!,3,0))</f>
        <v>0</v>
      </c>
      <c r="R667" s="6">
        <f>IF(ISERROR(VLOOKUP(F667,#REF!,4,0)),0,VLOOKUP(F667,#REF!,4,0))</f>
        <v>0</v>
      </c>
      <c r="S667" s="8">
        <f>IF(ISERROR(VLOOKUP(F667,#REF!,4,0)),0,VLOOKUP(F667,#REF!,10,0)/60*K667)</f>
        <v>0</v>
      </c>
      <c r="T667" s="3"/>
      <c r="U667" s="3"/>
      <c r="V667" s="4"/>
    </row>
    <row r="668" spans="1:22" x14ac:dyDescent="0.3">
      <c r="A668" s="5">
        <f t="shared" si="31"/>
        <v>0</v>
      </c>
      <c r="B668" s="6">
        <f t="shared" si="32"/>
        <v>0</v>
      </c>
      <c r="K668" s="18">
        <f t="shared" si="30"/>
        <v>0</v>
      </c>
      <c r="L668" s="21">
        <f>IF(ISERROR(VLOOKUP($F668,#REF!,6,0)*G668/1000),0,VLOOKUP($F668,#REF!,6,0)*G668/1000)</f>
        <v>0</v>
      </c>
      <c r="M668" s="21">
        <f>IF(ISERROR(VLOOKUP($F668,#REF!,6,0)*H668/1000),0,VLOOKUP($F668,#REF!,6,0)*H668/1000)</f>
        <v>0</v>
      </c>
      <c r="N668" s="21">
        <f>IF(ISERROR(VLOOKUP($F668,#REF!,6,0)*I668/1000),0,VLOOKUP($F668,#REF!,6,0)*I668/1000)</f>
        <v>0</v>
      </c>
      <c r="O668" s="21">
        <f>IF(ISERROR(VLOOKUP($F668,#REF!,6,0)*J668/1000),0,VLOOKUP($F668,#REF!,6,0)*J668/1000)</f>
        <v>0</v>
      </c>
      <c r="P668" s="21">
        <f>IF(ISERROR(VLOOKUP(F668,#REF!,6,0)*K668/1000),0,VLOOKUP(F668,#REF!,6,0)*K668/1000)</f>
        <v>0</v>
      </c>
      <c r="Q668" s="6">
        <f>IF(ISERROR(VLOOKUP(F668,#REF!,3,0)),0,VLOOKUP(F668,#REF!,3,0))</f>
        <v>0</v>
      </c>
      <c r="R668" s="6">
        <f>IF(ISERROR(VLOOKUP(F668,#REF!,4,0)),0,VLOOKUP(F668,#REF!,4,0))</f>
        <v>0</v>
      </c>
      <c r="S668" s="8">
        <f>IF(ISERROR(VLOOKUP(F668,#REF!,4,0)),0,VLOOKUP(F668,#REF!,10,0)/60*K668)</f>
        <v>0</v>
      </c>
      <c r="T668" s="3"/>
      <c r="U668" s="3"/>
      <c r="V668" s="4"/>
    </row>
    <row r="669" spans="1:22" x14ac:dyDescent="0.3">
      <c r="A669" s="5">
        <f t="shared" si="31"/>
        <v>0</v>
      </c>
      <c r="B669" s="6">
        <f t="shared" si="32"/>
        <v>0</v>
      </c>
      <c r="K669" s="18">
        <f t="shared" si="30"/>
        <v>0</v>
      </c>
      <c r="L669" s="21">
        <f>IF(ISERROR(VLOOKUP($F669,#REF!,6,0)*G669/1000),0,VLOOKUP($F669,#REF!,6,0)*G669/1000)</f>
        <v>0</v>
      </c>
      <c r="M669" s="21">
        <f>IF(ISERROR(VLOOKUP($F669,#REF!,6,0)*H669/1000),0,VLOOKUP($F669,#REF!,6,0)*H669/1000)</f>
        <v>0</v>
      </c>
      <c r="N669" s="21">
        <f>IF(ISERROR(VLOOKUP($F669,#REF!,6,0)*I669/1000),0,VLOOKUP($F669,#REF!,6,0)*I669/1000)</f>
        <v>0</v>
      </c>
      <c r="O669" s="21">
        <f>IF(ISERROR(VLOOKUP($F669,#REF!,6,0)*J669/1000),0,VLOOKUP($F669,#REF!,6,0)*J669/1000)</f>
        <v>0</v>
      </c>
      <c r="P669" s="21">
        <f>IF(ISERROR(VLOOKUP(F669,#REF!,6,0)*K669/1000),0,VLOOKUP(F669,#REF!,6,0)*K669/1000)</f>
        <v>0</v>
      </c>
      <c r="Q669" s="6">
        <f>IF(ISERROR(VLOOKUP(F669,#REF!,3,0)),0,VLOOKUP(F669,#REF!,3,0))</f>
        <v>0</v>
      </c>
      <c r="R669" s="6">
        <f>IF(ISERROR(VLOOKUP(F669,#REF!,4,0)),0,VLOOKUP(F669,#REF!,4,0))</f>
        <v>0</v>
      </c>
      <c r="S669" s="8">
        <f>IF(ISERROR(VLOOKUP(F669,#REF!,4,0)),0,VLOOKUP(F669,#REF!,10,0)/60*K669)</f>
        <v>0</v>
      </c>
      <c r="T669" s="3"/>
      <c r="U669" s="3"/>
      <c r="V669" s="4"/>
    </row>
    <row r="670" spans="1:22" x14ac:dyDescent="0.3">
      <c r="A670" s="5">
        <f t="shared" si="31"/>
        <v>0</v>
      </c>
      <c r="B670" s="6">
        <f t="shared" si="32"/>
        <v>0</v>
      </c>
      <c r="K670" s="18">
        <f t="shared" si="30"/>
        <v>0</v>
      </c>
      <c r="L670" s="21">
        <f>IF(ISERROR(VLOOKUP($F670,#REF!,6,0)*G670/1000),0,VLOOKUP($F670,#REF!,6,0)*G670/1000)</f>
        <v>0</v>
      </c>
      <c r="M670" s="21">
        <f>IF(ISERROR(VLOOKUP($F670,#REF!,6,0)*H670/1000),0,VLOOKUP($F670,#REF!,6,0)*H670/1000)</f>
        <v>0</v>
      </c>
      <c r="N670" s="21">
        <f>IF(ISERROR(VLOOKUP($F670,#REF!,6,0)*I670/1000),0,VLOOKUP($F670,#REF!,6,0)*I670/1000)</f>
        <v>0</v>
      </c>
      <c r="O670" s="21">
        <f>IF(ISERROR(VLOOKUP($F670,#REF!,6,0)*J670/1000),0,VLOOKUP($F670,#REF!,6,0)*J670/1000)</f>
        <v>0</v>
      </c>
      <c r="P670" s="21">
        <f>IF(ISERROR(VLOOKUP(F670,#REF!,6,0)*K670/1000),0,VLOOKUP(F670,#REF!,6,0)*K670/1000)</f>
        <v>0</v>
      </c>
      <c r="Q670" s="6">
        <f>IF(ISERROR(VLOOKUP(F670,#REF!,3,0)),0,VLOOKUP(F670,#REF!,3,0))</f>
        <v>0</v>
      </c>
      <c r="R670" s="6">
        <f>IF(ISERROR(VLOOKUP(F670,#REF!,4,0)),0,VLOOKUP(F670,#REF!,4,0))</f>
        <v>0</v>
      </c>
      <c r="S670" s="8">
        <f>IF(ISERROR(VLOOKUP(F670,#REF!,4,0)),0,VLOOKUP(F670,#REF!,10,0)/60*K670)</f>
        <v>0</v>
      </c>
      <c r="T670" s="3"/>
      <c r="U670" s="3"/>
      <c r="V670" s="4"/>
    </row>
    <row r="671" spans="1:22" x14ac:dyDescent="0.3">
      <c r="A671" s="5">
        <f t="shared" si="31"/>
        <v>0</v>
      </c>
      <c r="B671" s="6">
        <f t="shared" si="32"/>
        <v>0</v>
      </c>
      <c r="K671" s="18">
        <f t="shared" si="30"/>
        <v>0</v>
      </c>
      <c r="L671" s="21">
        <f>IF(ISERROR(VLOOKUP($F671,#REF!,6,0)*G671/1000),0,VLOOKUP($F671,#REF!,6,0)*G671/1000)</f>
        <v>0</v>
      </c>
      <c r="M671" s="21">
        <f>IF(ISERROR(VLOOKUP($F671,#REF!,6,0)*H671/1000),0,VLOOKUP($F671,#REF!,6,0)*H671/1000)</f>
        <v>0</v>
      </c>
      <c r="N671" s="21">
        <f>IF(ISERROR(VLOOKUP($F671,#REF!,6,0)*I671/1000),0,VLOOKUP($F671,#REF!,6,0)*I671/1000)</f>
        <v>0</v>
      </c>
      <c r="O671" s="21">
        <f>IF(ISERROR(VLOOKUP($F671,#REF!,6,0)*J671/1000),0,VLOOKUP($F671,#REF!,6,0)*J671/1000)</f>
        <v>0</v>
      </c>
      <c r="P671" s="21">
        <f>IF(ISERROR(VLOOKUP(F671,#REF!,6,0)*K671/1000),0,VLOOKUP(F671,#REF!,6,0)*K671/1000)</f>
        <v>0</v>
      </c>
      <c r="Q671" s="6">
        <f>IF(ISERROR(VLOOKUP(F671,#REF!,3,0)),0,VLOOKUP(F671,#REF!,3,0))</f>
        <v>0</v>
      </c>
      <c r="R671" s="6">
        <f>IF(ISERROR(VLOOKUP(F671,#REF!,4,0)),0,VLOOKUP(F671,#REF!,4,0))</f>
        <v>0</v>
      </c>
      <c r="S671" s="8">
        <f>IF(ISERROR(VLOOKUP(F671,#REF!,4,0)),0,VLOOKUP(F671,#REF!,10,0)/60*K671)</f>
        <v>0</v>
      </c>
      <c r="T671" s="3"/>
      <c r="U671" s="3"/>
      <c r="V671" s="4"/>
    </row>
    <row r="672" spans="1:22" x14ac:dyDescent="0.3">
      <c r="A672" s="5">
        <f t="shared" si="31"/>
        <v>0</v>
      </c>
      <c r="B672" s="6">
        <f t="shared" si="32"/>
        <v>0</v>
      </c>
      <c r="K672" s="18">
        <f t="shared" si="30"/>
        <v>0</v>
      </c>
      <c r="L672" s="21">
        <f>IF(ISERROR(VLOOKUP($F672,#REF!,6,0)*G672/1000),0,VLOOKUP($F672,#REF!,6,0)*G672/1000)</f>
        <v>0</v>
      </c>
      <c r="M672" s="21">
        <f>IF(ISERROR(VLOOKUP($F672,#REF!,6,0)*H672/1000),0,VLOOKUP($F672,#REF!,6,0)*H672/1000)</f>
        <v>0</v>
      </c>
      <c r="N672" s="21">
        <f>IF(ISERROR(VLOOKUP($F672,#REF!,6,0)*I672/1000),0,VLOOKUP($F672,#REF!,6,0)*I672/1000)</f>
        <v>0</v>
      </c>
      <c r="O672" s="21">
        <f>IF(ISERROR(VLOOKUP($F672,#REF!,6,0)*J672/1000),0,VLOOKUP($F672,#REF!,6,0)*J672/1000)</f>
        <v>0</v>
      </c>
      <c r="P672" s="21">
        <f>IF(ISERROR(VLOOKUP(F672,#REF!,6,0)*K672/1000),0,VLOOKUP(F672,#REF!,6,0)*K672/1000)</f>
        <v>0</v>
      </c>
      <c r="Q672" s="6">
        <f>IF(ISERROR(VLOOKUP(F672,#REF!,3,0)),0,VLOOKUP(F672,#REF!,3,0))</f>
        <v>0</v>
      </c>
      <c r="R672" s="6">
        <f>IF(ISERROR(VLOOKUP(F672,#REF!,4,0)),0,VLOOKUP(F672,#REF!,4,0))</f>
        <v>0</v>
      </c>
      <c r="S672" s="8">
        <f>IF(ISERROR(VLOOKUP(F672,#REF!,4,0)),0,VLOOKUP(F672,#REF!,10,0)/60*K672)</f>
        <v>0</v>
      </c>
      <c r="T672" s="3"/>
      <c r="U672" s="3"/>
      <c r="V672" s="4"/>
    </row>
    <row r="673" spans="1:22" x14ac:dyDescent="0.3">
      <c r="A673" s="5">
        <f t="shared" si="31"/>
        <v>0</v>
      </c>
      <c r="B673" s="6">
        <f t="shared" si="32"/>
        <v>0</v>
      </c>
      <c r="K673" s="18">
        <f t="shared" si="30"/>
        <v>0</v>
      </c>
      <c r="L673" s="21">
        <f>IF(ISERROR(VLOOKUP($F673,#REF!,6,0)*G673/1000),0,VLOOKUP($F673,#REF!,6,0)*G673/1000)</f>
        <v>0</v>
      </c>
      <c r="M673" s="21">
        <f>IF(ISERROR(VLOOKUP($F673,#REF!,6,0)*H673/1000),0,VLOOKUP($F673,#REF!,6,0)*H673/1000)</f>
        <v>0</v>
      </c>
      <c r="N673" s="21">
        <f>IF(ISERROR(VLOOKUP($F673,#REF!,6,0)*I673/1000),0,VLOOKUP($F673,#REF!,6,0)*I673/1000)</f>
        <v>0</v>
      </c>
      <c r="O673" s="21">
        <f>IF(ISERROR(VLOOKUP($F673,#REF!,6,0)*J673/1000),0,VLOOKUP($F673,#REF!,6,0)*J673/1000)</f>
        <v>0</v>
      </c>
      <c r="P673" s="21">
        <f>IF(ISERROR(VLOOKUP(F673,#REF!,6,0)*K673/1000),0,VLOOKUP(F673,#REF!,6,0)*K673/1000)</f>
        <v>0</v>
      </c>
      <c r="Q673" s="6">
        <f>IF(ISERROR(VLOOKUP(F673,#REF!,3,0)),0,VLOOKUP(F673,#REF!,3,0))</f>
        <v>0</v>
      </c>
      <c r="R673" s="6">
        <f>IF(ISERROR(VLOOKUP(F673,#REF!,4,0)),0,VLOOKUP(F673,#REF!,4,0))</f>
        <v>0</v>
      </c>
      <c r="S673" s="8">
        <f>IF(ISERROR(VLOOKUP(F673,#REF!,4,0)),0,VLOOKUP(F673,#REF!,10,0)/60*K673)</f>
        <v>0</v>
      </c>
      <c r="T673" s="3"/>
      <c r="U673" s="3"/>
      <c r="V673" s="4"/>
    </row>
    <row r="674" spans="1:22" x14ac:dyDescent="0.3">
      <c r="A674" s="5">
        <f t="shared" si="31"/>
        <v>0</v>
      </c>
      <c r="B674" s="6">
        <f t="shared" si="32"/>
        <v>0</v>
      </c>
      <c r="K674" s="18">
        <f t="shared" si="30"/>
        <v>0</v>
      </c>
      <c r="L674" s="21">
        <f>IF(ISERROR(VLOOKUP($F674,#REF!,6,0)*G674/1000),0,VLOOKUP($F674,#REF!,6,0)*G674/1000)</f>
        <v>0</v>
      </c>
      <c r="M674" s="21">
        <f>IF(ISERROR(VLOOKUP($F674,#REF!,6,0)*H674/1000),0,VLOOKUP($F674,#REF!,6,0)*H674/1000)</f>
        <v>0</v>
      </c>
      <c r="N674" s="21">
        <f>IF(ISERROR(VLOOKUP($F674,#REF!,6,0)*I674/1000),0,VLOOKUP($F674,#REF!,6,0)*I674/1000)</f>
        <v>0</v>
      </c>
      <c r="O674" s="21">
        <f>IF(ISERROR(VLOOKUP($F674,#REF!,6,0)*J674/1000),0,VLOOKUP($F674,#REF!,6,0)*J674/1000)</f>
        <v>0</v>
      </c>
      <c r="P674" s="21">
        <f>IF(ISERROR(VLOOKUP(F674,#REF!,6,0)*K674/1000),0,VLOOKUP(F674,#REF!,6,0)*K674/1000)</f>
        <v>0</v>
      </c>
      <c r="Q674" s="6">
        <f>IF(ISERROR(VLOOKUP(F674,#REF!,3,0)),0,VLOOKUP(F674,#REF!,3,0))</f>
        <v>0</v>
      </c>
      <c r="R674" s="6">
        <f>IF(ISERROR(VLOOKUP(F674,#REF!,4,0)),0,VLOOKUP(F674,#REF!,4,0))</f>
        <v>0</v>
      </c>
      <c r="S674" s="8">
        <f>IF(ISERROR(VLOOKUP(F674,#REF!,4,0)),0,VLOOKUP(F674,#REF!,10,0)/60*K674)</f>
        <v>0</v>
      </c>
      <c r="T674" s="3"/>
      <c r="U674" s="3"/>
      <c r="V674" s="4"/>
    </row>
    <row r="675" spans="1:22" x14ac:dyDescent="0.3">
      <c r="A675" s="5">
        <f t="shared" si="31"/>
        <v>0</v>
      </c>
      <c r="B675" s="6">
        <f t="shared" si="32"/>
        <v>0</v>
      </c>
      <c r="K675" s="18">
        <f t="shared" si="30"/>
        <v>0</v>
      </c>
      <c r="L675" s="21">
        <f>IF(ISERROR(VLOOKUP($F675,#REF!,6,0)*G675/1000),0,VLOOKUP($F675,#REF!,6,0)*G675/1000)</f>
        <v>0</v>
      </c>
      <c r="M675" s="21">
        <f>IF(ISERROR(VLOOKUP($F675,#REF!,6,0)*H675/1000),0,VLOOKUP($F675,#REF!,6,0)*H675/1000)</f>
        <v>0</v>
      </c>
      <c r="N675" s="21">
        <f>IF(ISERROR(VLOOKUP($F675,#REF!,6,0)*I675/1000),0,VLOOKUP($F675,#REF!,6,0)*I675/1000)</f>
        <v>0</v>
      </c>
      <c r="O675" s="21">
        <f>IF(ISERROR(VLOOKUP($F675,#REF!,6,0)*J675/1000),0,VLOOKUP($F675,#REF!,6,0)*J675/1000)</f>
        <v>0</v>
      </c>
      <c r="P675" s="21">
        <f>IF(ISERROR(VLOOKUP(F675,#REF!,6,0)*K675/1000),0,VLOOKUP(F675,#REF!,6,0)*K675/1000)</f>
        <v>0</v>
      </c>
      <c r="Q675" s="6">
        <f>IF(ISERROR(VLOOKUP(F675,#REF!,3,0)),0,VLOOKUP(F675,#REF!,3,0))</f>
        <v>0</v>
      </c>
      <c r="R675" s="6">
        <f>IF(ISERROR(VLOOKUP(F675,#REF!,4,0)),0,VLOOKUP(F675,#REF!,4,0))</f>
        <v>0</v>
      </c>
      <c r="S675" s="8">
        <f>IF(ISERROR(VLOOKUP(F675,#REF!,4,0)),0,VLOOKUP(F675,#REF!,10,0)/60*K675)</f>
        <v>0</v>
      </c>
      <c r="T675" s="3"/>
      <c r="U675" s="3"/>
      <c r="V675" s="4"/>
    </row>
    <row r="676" spans="1:22" x14ac:dyDescent="0.3">
      <c r="A676" s="5">
        <f t="shared" si="31"/>
        <v>0</v>
      </c>
      <c r="B676" s="6">
        <f t="shared" si="32"/>
        <v>0</v>
      </c>
      <c r="K676" s="18">
        <f t="shared" si="30"/>
        <v>0</v>
      </c>
      <c r="L676" s="21">
        <f>IF(ISERROR(VLOOKUP($F676,#REF!,6,0)*G676/1000),0,VLOOKUP($F676,#REF!,6,0)*G676/1000)</f>
        <v>0</v>
      </c>
      <c r="M676" s="21">
        <f>IF(ISERROR(VLOOKUP($F676,#REF!,6,0)*H676/1000),0,VLOOKUP($F676,#REF!,6,0)*H676/1000)</f>
        <v>0</v>
      </c>
      <c r="N676" s="21">
        <f>IF(ISERROR(VLOOKUP($F676,#REF!,6,0)*I676/1000),0,VLOOKUP($F676,#REF!,6,0)*I676/1000)</f>
        <v>0</v>
      </c>
      <c r="O676" s="21">
        <f>IF(ISERROR(VLOOKUP($F676,#REF!,6,0)*J676/1000),0,VLOOKUP($F676,#REF!,6,0)*J676/1000)</f>
        <v>0</v>
      </c>
      <c r="P676" s="21">
        <f>IF(ISERROR(VLOOKUP(F676,#REF!,6,0)*K676/1000),0,VLOOKUP(F676,#REF!,6,0)*K676/1000)</f>
        <v>0</v>
      </c>
      <c r="Q676" s="6">
        <f>IF(ISERROR(VLOOKUP(F676,#REF!,3,0)),0,VLOOKUP(F676,#REF!,3,0))</f>
        <v>0</v>
      </c>
      <c r="R676" s="6">
        <f>IF(ISERROR(VLOOKUP(F676,#REF!,4,0)),0,VLOOKUP(F676,#REF!,4,0))</f>
        <v>0</v>
      </c>
      <c r="S676" s="8">
        <f>IF(ISERROR(VLOOKUP(F676,#REF!,4,0)),0,VLOOKUP(F676,#REF!,10,0)/60*K676)</f>
        <v>0</v>
      </c>
      <c r="T676" s="3"/>
      <c r="U676" s="3"/>
      <c r="V676" s="4"/>
    </row>
    <row r="677" spans="1:22" x14ac:dyDescent="0.3">
      <c r="A677" s="5">
        <f t="shared" si="31"/>
        <v>0</v>
      </c>
      <c r="B677" s="6">
        <f t="shared" si="32"/>
        <v>0</v>
      </c>
      <c r="K677" s="18">
        <f t="shared" si="30"/>
        <v>0</v>
      </c>
      <c r="L677" s="21">
        <f>IF(ISERROR(VLOOKUP($F677,#REF!,6,0)*G677/1000),0,VLOOKUP($F677,#REF!,6,0)*G677/1000)</f>
        <v>0</v>
      </c>
      <c r="M677" s="21">
        <f>IF(ISERROR(VLOOKUP($F677,#REF!,6,0)*H677/1000),0,VLOOKUP($F677,#REF!,6,0)*H677/1000)</f>
        <v>0</v>
      </c>
      <c r="N677" s="21">
        <f>IF(ISERROR(VLOOKUP($F677,#REF!,6,0)*I677/1000),0,VLOOKUP($F677,#REF!,6,0)*I677/1000)</f>
        <v>0</v>
      </c>
      <c r="O677" s="21">
        <f>IF(ISERROR(VLOOKUP($F677,#REF!,6,0)*J677/1000),0,VLOOKUP($F677,#REF!,6,0)*J677/1000)</f>
        <v>0</v>
      </c>
      <c r="P677" s="21">
        <f>IF(ISERROR(VLOOKUP(F677,#REF!,6,0)*K677/1000),0,VLOOKUP(F677,#REF!,6,0)*K677/1000)</f>
        <v>0</v>
      </c>
      <c r="Q677" s="6">
        <f>IF(ISERROR(VLOOKUP(F677,#REF!,3,0)),0,VLOOKUP(F677,#REF!,3,0))</f>
        <v>0</v>
      </c>
      <c r="R677" s="6">
        <f>IF(ISERROR(VLOOKUP(F677,#REF!,4,0)),0,VLOOKUP(F677,#REF!,4,0))</f>
        <v>0</v>
      </c>
      <c r="S677" s="8">
        <f>IF(ISERROR(VLOOKUP(F677,#REF!,4,0)),0,VLOOKUP(F677,#REF!,10,0)/60*K677)</f>
        <v>0</v>
      </c>
      <c r="T677" s="3"/>
      <c r="U677" s="3"/>
      <c r="V677" s="4"/>
    </row>
    <row r="678" spans="1:22" x14ac:dyDescent="0.3">
      <c r="A678" s="5">
        <f t="shared" si="31"/>
        <v>0</v>
      </c>
      <c r="B678" s="6">
        <f t="shared" si="32"/>
        <v>0</v>
      </c>
      <c r="K678" s="18">
        <f t="shared" si="30"/>
        <v>0</v>
      </c>
      <c r="L678" s="21">
        <f>IF(ISERROR(VLOOKUP($F678,#REF!,6,0)*G678/1000),0,VLOOKUP($F678,#REF!,6,0)*G678/1000)</f>
        <v>0</v>
      </c>
      <c r="M678" s="21">
        <f>IF(ISERROR(VLOOKUP($F678,#REF!,6,0)*H678/1000),0,VLOOKUP($F678,#REF!,6,0)*H678/1000)</f>
        <v>0</v>
      </c>
      <c r="N678" s="21">
        <f>IF(ISERROR(VLOOKUP($F678,#REF!,6,0)*I678/1000),0,VLOOKUP($F678,#REF!,6,0)*I678/1000)</f>
        <v>0</v>
      </c>
      <c r="O678" s="21">
        <f>IF(ISERROR(VLOOKUP($F678,#REF!,6,0)*J678/1000),0,VLOOKUP($F678,#REF!,6,0)*J678/1000)</f>
        <v>0</v>
      </c>
      <c r="P678" s="21">
        <f>IF(ISERROR(VLOOKUP(F678,#REF!,6,0)*K678/1000),0,VLOOKUP(F678,#REF!,6,0)*K678/1000)</f>
        <v>0</v>
      </c>
      <c r="Q678" s="6">
        <f>IF(ISERROR(VLOOKUP(F678,#REF!,3,0)),0,VLOOKUP(F678,#REF!,3,0))</f>
        <v>0</v>
      </c>
      <c r="R678" s="6">
        <f>IF(ISERROR(VLOOKUP(F678,#REF!,4,0)),0,VLOOKUP(F678,#REF!,4,0))</f>
        <v>0</v>
      </c>
      <c r="S678" s="8">
        <f>IF(ISERROR(VLOOKUP(F678,#REF!,4,0)),0,VLOOKUP(F678,#REF!,10,0)/60*K678)</f>
        <v>0</v>
      </c>
      <c r="T678" s="3"/>
      <c r="U678" s="3"/>
      <c r="V678" s="4"/>
    </row>
    <row r="679" spans="1:22" x14ac:dyDescent="0.3">
      <c r="A679" s="5">
        <f t="shared" si="31"/>
        <v>0</v>
      </c>
      <c r="B679" s="6">
        <f t="shared" si="32"/>
        <v>0</v>
      </c>
      <c r="K679" s="18">
        <f t="shared" si="30"/>
        <v>0</v>
      </c>
      <c r="L679" s="21">
        <f>IF(ISERROR(VLOOKUP($F679,#REF!,6,0)*G679/1000),0,VLOOKUP($F679,#REF!,6,0)*G679/1000)</f>
        <v>0</v>
      </c>
      <c r="M679" s="21">
        <f>IF(ISERROR(VLOOKUP($F679,#REF!,6,0)*H679/1000),0,VLOOKUP($F679,#REF!,6,0)*H679/1000)</f>
        <v>0</v>
      </c>
      <c r="N679" s="21">
        <f>IF(ISERROR(VLOOKUP($F679,#REF!,6,0)*I679/1000),0,VLOOKUP($F679,#REF!,6,0)*I679/1000)</f>
        <v>0</v>
      </c>
      <c r="O679" s="21">
        <f>IF(ISERROR(VLOOKUP($F679,#REF!,6,0)*J679/1000),0,VLOOKUP($F679,#REF!,6,0)*J679/1000)</f>
        <v>0</v>
      </c>
      <c r="P679" s="21">
        <f>IF(ISERROR(VLOOKUP(F679,#REF!,6,0)*K679/1000),0,VLOOKUP(F679,#REF!,6,0)*K679/1000)</f>
        <v>0</v>
      </c>
      <c r="Q679" s="6">
        <f>IF(ISERROR(VLOOKUP(F679,#REF!,3,0)),0,VLOOKUP(F679,#REF!,3,0))</f>
        <v>0</v>
      </c>
      <c r="R679" s="6">
        <f>IF(ISERROR(VLOOKUP(F679,#REF!,4,0)),0,VLOOKUP(F679,#REF!,4,0))</f>
        <v>0</v>
      </c>
      <c r="S679" s="8">
        <f>IF(ISERROR(VLOOKUP(F679,#REF!,4,0)),0,VLOOKUP(F679,#REF!,10,0)/60*K679)</f>
        <v>0</v>
      </c>
      <c r="T679" s="3"/>
      <c r="U679" s="3"/>
      <c r="V679" s="4"/>
    </row>
    <row r="680" spans="1:22" x14ac:dyDescent="0.3">
      <c r="A680" s="5">
        <f t="shared" si="31"/>
        <v>0</v>
      </c>
      <c r="B680" s="6">
        <f t="shared" si="32"/>
        <v>0</v>
      </c>
      <c r="K680" s="18">
        <f t="shared" si="30"/>
        <v>0</v>
      </c>
      <c r="L680" s="21">
        <f>IF(ISERROR(VLOOKUP($F680,#REF!,6,0)*G680/1000),0,VLOOKUP($F680,#REF!,6,0)*G680/1000)</f>
        <v>0</v>
      </c>
      <c r="M680" s="21">
        <f>IF(ISERROR(VLOOKUP($F680,#REF!,6,0)*H680/1000),0,VLOOKUP($F680,#REF!,6,0)*H680/1000)</f>
        <v>0</v>
      </c>
      <c r="N680" s="21">
        <f>IF(ISERROR(VLOOKUP($F680,#REF!,6,0)*I680/1000),0,VLOOKUP($F680,#REF!,6,0)*I680/1000)</f>
        <v>0</v>
      </c>
      <c r="O680" s="21">
        <f>IF(ISERROR(VLOOKUP($F680,#REF!,6,0)*J680/1000),0,VLOOKUP($F680,#REF!,6,0)*J680/1000)</f>
        <v>0</v>
      </c>
      <c r="P680" s="21">
        <f>IF(ISERROR(VLOOKUP(F680,#REF!,6,0)*K680/1000),0,VLOOKUP(F680,#REF!,6,0)*K680/1000)</f>
        <v>0</v>
      </c>
      <c r="Q680" s="6">
        <f>IF(ISERROR(VLOOKUP(F680,#REF!,3,0)),0,VLOOKUP(F680,#REF!,3,0))</f>
        <v>0</v>
      </c>
      <c r="R680" s="6">
        <f>IF(ISERROR(VLOOKUP(F680,#REF!,4,0)),0,VLOOKUP(F680,#REF!,4,0))</f>
        <v>0</v>
      </c>
      <c r="S680" s="8">
        <f>IF(ISERROR(VLOOKUP(F680,#REF!,4,0)),0,VLOOKUP(F680,#REF!,10,0)/60*K680)</f>
        <v>0</v>
      </c>
      <c r="T680" s="3"/>
      <c r="U680" s="3"/>
      <c r="V680" s="4"/>
    </row>
    <row r="681" spans="1:22" x14ac:dyDescent="0.3">
      <c r="A681" s="5">
        <f t="shared" si="31"/>
        <v>0</v>
      </c>
      <c r="B681" s="6">
        <f t="shared" si="32"/>
        <v>0</v>
      </c>
      <c r="K681" s="18">
        <f t="shared" si="30"/>
        <v>0</v>
      </c>
      <c r="L681" s="21">
        <f>IF(ISERROR(VLOOKUP($F681,#REF!,6,0)*G681/1000),0,VLOOKUP($F681,#REF!,6,0)*G681/1000)</f>
        <v>0</v>
      </c>
      <c r="M681" s="21">
        <f>IF(ISERROR(VLOOKUP($F681,#REF!,6,0)*H681/1000),0,VLOOKUP($F681,#REF!,6,0)*H681/1000)</f>
        <v>0</v>
      </c>
      <c r="N681" s="21">
        <f>IF(ISERROR(VLOOKUP($F681,#REF!,6,0)*I681/1000),0,VLOOKUP($F681,#REF!,6,0)*I681/1000)</f>
        <v>0</v>
      </c>
      <c r="O681" s="21">
        <f>IF(ISERROR(VLOOKUP($F681,#REF!,6,0)*J681/1000),0,VLOOKUP($F681,#REF!,6,0)*J681/1000)</f>
        <v>0</v>
      </c>
      <c r="P681" s="21">
        <f>IF(ISERROR(VLOOKUP(F681,#REF!,6,0)*K681/1000),0,VLOOKUP(F681,#REF!,6,0)*K681/1000)</f>
        <v>0</v>
      </c>
      <c r="Q681" s="6">
        <f>IF(ISERROR(VLOOKUP(F681,#REF!,3,0)),0,VLOOKUP(F681,#REF!,3,0))</f>
        <v>0</v>
      </c>
      <c r="R681" s="6">
        <f>IF(ISERROR(VLOOKUP(F681,#REF!,4,0)),0,VLOOKUP(F681,#REF!,4,0))</f>
        <v>0</v>
      </c>
      <c r="S681" s="8">
        <f>IF(ISERROR(VLOOKUP(F681,#REF!,4,0)),0,VLOOKUP(F681,#REF!,10,0)/60*K681)</f>
        <v>0</v>
      </c>
      <c r="T681" s="3"/>
      <c r="U681" s="3"/>
      <c r="V681" s="4"/>
    </row>
    <row r="682" spans="1:22" x14ac:dyDescent="0.3">
      <c r="A682" s="5">
        <f t="shared" si="31"/>
        <v>0</v>
      </c>
      <c r="B682" s="6">
        <f t="shared" si="32"/>
        <v>0</v>
      </c>
      <c r="K682" s="18">
        <f t="shared" si="30"/>
        <v>0</v>
      </c>
      <c r="L682" s="21">
        <f>IF(ISERROR(VLOOKUP($F682,#REF!,6,0)*G682/1000),0,VLOOKUP($F682,#REF!,6,0)*G682/1000)</f>
        <v>0</v>
      </c>
      <c r="M682" s="21">
        <f>IF(ISERROR(VLOOKUP($F682,#REF!,6,0)*H682/1000),0,VLOOKUP($F682,#REF!,6,0)*H682/1000)</f>
        <v>0</v>
      </c>
      <c r="N682" s="21">
        <f>IF(ISERROR(VLOOKUP($F682,#REF!,6,0)*I682/1000),0,VLOOKUP($F682,#REF!,6,0)*I682/1000)</f>
        <v>0</v>
      </c>
      <c r="O682" s="21">
        <f>IF(ISERROR(VLOOKUP($F682,#REF!,6,0)*J682/1000),0,VLOOKUP($F682,#REF!,6,0)*J682/1000)</f>
        <v>0</v>
      </c>
      <c r="P682" s="21">
        <f>IF(ISERROR(VLOOKUP(F682,#REF!,6,0)*K682/1000),0,VLOOKUP(F682,#REF!,6,0)*K682/1000)</f>
        <v>0</v>
      </c>
      <c r="Q682" s="6">
        <f>IF(ISERROR(VLOOKUP(F682,#REF!,3,0)),0,VLOOKUP(F682,#REF!,3,0))</f>
        <v>0</v>
      </c>
      <c r="R682" s="6">
        <f>IF(ISERROR(VLOOKUP(F682,#REF!,4,0)),0,VLOOKUP(F682,#REF!,4,0))</f>
        <v>0</v>
      </c>
      <c r="S682" s="8">
        <f>IF(ISERROR(VLOOKUP(F682,#REF!,4,0)),0,VLOOKUP(F682,#REF!,10,0)/60*K682)</f>
        <v>0</v>
      </c>
      <c r="T682" s="3"/>
      <c r="U682" s="3"/>
      <c r="V682" s="4"/>
    </row>
    <row r="683" spans="1:22" x14ac:dyDescent="0.3">
      <c r="A683" s="5">
        <f t="shared" si="31"/>
        <v>0</v>
      </c>
      <c r="B683" s="6">
        <f t="shared" si="32"/>
        <v>0</v>
      </c>
      <c r="K683" s="18">
        <f t="shared" si="30"/>
        <v>0</v>
      </c>
      <c r="L683" s="21">
        <f>IF(ISERROR(VLOOKUP($F683,#REF!,6,0)*G683/1000),0,VLOOKUP($F683,#REF!,6,0)*G683/1000)</f>
        <v>0</v>
      </c>
      <c r="M683" s="21">
        <f>IF(ISERROR(VLOOKUP($F683,#REF!,6,0)*H683/1000),0,VLOOKUP($F683,#REF!,6,0)*H683/1000)</f>
        <v>0</v>
      </c>
      <c r="N683" s="21">
        <f>IF(ISERROR(VLOOKUP($F683,#REF!,6,0)*I683/1000),0,VLOOKUP($F683,#REF!,6,0)*I683/1000)</f>
        <v>0</v>
      </c>
      <c r="O683" s="21">
        <f>IF(ISERROR(VLOOKUP($F683,#REF!,6,0)*J683/1000),0,VLOOKUP($F683,#REF!,6,0)*J683/1000)</f>
        <v>0</v>
      </c>
      <c r="P683" s="21">
        <f>IF(ISERROR(VLOOKUP(F683,#REF!,6,0)*K683/1000),0,VLOOKUP(F683,#REF!,6,0)*K683/1000)</f>
        <v>0</v>
      </c>
      <c r="Q683" s="6">
        <f>IF(ISERROR(VLOOKUP(F683,#REF!,3,0)),0,VLOOKUP(F683,#REF!,3,0))</f>
        <v>0</v>
      </c>
      <c r="R683" s="6">
        <f>IF(ISERROR(VLOOKUP(F683,#REF!,4,0)),0,VLOOKUP(F683,#REF!,4,0))</f>
        <v>0</v>
      </c>
      <c r="S683" s="8">
        <f>IF(ISERROR(VLOOKUP(F683,#REF!,4,0)),0,VLOOKUP(F683,#REF!,10,0)/60*K683)</f>
        <v>0</v>
      </c>
      <c r="T683" s="3"/>
      <c r="U683" s="3"/>
      <c r="V683" s="4"/>
    </row>
    <row r="684" spans="1:22" x14ac:dyDescent="0.3">
      <c r="A684" s="5">
        <f t="shared" si="31"/>
        <v>0</v>
      </c>
      <c r="B684" s="6">
        <f t="shared" si="32"/>
        <v>0</v>
      </c>
      <c r="K684" s="18">
        <f t="shared" si="30"/>
        <v>0</v>
      </c>
      <c r="L684" s="21">
        <f>IF(ISERROR(VLOOKUP($F684,#REF!,6,0)*G684/1000),0,VLOOKUP($F684,#REF!,6,0)*G684/1000)</f>
        <v>0</v>
      </c>
      <c r="M684" s="21">
        <f>IF(ISERROR(VLOOKUP($F684,#REF!,6,0)*H684/1000),0,VLOOKUP($F684,#REF!,6,0)*H684/1000)</f>
        <v>0</v>
      </c>
      <c r="N684" s="21">
        <f>IF(ISERROR(VLOOKUP($F684,#REF!,6,0)*I684/1000),0,VLOOKUP($F684,#REF!,6,0)*I684/1000)</f>
        <v>0</v>
      </c>
      <c r="O684" s="21">
        <f>IF(ISERROR(VLOOKUP($F684,#REF!,6,0)*J684/1000),0,VLOOKUP($F684,#REF!,6,0)*J684/1000)</f>
        <v>0</v>
      </c>
      <c r="P684" s="21">
        <f>IF(ISERROR(VLOOKUP(F684,#REF!,6,0)*K684/1000),0,VLOOKUP(F684,#REF!,6,0)*K684/1000)</f>
        <v>0</v>
      </c>
      <c r="Q684" s="6">
        <f>IF(ISERROR(VLOOKUP(F684,#REF!,3,0)),0,VLOOKUP(F684,#REF!,3,0))</f>
        <v>0</v>
      </c>
      <c r="R684" s="6">
        <f>IF(ISERROR(VLOOKUP(F684,#REF!,4,0)),0,VLOOKUP(F684,#REF!,4,0))</f>
        <v>0</v>
      </c>
      <c r="S684" s="8">
        <f>IF(ISERROR(VLOOKUP(F684,#REF!,4,0)),0,VLOOKUP(F684,#REF!,10,0)/60*K684)</f>
        <v>0</v>
      </c>
      <c r="T684" s="3"/>
      <c r="U684" s="3"/>
      <c r="V684" s="4"/>
    </row>
    <row r="685" spans="1:22" x14ac:dyDescent="0.3">
      <c r="A685" s="5">
        <f t="shared" si="31"/>
        <v>0</v>
      </c>
      <c r="B685" s="6">
        <f t="shared" si="32"/>
        <v>0</v>
      </c>
      <c r="K685" s="18">
        <f t="shared" si="30"/>
        <v>0</v>
      </c>
      <c r="L685" s="21">
        <f>IF(ISERROR(VLOOKUP($F685,#REF!,6,0)*G685/1000),0,VLOOKUP($F685,#REF!,6,0)*G685/1000)</f>
        <v>0</v>
      </c>
      <c r="M685" s="21">
        <f>IF(ISERROR(VLOOKUP($F685,#REF!,6,0)*H685/1000),0,VLOOKUP($F685,#REF!,6,0)*H685/1000)</f>
        <v>0</v>
      </c>
      <c r="N685" s="21">
        <f>IF(ISERROR(VLOOKUP($F685,#REF!,6,0)*I685/1000),0,VLOOKUP($F685,#REF!,6,0)*I685/1000)</f>
        <v>0</v>
      </c>
      <c r="O685" s="21">
        <f>IF(ISERROR(VLOOKUP($F685,#REF!,6,0)*J685/1000),0,VLOOKUP($F685,#REF!,6,0)*J685/1000)</f>
        <v>0</v>
      </c>
      <c r="P685" s="21">
        <f>IF(ISERROR(VLOOKUP(F685,#REF!,6,0)*K685/1000),0,VLOOKUP(F685,#REF!,6,0)*K685/1000)</f>
        <v>0</v>
      </c>
      <c r="Q685" s="6">
        <f>IF(ISERROR(VLOOKUP(F685,#REF!,3,0)),0,VLOOKUP(F685,#REF!,3,0))</f>
        <v>0</v>
      </c>
      <c r="R685" s="6">
        <f>IF(ISERROR(VLOOKUP(F685,#REF!,4,0)),0,VLOOKUP(F685,#REF!,4,0))</f>
        <v>0</v>
      </c>
      <c r="S685" s="8">
        <f>IF(ISERROR(VLOOKUP(F685,#REF!,4,0)),0,VLOOKUP(F685,#REF!,10,0)/60*K685)</f>
        <v>0</v>
      </c>
      <c r="T685" s="3"/>
      <c r="U685" s="3"/>
      <c r="V685" s="4"/>
    </row>
    <row r="686" spans="1:22" x14ac:dyDescent="0.3">
      <c r="A686" s="5">
        <f t="shared" si="31"/>
        <v>0</v>
      </c>
      <c r="B686" s="6">
        <f t="shared" si="32"/>
        <v>0</v>
      </c>
      <c r="K686" s="18">
        <f t="shared" si="30"/>
        <v>0</v>
      </c>
      <c r="L686" s="21">
        <f>IF(ISERROR(VLOOKUP($F686,#REF!,6,0)*G686/1000),0,VLOOKUP($F686,#REF!,6,0)*G686/1000)</f>
        <v>0</v>
      </c>
      <c r="M686" s="21">
        <f>IF(ISERROR(VLOOKUP($F686,#REF!,6,0)*H686/1000),0,VLOOKUP($F686,#REF!,6,0)*H686/1000)</f>
        <v>0</v>
      </c>
      <c r="N686" s="21">
        <f>IF(ISERROR(VLOOKUP($F686,#REF!,6,0)*I686/1000),0,VLOOKUP($F686,#REF!,6,0)*I686/1000)</f>
        <v>0</v>
      </c>
      <c r="O686" s="21">
        <f>IF(ISERROR(VLOOKUP($F686,#REF!,6,0)*J686/1000),0,VLOOKUP($F686,#REF!,6,0)*J686/1000)</f>
        <v>0</v>
      </c>
      <c r="P686" s="21">
        <f>IF(ISERROR(VLOOKUP(F686,#REF!,6,0)*K686/1000),0,VLOOKUP(F686,#REF!,6,0)*K686/1000)</f>
        <v>0</v>
      </c>
      <c r="Q686" s="6">
        <f>IF(ISERROR(VLOOKUP(F686,#REF!,3,0)),0,VLOOKUP(F686,#REF!,3,0))</f>
        <v>0</v>
      </c>
      <c r="R686" s="6">
        <f>IF(ISERROR(VLOOKUP(F686,#REF!,4,0)),0,VLOOKUP(F686,#REF!,4,0))</f>
        <v>0</v>
      </c>
      <c r="S686" s="8">
        <f>IF(ISERROR(VLOOKUP(F686,#REF!,4,0)),0,VLOOKUP(F686,#REF!,10,0)/60*K686)</f>
        <v>0</v>
      </c>
      <c r="T686" s="3"/>
      <c r="U686" s="3"/>
      <c r="V686" s="4"/>
    </row>
    <row r="687" spans="1:22" x14ac:dyDescent="0.3">
      <c r="A687" s="5">
        <f t="shared" si="31"/>
        <v>0</v>
      </c>
      <c r="B687" s="6">
        <f t="shared" si="32"/>
        <v>0</v>
      </c>
      <c r="K687" s="18">
        <f t="shared" si="30"/>
        <v>0</v>
      </c>
      <c r="L687" s="21">
        <f>IF(ISERROR(VLOOKUP($F687,#REF!,6,0)*G687/1000),0,VLOOKUP($F687,#REF!,6,0)*G687/1000)</f>
        <v>0</v>
      </c>
      <c r="M687" s="21">
        <f>IF(ISERROR(VLOOKUP($F687,#REF!,6,0)*H687/1000),0,VLOOKUP($F687,#REF!,6,0)*H687/1000)</f>
        <v>0</v>
      </c>
      <c r="N687" s="21">
        <f>IF(ISERROR(VLOOKUP($F687,#REF!,6,0)*I687/1000),0,VLOOKUP($F687,#REF!,6,0)*I687/1000)</f>
        <v>0</v>
      </c>
      <c r="O687" s="21">
        <f>IF(ISERROR(VLOOKUP($F687,#REF!,6,0)*J687/1000),0,VLOOKUP($F687,#REF!,6,0)*J687/1000)</f>
        <v>0</v>
      </c>
      <c r="P687" s="21">
        <f>IF(ISERROR(VLOOKUP(F687,#REF!,6,0)*K687/1000),0,VLOOKUP(F687,#REF!,6,0)*K687/1000)</f>
        <v>0</v>
      </c>
      <c r="Q687" s="6">
        <f>IF(ISERROR(VLOOKUP(F687,#REF!,3,0)),0,VLOOKUP(F687,#REF!,3,0))</f>
        <v>0</v>
      </c>
      <c r="R687" s="6">
        <f>IF(ISERROR(VLOOKUP(F687,#REF!,4,0)),0,VLOOKUP(F687,#REF!,4,0))</f>
        <v>0</v>
      </c>
      <c r="S687" s="8">
        <f>IF(ISERROR(VLOOKUP(F687,#REF!,4,0)),0,VLOOKUP(F687,#REF!,10,0)/60*K687)</f>
        <v>0</v>
      </c>
      <c r="T687" s="3"/>
      <c r="U687" s="3"/>
      <c r="V687" s="4"/>
    </row>
    <row r="688" spans="1:22" x14ac:dyDescent="0.3">
      <c r="A688" s="5">
        <f t="shared" si="31"/>
        <v>0</v>
      </c>
      <c r="B688" s="6">
        <f t="shared" si="32"/>
        <v>0</v>
      </c>
      <c r="K688" s="18">
        <f t="shared" si="30"/>
        <v>0</v>
      </c>
      <c r="L688" s="21">
        <f>IF(ISERROR(VLOOKUP($F688,#REF!,6,0)*G688/1000),0,VLOOKUP($F688,#REF!,6,0)*G688/1000)</f>
        <v>0</v>
      </c>
      <c r="M688" s="21">
        <f>IF(ISERROR(VLOOKUP($F688,#REF!,6,0)*H688/1000),0,VLOOKUP($F688,#REF!,6,0)*H688/1000)</f>
        <v>0</v>
      </c>
      <c r="N688" s="21">
        <f>IF(ISERROR(VLOOKUP($F688,#REF!,6,0)*I688/1000),0,VLOOKUP($F688,#REF!,6,0)*I688/1000)</f>
        <v>0</v>
      </c>
      <c r="O688" s="21">
        <f>IF(ISERROR(VLOOKUP($F688,#REF!,6,0)*J688/1000),0,VLOOKUP($F688,#REF!,6,0)*J688/1000)</f>
        <v>0</v>
      </c>
      <c r="P688" s="21">
        <f>IF(ISERROR(VLOOKUP(F688,#REF!,6,0)*K688/1000),0,VLOOKUP(F688,#REF!,6,0)*K688/1000)</f>
        <v>0</v>
      </c>
      <c r="Q688" s="6">
        <f>IF(ISERROR(VLOOKUP(F688,#REF!,3,0)),0,VLOOKUP(F688,#REF!,3,0))</f>
        <v>0</v>
      </c>
      <c r="R688" s="6">
        <f>IF(ISERROR(VLOOKUP(F688,#REF!,4,0)),0,VLOOKUP(F688,#REF!,4,0))</f>
        <v>0</v>
      </c>
      <c r="S688" s="8">
        <f>IF(ISERROR(VLOOKUP(F688,#REF!,4,0)),0,VLOOKUP(F688,#REF!,10,0)/60*K688)</f>
        <v>0</v>
      </c>
      <c r="T688" s="3"/>
      <c r="U688" s="3"/>
      <c r="V688" s="4"/>
    </row>
    <row r="689" spans="1:22" x14ac:dyDescent="0.3">
      <c r="A689" s="5">
        <f t="shared" si="31"/>
        <v>0</v>
      </c>
      <c r="B689" s="6">
        <f t="shared" si="32"/>
        <v>0</v>
      </c>
      <c r="K689" s="18">
        <f t="shared" si="30"/>
        <v>0</v>
      </c>
      <c r="L689" s="21">
        <f>IF(ISERROR(VLOOKUP($F689,#REF!,6,0)*G689/1000),0,VLOOKUP($F689,#REF!,6,0)*G689/1000)</f>
        <v>0</v>
      </c>
      <c r="M689" s="21">
        <f>IF(ISERROR(VLOOKUP($F689,#REF!,6,0)*H689/1000),0,VLOOKUP($F689,#REF!,6,0)*H689/1000)</f>
        <v>0</v>
      </c>
      <c r="N689" s="21">
        <f>IF(ISERROR(VLOOKUP($F689,#REF!,6,0)*I689/1000),0,VLOOKUP($F689,#REF!,6,0)*I689/1000)</f>
        <v>0</v>
      </c>
      <c r="O689" s="21">
        <f>IF(ISERROR(VLOOKUP($F689,#REF!,6,0)*J689/1000),0,VLOOKUP($F689,#REF!,6,0)*J689/1000)</f>
        <v>0</v>
      </c>
      <c r="P689" s="21">
        <f>IF(ISERROR(VLOOKUP(F689,#REF!,6,0)*K689/1000),0,VLOOKUP(F689,#REF!,6,0)*K689/1000)</f>
        <v>0</v>
      </c>
      <c r="Q689" s="6">
        <f>IF(ISERROR(VLOOKUP(F689,#REF!,3,0)),0,VLOOKUP(F689,#REF!,3,0))</f>
        <v>0</v>
      </c>
      <c r="R689" s="6">
        <f>IF(ISERROR(VLOOKUP(F689,#REF!,4,0)),0,VLOOKUP(F689,#REF!,4,0))</f>
        <v>0</v>
      </c>
      <c r="S689" s="8">
        <f>IF(ISERROR(VLOOKUP(F689,#REF!,4,0)),0,VLOOKUP(F689,#REF!,10,0)/60*K689)</f>
        <v>0</v>
      </c>
      <c r="T689" s="3"/>
      <c r="U689" s="3"/>
      <c r="V689" s="4"/>
    </row>
    <row r="690" spans="1:22" x14ac:dyDescent="0.3">
      <c r="A690" s="5">
        <f t="shared" si="31"/>
        <v>0</v>
      </c>
      <c r="B690" s="6">
        <f t="shared" si="32"/>
        <v>0</v>
      </c>
      <c r="K690" s="18">
        <f t="shared" si="30"/>
        <v>0</v>
      </c>
      <c r="L690" s="21">
        <f>IF(ISERROR(VLOOKUP($F690,#REF!,6,0)*G690/1000),0,VLOOKUP($F690,#REF!,6,0)*G690/1000)</f>
        <v>0</v>
      </c>
      <c r="M690" s="21">
        <f>IF(ISERROR(VLOOKUP($F690,#REF!,6,0)*H690/1000),0,VLOOKUP($F690,#REF!,6,0)*H690/1000)</f>
        <v>0</v>
      </c>
      <c r="N690" s="21">
        <f>IF(ISERROR(VLOOKUP($F690,#REF!,6,0)*I690/1000),0,VLOOKUP($F690,#REF!,6,0)*I690/1000)</f>
        <v>0</v>
      </c>
      <c r="O690" s="21">
        <f>IF(ISERROR(VLOOKUP($F690,#REF!,6,0)*J690/1000),0,VLOOKUP($F690,#REF!,6,0)*J690/1000)</f>
        <v>0</v>
      </c>
      <c r="P690" s="21">
        <f>IF(ISERROR(VLOOKUP(F690,#REF!,6,0)*K690/1000),0,VLOOKUP(F690,#REF!,6,0)*K690/1000)</f>
        <v>0</v>
      </c>
      <c r="Q690" s="6">
        <f>IF(ISERROR(VLOOKUP(F690,#REF!,3,0)),0,VLOOKUP(F690,#REF!,3,0))</f>
        <v>0</v>
      </c>
      <c r="R690" s="6">
        <f>IF(ISERROR(VLOOKUP(F690,#REF!,4,0)),0,VLOOKUP(F690,#REF!,4,0))</f>
        <v>0</v>
      </c>
      <c r="S690" s="8">
        <f>IF(ISERROR(VLOOKUP(F690,#REF!,4,0)),0,VLOOKUP(F690,#REF!,10,0)/60*K690)</f>
        <v>0</v>
      </c>
      <c r="T690" s="3"/>
      <c r="U690" s="3"/>
      <c r="V690" s="4"/>
    </row>
    <row r="691" spans="1:22" x14ac:dyDescent="0.3">
      <c r="A691" s="5">
        <f t="shared" si="31"/>
        <v>0</v>
      </c>
      <c r="B691" s="6">
        <f t="shared" si="32"/>
        <v>0</v>
      </c>
      <c r="K691" s="18">
        <f t="shared" si="30"/>
        <v>0</v>
      </c>
      <c r="L691" s="21">
        <f>IF(ISERROR(VLOOKUP($F691,#REF!,6,0)*G691/1000),0,VLOOKUP($F691,#REF!,6,0)*G691/1000)</f>
        <v>0</v>
      </c>
      <c r="M691" s="21">
        <f>IF(ISERROR(VLOOKUP($F691,#REF!,6,0)*H691/1000),0,VLOOKUP($F691,#REF!,6,0)*H691/1000)</f>
        <v>0</v>
      </c>
      <c r="N691" s="21">
        <f>IF(ISERROR(VLOOKUP($F691,#REF!,6,0)*I691/1000),0,VLOOKUP($F691,#REF!,6,0)*I691/1000)</f>
        <v>0</v>
      </c>
      <c r="O691" s="21">
        <f>IF(ISERROR(VLOOKUP($F691,#REF!,6,0)*J691/1000),0,VLOOKUP($F691,#REF!,6,0)*J691/1000)</f>
        <v>0</v>
      </c>
      <c r="P691" s="21">
        <f>IF(ISERROR(VLOOKUP(F691,#REF!,6,0)*K691/1000),0,VLOOKUP(F691,#REF!,6,0)*K691/1000)</f>
        <v>0</v>
      </c>
      <c r="Q691" s="6">
        <f>IF(ISERROR(VLOOKUP(F691,#REF!,3,0)),0,VLOOKUP(F691,#REF!,3,0))</f>
        <v>0</v>
      </c>
      <c r="R691" s="6">
        <f>IF(ISERROR(VLOOKUP(F691,#REF!,4,0)),0,VLOOKUP(F691,#REF!,4,0))</f>
        <v>0</v>
      </c>
      <c r="S691" s="8">
        <f>IF(ISERROR(VLOOKUP(F691,#REF!,4,0)),0,VLOOKUP(F691,#REF!,10,0)/60*K691)</f>
        <v>0</v>
      </c>
      <c r="T691" s="3"/>
      <c r="U691" s="3"/>
      <c r="V691" s="4"/>
    </row>
    <row r="692" spans="1:22" x14ac:dyDescent="0.3">
      <c r="A692" s="5">
        <f t="shared" si="31"/>
        <v>0</v>
      </c>
      <c r="B692" s="6">
        <f t="shared" si="32"/>
        <v>0</v>
      </c>
      <c r="K692" s="18">
        <f t="shared" si="30"/>
        <v>0</v>
      </c>
      <c r="L692" s="21">
        <f>IF(ISERROR(VLOOKUP($F692,#REF!,6,0)*G692/1000),0,VLOOKUP($F692,#REF!,6,0)*G692/1000)</f>
        <v>0</v>
      </c>
      <c r="M692" s="21">
        <f>IF(ISERROR(VLOOKUP($F692,#REF!,6,0)*H692/1000),0,VLOOKUP($F692,#REF!,6,0)*H692/1000)</f>
        <v>0</v>
      </c>
      <c r="N692" s="21">
        <f>IF(ISERROR(VLOOKUP($F692,#REF!,6,0)*I692/1000),0,VLOOKUP($F692,#REF!,6,0)*I692/1000)</f>
        <v>0</v>
      </c>
      <c r="O692" s="21">
        <f>IF(ISERROR(VLOOKUP($F692,#REF!,6,0)*J692/1000),0,VLOOKUP($F692,#REF!,6,0)*J692/1000)</f>
        <v>0</v>
      </c>
      <c r="P692" s="21">
        <f>IF(ISERROR(VLOOKUP(F692,#REF!,6,0)*K692/1000),0,VLOOKUP(F692,#REF!,6,0)*K692/1000)</f>
        <v>0</v>
      </c>
      <c r="Q692" s="6">
        <f>IF(ISERROR(VLOOKUP(F692,#REF!,3,0)),0,VLOOKUP(F692,#REF!,3,0))</f>
        <v>0</v>
      </c>
      <c r="R692" s="6">
        <f>IF(ISERROR(VLOOKUP(F692,#REF!,4,0)),0,VLOOKUP(F692,#REF!,4,0))</f>
        <v>0</v>
      </c>
      <c r="S692" s="8">
        <f>IF(ISERROR(VLOOKUP(F692,#REF!,4,0)),0,VLOOKUP(F692,#REF!,10,0)/60*K692)</f>
        <v>0</v>
      </c>
      <c r="T692" s="3"/>
      <c r="U692" s="3"/>
      <c r="V692" s="4"/>
    </row>
    <row r="693" spans="1:22" x14ac:dyDescent="0.3">
      <c r="A693" s="5">
        <f t="shared" si="31"/>
        <v>0</v>
      </c>
      <c r="B693" s="6">
        <f t="shared" si="32"/>
        <v>0</v>
      </c>
      <c r="K693" s="18">
        <f t="shared" si="30"/>
        <v>0</v>
      </c>
      <c r="L693" s="21">
        <f>IF(ISERROR(VLOOKUP($F693,#REF!,6,0)*G693/1000),0,VLOOKUP($F693,#REF!,6,0)*G693/1000)</f>
        <v>0</v>
      </c>
      <c r="M693" s="21">
        <f>IF(ISERROR(VLOOKUP($F693,#REF!,6,0)*H693/1000),0,VLOOKUP($F693,#REF!,6,0)*H693/1000)</f>
        <v>0</v>
      </c>
      <c r="N693" s="21">
        <f>IF(ISERROR(VLOOKUP($F693,#REF!,6,0)*I693/1000),0,VLOOKUP($F693,#REF!,6,0)*I693/1000)</f>
        <v>0</v>
      </c>
      <c r="O693" s="21">
        <f>IF(ISERROR(VLOOKUP($F693,#REF!,6,0)*J693/1000),0,VLOOKUP($F693,#REF!,6,0)*J693/1000)</f>
        <v>0</v>
      </c>
      <c r="P693" s="21">
        <f>IF(ISERROR(VLOOKUP(F693,#REF!,6,0)*K693/1000),0,VLOOKUP(F693,#REF!,6,0)*K693/1000)</f>
        <v>0</v>
      </c>
      <c r="Q693" s="6">
        <f>IF(ISERROR(VLOOKUP(F693,#REF!,3,0)),0,VLOOKUP(F693,#REF!,3,0))</f>
        <v>0</v>
      </c>
      <c r="R693" s="6">
        <f>IF(ISERROR(VLOOKUP(F693,#REF!,4,0)),0,VLOOKUP(F693,#REF!,4,0))</f>
        <v>0</v>
      </c>
      <c r="S693" s="8">
        <f>IF(ISERROR(VLOOKUP(F693,#REF!,4,0)),0,VLOOKUP(F693,#REF!,10,0)/60*K693)</f>
        <v>0</v>
      </c>
      <c r="T693" s="3"/>
      <c r="U693" s="3"/>
      <c r="V693" s="4"/>
    </row>
    <row r="694" spans="1:22" x14ac:dyDescent="0.3">
      <c r="A694" s="5">
        <f t="shared" si="31"/>
        <v>0</v>
      </c>
      <c r="B694" s="6">
        <f t="shared" si="32"/>
        <v>0</v>
      </c>
      <c r="K694" s="18">
        <f t="shared" si="30"/>
        <v>0</v>
      </c>
      <c r="L694" s="21">
        <f>IF(ISERROR(VLOOKUP($F694,#REF!,6,0)*G694/1000),0,VLOOKUP($F694,#REF!,6,0)*G694/1000)</f>
        <v>0</v>
      </c>
      <c r="M694" s="21">
        <f>IF(ISERROR(VLOOKUP($F694,#REF!,6,0)*H694/1000),0,VLOOKUP($F694,#REF!,6,0)*H694/1000)</f>
        <v>0</v>
      </c>
      <c r="N694" s="21">
        <f>IF(ISERROR(VLOOKUP($F694,#REF!,6,0)*I694/1000),0,VLOOKUP($F694,#REF!,6,0)*I694/1000)</f>
        <v>0</v>
      </c>
      <c r="O694" s="21">
        <f>IF(ISERROR(VLOOKUP($F694,#REF!,6,0)*J694/1000),0,VLOOKUP($F694,#REF!,6,0)*J694/1000)</f>
        <v>0</v>
      </c>
      <c r="P694" s="21">
        <f>IF(ISERROR(VLOOKUP(F694,#REF!,6,0)*K694/1000),0,VLOOKUP(F694,#REF!,6,0)*K694/1000)</f>
        <v>0</v>
      </c>
      <c r="Q694" s="6">
        <f>IF(ISERROR(VLOOKUP(F694,#REF!,3,0)),0,VLOOKUP(F694,#REF!,3,0))</f>
        <v>0</v>
      </c>
      <c r="R694" s="6">
        <f>IF(ISERROR(VLOOKUP(F694,#REF!,4,0)),0,VLOOKUP(F694,#REF!,4,0))</f>
        <v>0</v>
      </c>
      <c r="S694" s="8">
        <f>IF(ISERROR(VLOOKUP(F694,#REF!,4,0)),0,VLOOKUP(F694,#REF!,10,0)/60*K694)</f>
        <v>0</v>
      </c>
      <c r="T694" s="3"/>
      <c r="U694" s="3"/>
      <c r="V694" s="4"/>
    </row>
    <row r="695" spans="1:22" x14ac:dyDescent="0.3">
      <c r="A695" s="5">
        <f t="shared" si="31"/>
        <v>0</v>
      </c>
      <c r="B695" s="6">
        <f t="shared" si="32"/>
        <v>0</v>
      </c>
      <c r="K695" s="18">
        <f t="shared" si="30"/>
        <v>0</v>
      </c>
      <c r="L695" s="21">
        <f>IF(ISERROR(VLOOKUP($F695,#REF!,6,0)*G695/1000),0,VLOOKUP($F695,#REF!,6,0)*G695/1000)</f>
        <v>0</v>
      </c>
      <c r="M695" s="21">
        <f>IF(ISERROR(VLOOKUP($F695,#REF!,6,0)*H695/1000),0,VLOOKUP($F695,#REF!,6,0)*H695/1000)</f>
        <v>0</v>
      </c>
      <c r="N695" s="21">
        <f>IF(ISERROR(VLOOKUP($F695,#REF!,6,0)*I695/1000),0,VLOOKUP($F695,#REF!,6,0)*I695/1000)</f>
        <v>0</v>
      </c>
      <c r="O695" s="21">
        <f>IF(ISERROR(VLOOKUP($F695,#REF!,6,0)*J695/1000),0,VLOOKUP($F695,#REF!,6,0)*J695/1000)</f>
        <v>0</v>
      </c>
      <c r="P695" s="21">
        <f>IF(ISERROR(VLOOKUP(F695,#REF!,6,0)*K695/1000),0,VLOOKUP(F695,#REF!,6,0)*K695/1000)</f>
        <v>0</v>
      </c>
      <c r="Q695" s="6">
        <f>IF(ISERROR(VLOOKUP(F695,#REF!,3,0)),0,VLOOKUP(F695,#REF!,3,0))</f>
        <v>0</v>
      </c>
      <c r="R695" s="6">
        <f>IF(ISERROR(VLOOKUP(F695,#REF!,4,0)),0,VLOOKUP(F695,#REF!,4,0))</f>
        <v>0</v>
      </c>
      <c r="S695" s="8">
        <f>IF(ISERROR(VLOOKUP(F695,#REF!,4,0)),0,VLOOKUP(F695,#REF!,10,0)/60*K695)</f>
        <v>0</v>
      </c>
      <c r="T695" s="3"/>
      <c r="U695" s="3"/>
      <c r="V695" s="4"/>
    </row>
    <row r="696" spans="1:22" x14ac:dyDescent="0.3">
      <c r="A696" s="5">
        <f t="shared" si="31"/>
        <v>0</v>
      </c>
      <c r="B696" s="6">
        <f t="shared" si="32"/>
        <v>0</v>
      </c>
      <c r="K696" s="18">
        <f t="shared" si="30"/>
        <v>0</v>
      </c>
      <c r="L696" s="21">
        <f>IF(ISERROR(VLOOKUP($F696,#REF!,6,0)*G696/1000),0,VLOOKUP($F696,#REF!,6,0)*G696/1000)</f>
        <v>0</v>
      </c>
      <c r="M696" s="21">
        <f>IF(ISERROR(VLOOKUP($F696,#REF!,6,0)*H696/1000),0,VLOOKUP($F696,#REF!,6,0)*H696/1000)</f>
        <v>0</v>
      </c>
      <c r="N696" s="21">
        <f>IF(ISERROR(VLOOKUP($F696,#REF!,6,0)*I696/1000),0,VLOOKUP($F696,#REF!,6,0)*I696/1000)</f>
        <v>0</v>
      </c>
      <c r="O696" s="21">
        <f>IF(ISERROR(VLOOKUP($F696,#REF!,6,0)*J696/1000),0,VLOOKUP($F696,#REF!,6,0)*J696/1000)</f>
        <v>0</v>
      </c>
      <c r="P696" s="21">
        <f>IF(ISERROR(VLOOKUP(F696,#REF!,6,0)*K696/1000),0,VLOOKUP(F696,#REF!,6,0)*K696/1000)</f>
        <v>0</v>
      </c>
      <c r="Q696" s="6">
        <f>IF(ISERROR(VLOOKUP(F696,#REF!,3,0)),0,VLOOKUP(F696,#REF!,3,0))</f>
        <v>0</v>
      </c>
      <c r="R696" s="6">
        <f>IF(ISERROR(VLOOKUP(F696,#REF!,4,0)),0,VLOOKUP(F696,#REF!,4,0))</f>
        <v>0</v>
      </c>
      <c r="S696" s="8">
        <f>IF(ISERROR(VLOOKUP(F696,#REF!,4,0)),0,VLOOKUP(F696,#REF!,10,0)/60*K696)</f>
        <v>0</v>
      </c>
      <c r="T696" s="3"/>
      <c r="U696" s="3"/>
      <c r="V696" s="4"/>
    </row>
    <row r="697" spans="1:22" x14ac:dyDescent="0.3">
      <c r="A697" s="5">
        <f t="shared" si="31"/>
        <v>0</v>
      </c>
      <c r="B697" s="6">
        <f t="shared" si="32"/>
        <v>0</v>
      </c>
      <c r="K697" s="18">
        <f t="shared" si="30"/>
        <v>0</v>
      </c>
      <c r="L697" s="21">
        <f>IF(ISERROR(VLOOKUP($F697,#REF!,6,0)*G697/1000),0,VLOOKUP($F697,#REF!,6,0)*G697/1000)</f>
        <v>0</v>
      </c>
      <c r="M697" s="21">
        <f>IF(ISERROR(VLOOKUP($F697,#REF!,6,0)*H697/1000),0,VLOOKUP($F697,#REF!,6,0)*H697/1000)</f>
        <v>0</v>
      </c>
      <c r="N697" s="21">
        <f>IF(ISERROR(VLOOKUP($F697,#REF!,6,0)*I697/1000),0,VLOOKUP($F697,#REF!,6,0)*I697/1000)</f>
        <v>0</v>
      </c>
      <c r="O697" s="21">
        <f>IF(ISERROR(VLOOKUP($F697,#REF!,6,0)*J697/1000),0,VLOOKUP($F697,#REF!,6,0)*J697/1000)</f>
        <v>0</v>
      </c>
      <c r="P697" s="21">
        <f>IF(ISERROR(VLOOKUP(F697,#REF!,6,0)*K697/1000),0,VLOOKUP(F697,#REF!,6,0)*K697/1000)</f>
        <v>0</v>
      </c>
      <c r="Q697" s="6">
        <f>IF(ISERROR(VLOOKUP(F697,#REF!,3,0)),0,VLOOKUP(F697,#REF!,3,0))</f>
        <v>0</v>
      </c>
      <c r="R697" s="6">
        <f>IF(ISERROR(VLOOKUP(F697,#REF!,4,0)),0,VLOOKUP(F697,#REF!,4,0))</f>
        <v>0</v>
      </c>
      <c r="S697" s="8">
        <f>IF(ISERROR(VLOOKUP(F697,#REF!,4,0)),0,VLOOKUP(F697,#REF!,10,0)/60*K697)</f>
        <v>0</v>
      </c>
      <c r="T697" s="3"/>
      <c r="U697" s="3"/>
      <c r="V697" s="4"/>
    </row>
    <row r="698" spans="1:22" x14ac:dyDescent="0.3">
      <c r="A698" s="5">
        <f t="shared" si="31"/>
        <v>0</v>
      </c>
      <c r="B698" s="6">
        <f t="shared" si="32"/>
        <v>0</v>
      </c>
      <c r="K698" s="18">
        <f t="shared" si="30"/>
        <v>0</v>
      </c>
      <c r="L698" s="21">
        <f>IF(ISERROR(VLOOKUP($F698,#REF!,6,0)*G698/1000),0,VLOOKUP($F698,#REF!,6,0)*G698/1000)</f>
        <v>0</v>
      </c>
      <c r="M698" s="21">
        <f>IF(ISERROR(VLOOKUP($F698,#REF!,6,0)*H698/1000),0,VLOOKUP($F698,#REF!,6,0)*H698/1000)</f>
        <v>0</v>
      </c>
      <c r="N698" s="21">
        <f>IF(ISERROR(VLOOKUP($F698,#REF!,6,0)*I698/1000),0,VLOOKUP($F698,#REF!,6,0)*I698/1000)</f>
        <v>0</v>
      </c>
      <c r="O698" s="21">
        <f>IF(ISERROR(VLOOKUP($F698,#REF!,6,0)*J698/1000),0,VLOOKUP($F698,#REF!,6,0)*J698/1000)</f>
        <v>0</v>
      </c>
      <c r="P698" s="21">
        <f>IF(ISERROR(VLOOKUP(F698,#REF!,6,0)*K698/1000),0,VLOOKUP(F698,#REF!,6,0)*K698/1000)</f>
        <v>0</v>
      </c>
      <c r="Q698" s="6">
        <f>IF(ISERROR(VLOOKUP(F698,#REF!,3,0)),0,VLOOKUP(F698,#REF!,3,0))</f>
        <v>0</v>
      </c>
      <c r="R698" s="6">
        <f>IF(ISERROR(VLOOKUP(F698,#REF!,4,0)),0,VLOOKUP(F698,#REF!,4,0))</f>
        <v>0</v>
      </c>
      <c r="S698" s="8">
        <f>IF(ISERROR(VLOOKUP(F698,#REF!,4,0)),0,VLOOKUP(F698,#REF!,10,0)/60*K698)</f>
        <v>0</v>
      </c>
      <c r="T698" s="3"/>
      <c r="U698" s="3"/>
      <c r="V698" s="4"/>
    </row>
    <row r="699" spans="1:22" x14ac:dyDescent="0.3">
      <c r="A699" s="5">
        <f t="shared" si="31"/>
        <v>0</v>
      </c>
      <c r="B699" s="6">
        <f t="shared" si="32"/>
        <v>0</v>
      </c>
      <c r="K699" s="18">
        <f t="shared" si="30"/>
        <v>0</v>
      </c>
      <c r="L699" s="21">
        <f>IF(ISERROR(VLOOKUP($F699,#REF!,6,0)*G699/1000),0,VLOOKUP($F699,#REF!,6,0)*G699/1000)</f>
        <v>0</v>
      </c>
      <c r="M699" s="21">
        <f>IF(ISERROR(VLOOKUP($F699,#REF!,6,0)*H699/1000),0,VLOOKUP($F699,#REF!,6,0)*H699/1000)</f>
        <v>0</v>
      </c>
      <c r="N699" s="21">
        <f>IF(ISERROR(VLOOKUP($F699,#REF!,6,0)*I699/1000),0,VLOOKUP($F699,#REF!,6,0)*I699/1000)</f>
        <v>0</v>
      </c>
      <c r="O699" s="21">
        <f>IF(ISERROR(VLOOKUP($F699,#REF!,6,0)*J699/1000),0,VLOOKUP($F699,#REF!,6,0)*J699/1000)</f>
        <v>0</v>
      </c>
      <c r="P699" s="21">
        <f>IF(ISERROR(VLOOKUP(F699,#REF!,6,0)*K699/1000),0,VLOOKUP(F699,#REF!,6,0)*K699/1000)</f>
        <v>0</v>
      </c>
      <c r="Q699" s="6">
        <f>IF(ISERROR(VLOOKUP(F699,#REF!,3,0)),0,VLOOKUP(F699,#REF!,3,0))</f>
        <v>0</v>
      </c>
      <c r="R699" s="6">
        <f>IF(ISERROR(VLOOKUP(F699,#REF!,4,0)),0,VLOOKUP(F699,#REF!,4,0))</f>
        <v>0</v>
      </c>
      <c r="S699" s="8">
        <f>IF(ISERROR(VLOOKUP(F699,#REF!,4,0)),0,VLOOKUP(F699,#REF!,10,0)/60*K699)</f>
        <v>0</v>
      </c>
      <c r="T699" s="3"/>
      <c r="U699" s="3"/>
      <c r="V699" s="4"/>
    </row>
    <row r="700" spans="1:22" x14ac:dyDescent="0.3">
      <c r="A700" s="5">
        <f t="shared" si="31"/>
        <v>0</v>
      </c>
      <c r="B700" s="6">
        <f t="shared" si="32"/>
        <v>0</v>
      </c>
      <c r="K700" s="18">
        <f t="shared" si="30"/>
        <v>0</v>
      </c>
      <c r="L700" s="21">
        <f>IF(ISERROR(VLOOKUP($F700,#REF!,6,0)*G700/1000),0,VLOOKUP($F700,#REF!,6,0)*G700/1000)</f>
        <v>0</v>
      </c>
      <c r="M700" s="21">
        <f>IF(ISERROR(VLOOKUP($F700,#REF!,6,0)*H700/1000),0,VLOOKUP($F700,#REF!,6,0)*H700/1000)</f>
        <v>0</v>
      </c>
      <c r="N700" s="21">
        <f>IF(ISERROR(VLOOKUP($F700,#REF!,6,0)*I700/1000),0,VLOOKUP($F700,#REF!,6,0)*I700/1000)</f>
        <v>0</v>
      </c>
      <c r="O700" s="21">
        <f>IF(ISERROR(VLOOKUP($F700,#REF!,6,0)*J700/1000),0,VLOOKUP($F700,#REF!,6,0)*J700/1000)</f>
        <v>0</v>
      </c>
      <c r="P700" s="21">
        <f>IF(ISERROR(VLOOKUP(F700,#REF!,6,0)*K700/1000),0,VLOOKUP(F700,#REF!,6,0)*K700/1000)</f>
        <v>0</v>
      </c>
      <c r="Q700" s="6">
        <f>IF(ISERROR(VLOOKUP(F700,#REF!,3,0)),0,VLOOKUP(F700,#REF!,3,0))</f>
        <v>0</v>
      </c>
      <c r="R700" s="6">
        <f>IF(ISERROR(VLOOKUP(F700,#REF!,4,0)),0,VLOOKUP(F700,#REF!,4,0))</f>
        <v>0</v>
      </c>
      <c r="S700" s="8">
        <f>IF(ISERROR(VLOOKUP(F700,#REF!,4,0)),0,VLOOKUP(F700,#REF!,10,0)/60*K700)</f>
        <v>0</v>
      </c>
      <c r="T700" s="3"/>
      <c r="U700" s="3"/>
      <c r="V700" s="4"/>
    </row>
    <row r="701" spans="1:22" x14ac:dyDescent="0.3">
      <c r="A701" s="5">
        <f t="shared" si="31"/>
        <v>0</v>
      </c>
      <c r="B701" s="6">
        <f t="shared" si="32"/>
        <v>0</v>
      </c>
      <c r="K701" s="18">
        <f t="shared" si="30"/>
        <v>0</v>
      </c>
      <c r="L701" s="21">
        <f>IF(ISERROR(VLOOKUP($F701,#REF!,6,0)*G701/1000),0,VLOOKUP($F701,#REF!,6,0)*G701/1000)</f>
        <v>0</v>
      </c>
      <c r="M701" s="21">
        <f>IF(ISERROR(VLOOKUP($F701,#REF!,6,0)*H701/1000),0,VLOOKUP($F701,#REF!,6,0)*H701/1000)</f>
        <v>0</v>
      </c>
      <c r="N701" s="21">
        <f>IF(ISERROR(VLOOKUP($F701,#REF!,6,0)*I701/1000),0,VLOOKUP($F701,#REF!,6,0)*I701/1000)</f>
        <v>0</v>
      </c>
      <c r="O701" s="21">
        <f>IF(ISERROR(VLOOKUP($F701,#REF!,6,0)*J701/1000),0,VLOOKUP($F701,#REF!,6,0)*J701/1000)</f>
        <v>0</v>
      </c>
      <c r="P701" s="21">
        <f>IF(ISERROR(VLOOKUP(F701,#REF!,6,0)*K701/1000),0,VLOOKUP(F701,#REF!,6,0)*K701/1000)</f>
        <v>0</v>
      </c>
      <c r="Q701" s="6">
        <f>IF(ISERROR(VLOOKUP(F701,#REF!,3,0)),0,VLOOKUP(F701,#REF!,3,0))</f>
        <v>0</v>
      </c>
      <c r="R701" s="6">
        <f>IF(ISERROR(VLOOKUP(F701,#REF!,4,0)),0,VLOOKUP(F701,#REF!,4,0))</f>
        <v>0</v>
      </c>
      <c r="S701" s="8">
        <f>IF(ISERROR(VLOOKUP(F701,#REF!,4,0)),0,VLOOKUP(F701,#REF!,10,0)/60*K701)</f>
        <v>0</v>
      </c>
      <c r="T701" s="3"/>
      <c r="U701" s="3"/>
      <c r="V701" s="4"/>
    </row>
    <row r="702" spans="1:22" x14ac:dyDescent="0.3">
      <c r="A702" s="5">
        <f t="shared" si="31"/>
        <v>0</v>
      </c>
      <c r="B702" s="6">
        <f t="shared" si="32"/>
        <v>0</v>
      </c>
      <c r="K702" s="18">
        <f t="shared" si="30"/>
        <v>0</v>
      </c>
      <c r="L702" s="21">
        <f>IF(ISERROR(VLOOKUP($F702,#REF!,6,0)*G702/1000),0,VLOOKUP($F702,#REF!,6,0)*G702/1000)</f>
        <v>0</v>
      </c>
      <c r="M702" s="21">
        <f>IF(ISERROR(VLOOKUP($F702,#REF!,6,0)*H702/1000),0,VLOOKUP($F702,#REF!,6,0)*H702/1000)</f>
        <v>0</v>
      </c>
      <c r="N702" s="21">
        <f>IF(ISERROR(VLOOKUP($F702,#REF!,6,0)*I702/1000),0,VLOOKUP($F702,#REF!,6,0)*I702/1000)</f>
        <v>0</v>
      </c>
      <c r="O702" s="21">
        <f>IF(ISERROR(VLOOKUP($F702,#REF!,6,0)*J702/1000),0,VLOOKUP($F702,#REF!,6,0)*J702/1000)</f>
        <v>0</v>
      </c>
      <c r="P702" s="21">
        <f>IF(ISERROR(VLOOKUP(F702,#REF!,6,0)*K702/1000),0,VLOOKUP(F702,#REF!,6,0)*K702/1000)</f>
        <v>0</v>
      </c>
      <c r="Q702" s="6">
        <f>IF(ISERROR(VLOOKUP(F702,#REF!,3,0)),0,VLOOKUP(F702,#REF!,3,0))</f>
        <v>0</v>
      </c>
      <c r="R702" s="6">
        <f>IF(ISERROR(VLOOKUP(F702,#REF!,4,0)),0,VLOOKUP(F702,#REF!,4,0))</f>
        <v>0</v>
      </c>
      <c r="S702" s="8">
        <f>IF(ISERROR(VLOOKUP(F702,#REF!,4,0)),0,VLOOKUP(F702,#REF!,10,0)/60*K702)</f>
        <v>0</v>
      </c>
      <c r="T702" s="3"/>
      <c r="U702" s="3"/>
      <c r="V702" s="4"/>
    </row>
    <row r="703" spans="1:22" x14ac:dyDescent="0.3">
      <c r="A703" s="5">
        <f t="shared" si="31"/>
        <v>0</v>
      </c>
      <c r="B703" s="6">
        <f t="shared" si="32"/>
        <v>0</v>
      </c>
      <c r="K703" s="18">
        <f t="shared" si="30"/>
        <v>0</v>
      </c>
      <c r="L703" s="21">
        <f>IF(ISERROR(VLOOKUP($F703,#REF!,6,0)*G703/1000),0,VLOOKUP($F703,#REF!,6,0)*G703/1000)</f>
        <v>0</v>
      </c>
      <c r="M703" s="21">
        <f>IF(ISERROR(VLOOKUP($F703,#REF!,6,0)*H703/1000),0,VLOOKUP($F703,#REF!,6,0)*H703/1000)</f>
        <v>0</v>
      </c>
      <c r="N703" s="21">
        <f>IF(ISERROR(VLOOKUP($F703,#REF!,6,0)*I703/1000),0,VLOOKUP($F703,#REF!,6,0)*I703/1000)</f>
        <v>0</v>
      </c>
      <c r="O703" s="21">
        <f>IF(ISERROR(VLOOKUP($F703,#REF!,6,0)*J703/1000),0,VLOOKUP($F703,#REF!,6,0)*J703/1000)</f>
        <v>0</v>
      </c>
      <c r="P703" s="21">
        <f>IF(ISERROR(VLOOKUP(F703,#REF!,6,0)*K703/1000),0,VLOOKUP(F703,#REF!,6,0)*K703/1000)</f>
        <v>0</v>
      </c>
      <c r="Q703" s="6">
        <f>IF(ISERROR(VLOOKUP(F703,#REF!,3,0)),0,VLOOKUP(F703,#REF!,3,0))</f>
        <v>0</v>
      </c>
      <c r="R703" s="6">
        <f>IF(ISERROR(VLOOKUP(F703,#REF!,4,0)),0,VLOOKUP(F703,#REF!,4,0))</f>
        <v>0</v>
      </c>
      <c r="S703" s="8">
        <f>IF(ISERROR(VLOOKUP(F703,#REF!,4,0)),0,VLOOKUP(F703,#REF!,10,0)/60*K703)</f>
        <v>0</v>
      </c>
      <c r="T703" s="3"/>
      <c r="U703" s="3"/>
      <c r="V703" s="4"/>
    </row>
    <row r="704" spans="1:22" x14ac:dyDescent="0.3">
      <c r="A704" s="5">
        <f t="shared" si="31"/>
        <v>0</v>
      </c>
      <c r="B704" s="6">
        <f t="shared" si="32"/>
        <v>0</v>
      </c>
      <c r="K704" s="18">
        <f t="shared" si="30"/>
        <v>0</v>
      </c>
      <c r="L704" s="21">
        <f>IF(ISERROR(VLOOKUP($F704,#REF!,6,0)*G704/1000),0,VLOOKUP($F704,#REF!,6,0)*G704/1000)</f>
        <v>0</v>
      </c>
      <c r="M704" s="21">
        <f>IF(ISERROR(VLOOKUP($F704,#REF!,6,0)*H704/1000),0,VLOOKUP($F704,#REF!,6,0)*H704/1000)</f>
        <v>0</v>
      </c>
      <c r="N704" s="21">
        <f>IF(ISERROR(VLOOKUP($F704,#REF!,6,0)*I704/1000),0,VLOOKUP($F704,#REF!,6,0)*I704/1000)</f>
        <v>0</v>
      </c>
      <c r="O704" s="21">
        <f>IF(ISERROR(VLOOKUP($F704,#REF!,6,0)*J704/1000),0,VLOOKUP($F704,#REF!,6,0)*J704/1000)</f>
        <v>0</v>
      </c>
      <c r="P704" s="21">
        <f>IF(ISERROR(VLOOKUP(F704,#REF!,6,0)*K704/1000),0,VLOOKUP(F704,#REF!,6,0)*K704/1000)</f>
        <v>0</v>
      </c>
      <c r="Q704" s="6">
        <f>IF(ISERROR(VLOOKUP(F704,#REF!,3,0)),0,VLOOKUP(F704,#REF!,3,0))</f>
        <v>0</v>
      </c>
      <c r="R704" s="6">
        <f>IF(ISERROR(VLOOKUP(F704,#REF!,4,0)),0,VLOOKUP(F704,#REF!,4,0))</f>
        <v>0</v>
      </c>
      <c r="S704" s="8">
        <f>IF(ISERROR(VLOOKUP(F704,#REF!,4,0)),0,VLOOKUP(F704,#REF!,10,0)/60*K704)</f>
        <v>0</v>
      </c>
      <c r="T704" s="3"/>
      <c r="U704" s="3"/>
      <c r="V704" s="4"/>
    </row>
    <row r="705" spans="1:22" x14ac:dyDescent="0.3">
      <c r="A705" s="5">
        <f t="shared" si="31"/>
        <v>0</v>
      </c>
      <c r="B705" s="6">
        <f t="shared" si="32"/>
        <v>0</v>
      </c>
      <c r="K705" s="18">
        <f t="shared" si="30"/>
        <v>0</v>
      </c>
      <c r="L705" s="21">
        <f>IF(ISERROR(VLOOKUP($F705,#REF!,6,0)*G705/1000),0,VLOOKUP($F705,#REF!,6,0)*G705/1000)</f>
        <v>0</v>
      </c>
      <c r="M705" s="21">
        <f>IF(ISERROR(VLOOKUP($F705,#REF!,6,0)*H705/1000),0,VLOOKUP($F705,#REF!,6,0)*H705/1000)</f>
        <v>0</v>
      </c>
      <c r="N705" s="21">
        <f>IF(ISERROR(VLOOKUP($F705,#REF!,6,0)*I705/1000),0,VLOOKUP($F705,#REF!,6,0)*I705/1000)</f>
        <v>0</v>
      </c>
      <c r="O705" s="21">
        <f>IF(ISERROR(VLOOKUP($F705,#REF!,6,0)*J705/1000),0,VLOOKUP($F705,#REF!,6,0)*J705/1000)</f>
        <v>0</v>
      </c>
      <c r="P705" s="21">
        <f>IF(ISERROR(VLOOKUP(F705,#REF!,6,0)*K705/1000),0,VLOOKUP(F705,#REF!,6,0)*K705/1000)</f>
        <v>0</v>
      </c>
      <c r="Q705" s="6">
        <f>IF(ISERROR(VLOOKUP(F705,#REF!,3,0)),0,VLOOKUP(F705,#REF!,3,0))</f>
        <v>0</v>
      </c>
      <c r="R705" s="6">
        <f>IF(ISERROR(VLOOKUP(F705,#REF!,4,0)),0,VLOOKUP(F705,#REF!,4,0))</f>
        <v>0</v>
      </c>
      <c r="S705" s="8">
        <f>IF(ISERROR(VLOOKUP(F705,#REF!,4,0)),0,VLOOKUP(F705,#REF!,10,0)/60*K705)</f>
        <v>0</v>
      </c>
      <c r="T705" s="3"/>
      <c r="U705" s="3"/>
      <c r="V705" s="4"/>
    </row>
    <row r="706" spans="1:22" x14ac:dyDescent="0.3">
      <c r="A706" s="5">
        <f t="shared" si="31"/>
        <v>0</v>
      </c>
      <c r="B706" s="6">
        <f t="shared" si="32"/>
        <v>0</v>
      </c>
      <c r="K706" s="18">
        <f t="shared" si="30"/>
        <v>0</v>
      </c>
      <c r="L706" s="21">
        <f>IF(ISERROR(VLOOKUP($F706,#REF!,6,0)*G706/1000),0,VLOOKUP($F706,#REF!,6,0)*G706/1000)</f>
        <v>0</v>
      </c>
      <c r="M706" s="21">
        <f>IF(ISERROR(VLOOKUP($F706,#REF!,6,0)*H706/1000),0,VLOOKUP($F706,#REF!,6,0)*H706/1000)</f>
        <v>0</v>
      </c>
      <c r="N706" s="21">
        <f>IF(ISERROR(VLOOKUP($F706,#REF!,6,0)*I706/1000),0,VLOOKUP($F706,#REF!,6,0)*I706/1000)</f>
        <v>0</v>
      </c>
      <c r="O706" s="21">
        <f>IF(ISERROR(VLOOKUP($F706,#REF!,6,0)*J706/1000),0,VLOOKUP($F706,#REF!,6,0)*J706/1000)</f>
        <v>0</v>
      </c>
      <c r="P706" s="21">
        <f>IF(ISERROR(VLOOKUP(F706,#REF!,6,0)*K706/1000),0,VLOOKUP(F706,#REF!,6,0)*K706/1000)</f>
        <v>0</v>
      </c>
      <c r="Q706" s="6">
        <f>IF(ISERROR(VLOOKUP(F706,#REF!,3,0)),0,VLOOKUP(F706,#REF!,3,0))</f>
        <v>0</v>
      </c>
      <c r="R706" s="6">
        <f>IF(ISERROR(VLOOKUP(F706,#REF!,4,0)),0,VLOOKUP(F706,#REF!,4,0))</f>
        <v>0</v>
      </c>
      <c r="S706" s="8">
        <f>IF(ISERROR(VLOOKUP(F706,#REF!,4,0)),0,VLOOKUP(F706,#REF!,10,0)/60*K706)</f>
        <v>0</v>
      </c>
      <c r="T706" s="3"/>
      <c r="U706" s="3"/>
      <c r="V706" s="4"/>
    </row>
    <row r="707" spans="1:22" x14ac:dyDescent="0.3">
      <c r="A707" s="5">
        <f t="shared" si="31"/>
        <v>0</v>
      </c>
      <c r="B707" s="6">
        <f t="shared" si="32"/>
        <v>0</v>
      </c>
      <c r="K707" s="18">
        <f t="shared" si="30"/>
        <v>0</v>
      </c>
      <c r="L707" s="21">
        <f>IF(ISERROR(VLOOKUP($F707,#REF!,6,0)*G707/1000),0,VLOOKUP($F707,#REF!,6,0)*G707/1000)</f>
        <v>0</v>
      </c>
      <c r="M707" s="21">
        <f>IF(ISERROR(VLOOKUP($F707,#REF!,6,0)*H707/1000),0,VLOOKUP($F707,#REF!,6,0)*H707/1000)</f>
        <v>0</v>
      </c>
      <c r="N707" s="21">
        <f>IF(ISERROR(VLOOKUP($F707,#REF!,6,0)*I707/1000),0,VLOOKUP($F707,#REF!,6,0)*I707/1000)</f>
        <v>0</v>
      </c>
      <c r="O707" s="21">
        <f>IF(ISERROR(VLOOKUP($F707,#REF!,6,0)*J707/1000),0,VLOOKUP($F707,#REF!,6,0)*J707/1000)</f>
        <v>0</v>
      </c>
      <c r="P707" s="21">
        <f>IF(ISERROR(VLOOKUP(F707,#REF!,6,0)*K707/1000),0,VLOOKUP(F707,#REF!,6,0)*K707/1000)</f>
        <v>0</v>
      </c>
      <c r="Q707" s="6">
        <f>IF(ISERROR(VLOOKUP(F707,#REF!,3,0)),0,VLOOKUP(F707,#REF!,3,0))</f>
        <v>0</v>
      </c>
      <c r="R707" s="6">
        <f>IF(ISERROR(VLOOKUP(F707,#REF!,4,0)),0,VLOOKUP(F707,#REF!,4,0))</f>
        <v>0</v>
      </c>
      <c r="S707" s="8">
        <f>IF(ISERROR(VLOOKUP(F707,#REF!,4,0)),0,VLOOKUP(F707,#REF!,10,0)/60*K707)</f>
        <v>0</v>
      </c>
      <c r="T707" s="3"/>
      <c r="U707" s="3"/>
      <c r="V707" s="4"/>
    </row>
    <row r="708" spans="1:22" x14ac:dyDescent="0.3">
      <c r="A708" s="5">
        <f t="shared" si="31"/>
        <v>0</v>
      </c>
      <c r="B708" s="6">
        <f t="shared" si="32"/>
        <v>0</v>
      </c>
      <c r="K708" s="18">
        <f t="shared" ref="K708:K771" si="33">SUM(G708:J708)</f>
        <v>0</v>
      </c>
      <c r="L708" s="21">
        <f>IF(ISERROR(VLOOKUP($F708,#REF!,6,0)*G708/1000),0,VLOOKUP($F708,#REF!,6,0)*G708/1000)</f>
        <v>0</v>
      </c>
      <c r="M708" s="21">
        <f>IF(ISERROR(VLOOKUP($F708,#REF!,6,0)*H708/1000),0,VLOOKUP($F708,#REF!,6,0)*H708/1000)</f>
        <v>0</v>
      </c>
      <c r="N708" s="21">
        <f>IF(ISERROR(VLOOKUP($F708,#REF!,6,0)*I708/1000),0,VLOOKUP($F708,#REF!,6,0)*I708/1000)</f>
        <v>0</v>
      </c>
      <c r="O708" s="21">
        <f>IF(ISERROR(VLOOKUP($F708,#REF!,6,0)*J708/1000),0,VLOOKUP($F708,#REF!,6,0)*J708/1000)</f>
        <v>0</v>
      </c>
      <c r="P708" s="21">
        <f>IF(ISERROR(VLOOKUP(F708,#REF!,6,0)*K708/1000),0,VLOOKUP(F708,#REF!,6,0)*K708/1000)</f>
        <v>0</v>
      </c>
      <c r="Q708" s="6">
        <f>IF(ISERROR(VLOOKUP(F708,#REF!,3,0)),0,VLOOKUP(F708,#REF!,3,0))</f>
        <v>0</v>
      </c>
      <c r="R708" s="6">
        <f>IF(ISERROR(VLOOKUP(F708,#REF!,4,0)),0,VLOOKUP(F708,#REF!,4,0))</f>
        <v>0</v>
      </c>
      <c r="S708" s="8">
        <f>IF(ISERROR(VLOOKUP(F708,#REF!,4,0)),0,VLOOKUP(F708,#REF!,10,0)/60*K708)</f>
        <v>0</v>
      </c>
      <c r="T708" s="3"/>
      <c r="U708" s="3"/>
      <c r="V708" s="4"/>
    </row>
    <row r="709" spans="1:22" x14ac:dyDescent="0.3">
      <c r="A709" s="5">
        <f t="shared" ref="A709:A772" si="34">IF(C709=0,0,YEAR(C709))</f>
        <v>0</v>
      </c>
      <c r="B709" s="6">
        <f t="shared" ref="B709:B772" si="35">IF(C709&gt;0,VLOOKUP(MONTH($C709),$AJ$3:$AK$14,2,0),0)</f>
        <v>0</v>
      </c>
      <c r="K709" s="18">
        <f t="shared" si="33"/>
        <v>0</v>
      </c>
      <c r="L709" s="21">
        <f>IF(ISERROR(VLOOKUP($F709,#REF!,6,0)*G709/1000),0,VLOOKUP($F709,#REF!,6,0)*G709/1000)</f>
        <v>0</v>
      </c>
      <c r="M709" s="21">
        <f>IF(ISERROR(VLOOKUP($F709,#REF!,6,0)*H709/1000),0,VLOOKUP($F709,#REF!,6,0)*H709/1000)</f>
        <v>0</v>
      </c>
      <c r="N709" s="21">
        <f>IF(ISERROR(VLOOKUP($F709,#REF!,6,0)*I709/1000),0,VLOOKUP($F709,#REF!,6,0)*I709/1000)</f>
        <v>0</v>
      </c>
      <c r="O709" s="21">
        <f>IF(ISERROR(VLOOKUP($F709,#REF!,6,0)*J709/1000),0,VLOOKUP($F709,#REF!,6,0)*J709/1000)</f>
        <v>0</v>
      </c>
      <c r="P709" s="21">
        <f>IF(ISERROR(VLOOKUP(F709,#REF!,6,0)*K709/1000),0,VLOOKUP(F709,#REF!,6,0)*K709/1000)</f>
        <v>0</v>
      </c>
      <c r="Q709" s="6">
        <f>IF(ISERROR(VLOOKUP(F709,#REF!,3,0)),0,VLOOKUP(F709,#REF!,3,0))</f>
        <v>0</v>
      </c>
      <c r="R709" s="6">
        <f>IF(ISERROR(VLOOKUP(F709,#REF!,4,0)),0,VLOOKUP(F709,#REF!,4,0))</f>
        <v>0</v>
      </c>
      <c r="S709" s="8">
        <f>IF(ISERROR(VLOOKUP(F709,#REF!,4,0)),0,VLOOKUP(F709,#REF!,10,0)/60*K709)</f>
        <v>0</v>
      </c>
      <c r="T709" s="3"/>
      <c r="U709" s="3"/>
      <c r="V709" s="4"/>
    </row>
    <row r="710" spans="1:22" x14ac:dyDescent="0.3">
      <c r="A710" s="5">
        <f t="shared" si="34"/>
        <v>0</v>
      </c>
      <c r="B710" s="6">
        <f t="shared" si="35"/>
        <v>0</v>
      </c>
      <c r="K710" s="18">
        <f t="shared" si="33"/>
        <v>0</v>
      </c>
      <c r="L710" s="21">
        <f>IF(ISERROR(VLOOKUP($F710,#REF!,6,0)*G710/1000),0,VLOOKUP($F710,#REF!,6,0)*G710/1000)</f>
        <v>0</v>
      </c>
      <c r="M710" s="21">
        <f>IF(ISERROR(VLOOKUP($F710,#REF!,6,0)*H710/1000),0,VLOOKUP($F710,#REF!,6,0)*H710/1000)</f>
        <v>0</v>
      </c>
      <c r="N710" s="21">
        <f>IF(ISERROR(VLOOKUP($F710,#REF!,6,0)*I710/1000),0,VLOOKUP($F710,#REF!,6,0)*I710/1000)</f>
        <v>0</v>
      </c>
      <c r="O710" s="21">
        <f>IF(ISERROR(VLOOKUP($F710,#REF!,6,0)*J710/1000),0,VLOOKUP($F710,#REF!,6,0)*J710/1000)</f>
        <v>0</v>
      </c>
      <c r="P710" s="21">
        <f>IF(ISERROR(VLOOKUP(F710,#REF!,6,0)*K710/1000),0,VLOOKUP(F710,#REF!,6,0)*K710/1000)</f>
        <v>0</v>
      </c>
      <c r="Q710" s="6">
        <f>IF(ISERROR(VLOOKUP(F710,#REF!,3,0)),0,VLOOKUP(F710,#REF!,3,0))</f>
        <v>0</v>
      </c>
      <c r="R710" s="6">
        <f>IF(ISERROR(VLOOKUP(F710,#REF!,4,0)),0,VLOOKUP(F710,#REF!,4,0))</f>
        <v>0</v>
      </c>
      <c r="S710" s="8">
        <f>IF(ISERROR(VLOOKUP(F710,#REF!,4,0)),0,VLOOKUP(F710,#REF!,10,0)/60*K710)</f>
        <v>0</v>
      </c>
      <c r="T710" s="3"/>
      <c r="U710" s="3"/>
      <c r="V710" s="4"/>
    </row>
    <row r="711" spans="1:22" x14ac:dyDescent="0.3">
      <c r="A711" s="5">
        <f t="shared" si="34"/>
        <v>0</v>
      </c>
      <c r="B711" s="6">
        <f t="shared" si="35"/>
        <v>0</v>
      </c>
      <c r="K711" s="18">
        <f t="shared" si="33"/>
        <v>0</v>
      </c>
      <c r="L711" s="21">
        <f>IF(ISERROR(VLOOKUP($F711,#REF!,6,0)*G711/1000),0,VLOOKUP($F711,#REF!,6,0)*G711/1000)</f>
        <v>0</v>
      </c>
      <c r="M711" s="21">
        <f>IF(ISERROR(VLOOKUP($F711,#REF!,6,0)*H711/1000),0,VLOOKUP($F711,#REF!,6,0)*H711/1000)</f>
        <v>0</v>
      </c>
      <c r="N711" s="21">
        <f>IF(ISERROR(VLOOKUP($F711,#REF!,6,0)*I711/1000),0,VLOOKUP($F711,#REF!,6,0)*I711/1000)</f>
        <v>0</v>
      </c>
      <c r="O711" s="21">
        <f>IF(ISERROR(VLOOKUP($F711,#REF!,6,0)*J711/1000),0,VLOOKUP($F711,#REF!,6,0)*J711/1000)</f>
        <v>0</v>
      </c>
      <c r="P711" s="21">
        <f>IF(ISERROR(VLOOKUP(F711,#REF!,6,0)*K711/1000),0,VLOOKUP(F711,#REF!,6,0)*K711/1000)</f>
        <v>0</v>
      </c>
      <c r="Q711" s="6">
        <f>IF(ISERROR(VLOOKUP(F711,#REF!,3,0)),0,VLOOKUP(F711,#REF!,3,0))</f>
        <v>0</v>
      </c>
      <c r="R711" s="6">
        <f>IF(ISERROR(VLOOKUP(F711,#REF!,4,0)),0,VLOOKUP(F711,#REF!,4,0))</f>
        <v>0</v>
      </c>
      <c r="S711" s="8">
        <f>IF(ISERROR(VLOOKUP(F711,#REF!,4,0)),0,VLOOKUP(F711,#REF!,10,0)/60*K711)</f>
        <v>0</v>
      </c>
      <c r="T711" s="3"/>
      <c r="U711" s="3"/>
      <c r="V711" s="4"/>
    </row>
    <row r="712" spans="1:22" x14ac:dyDescent="0.3">
      <c r="A712" s="5">
        <f t="shared" si="34"/>
        <v>0</v>
      </c>
      <c r="B712" s="6">
        <f t="shared" si="35"/>
        <v>0</v>
      </c>
      <c r="K712" s="18">
        <f t="shared" si="33"/>
        <v>0</v>
      </c>
      <c r="L712" s="21">
        <f>IF(ISERROR(VLOOKUP($F712,#REF!,6,0)*G712/1000),0,VLOOKUP($F712,#REF!,6,0)*G712/1000)</f>
        <v>0</v>
      </c>
      <c r="M712" s="21">
        <f>IF(ISERROR(VLOOKUP($F712,#REF!,6,0)*H712/1000),0,VLOOKUP($F712,#REF!,6,0)*H712/1000)</f>
        <v>0</v>
      </c>
      <c r="N712" s="21">
        <f>IF(ISERROR(VLOOKUP($F712,#REF!,6,0)*I712/1000),0,VLOOKUP($F712,#REF!,6,0)*I712/1000)</f>
        <v>0</v>
      </c>
      <c r="O712" s="21">
        <f>IF(ISERROR(VLOOKUP($F712,#REF!,6,0)*J712/1000),0,VLOOKUP($F712,#REF!,6,0)*J712/1000)</f>
        <v>0</v>
      </c>
      <c r="P712" s="21">
        <f>IF(ISERROR(VLOOKUP(F712,#REF!,6,0)*K712/1000),0,VLOOKUP(F712,#REF!,6,0)*K712/1000)</f>
        <v>0</v>
      </c>
      <c r="Q712" s="6">
        <f>IF(ISERROR(VLOOKUP(F712,#REF!,3,0)),0,VLOOKUP(F712,#REF!,3,0))</f>
        <v>0</v>
      </c>
      <c r="R712" s="6">
        <f>IF(ISERROR(VLOOKUP(F712,#REF!,4,0)),0,VLOOKUP(F712,#REF!,4,0))</f>
        <v>0</v>
      </c>
      <c r="S712" s="8">
        <f>IF(ISERROR(VLOOKUP(F712,#REF!,4,0)),0,VLOOKUP(F712,#REF!,10,0)/60*K712)</f>
        <v>0</v>
      </c>
      <c r="T712" s="3"/>
      <c r="U712" s="3"/>
      <c r="V712" s="4"/>
    </row>
    <row r="713" spans="1:22" x14ac:dyDescent="0.3">
      <c r="A713" s="5">
        <f t="shared" si="34"/>
        <v>0</v>
      </c>
      <c r="B713" s="6">
        <f t="shared" si="35"/>
        <v>0</v>
      </c>
      <c r="K713" s="18">
        <f t="shared" si="33"/>
        <v>0</v>
      </c>
      <c r="L713" s="21">
        <f>IF(ISERROR(VLOOKUP($F713,#REF!,6,0)*G713/1000),0,VLOOKUP($F713,#REF!,6,0)*G713/1000)</f>
        <v>0</v>
      </c>
      <c r="M713" s="21">
        <f>IF(ISERROR(VLOOKUP($F713,#REF!,6,0)*H713/1000),0,VLOOKUP($F713,#REF!,6,0)*H713/1000)</f>
        <v>0</v>
      </c>
      <c r="N713" s="21">
        <f>IF(ISERROR(VLOOKUP($F713,#REF!,6,0)*I713/1000),0,VLOOKUP($F713,#REF!,6,0)*I713/1000)</f>
        <v>0</v>
      </c>
      <c r="O713" s="21">
        <f>IF(ISERROR(VLOOKUP($F713,#REF!,6,0)*J713/1000),0,VLOOKUP($F713,#REF!,6,0)*J713/1000)</f>
        <v>0</v>
      </c>
      <c r="P713" s="21">
        <f>IF(ISERROR(VLOOKUP(F713,#REF!,6,0)*K713/1000),0,VLOOKUP(F713,#REF!,6,0)*K713/1000)</f>
        <v>0</v>
      </c>
      <c r="Q713" s="6">
        <f>IF(ISERROR(VLOOKUP(F713,#REF!,3,0)),0,VLOOKUP(F713,#REF!,3,0))</f>
        <v>0</v>
      </c>
      <c r="R713" s="6">
        <f>IF(ISERROR(VLOOKUP(F713,#REF!,4,0)),0,VLOOKUP(F713,#REF!,4,0))</f>
        <v>0</v>
      </c>
      <c r="S713" s="8">
        <f>IF(ISERROR(VLOOKUP(F713,#REF!,4,0)),0,VLOOKUP(F713,#REF!,10,0)/60*K713)</f>
        <v>0</v>
      </c>
      <c r="T713" s="3"/>
      <c r="U713" s="3"/>
      <c r="V713" s="4"/>
    </row>
    <row r="714" spans="1:22" x14ac:dyDescent="0.3">
      <c r="A714" s="5">
        <f t="shared" si="34"/>
        <v>0</v>
      </c>
      <c r="B714" s="6">
        <f t="shared" si="35"/>
        <v>0</v>
      </c>
      <c r="K714" s="18">
        <f t="shared" si="33"/>
        <v>0</v>
      </c>
      <c r="L714" s="21">
        <f>IF(ISERROR(VLOOKUP($F714,#REF!,6,0)*G714/1000),0,VLOOKUP($F714,#REF!,6,0)*G714/1000)</f>
        <v>0</v>
      </c>
      <c r="M714" s="21">
        <f>IF(ISERROR(VLOOKUP($F714,#REF!,6,0)*H714/1000),0,VLOOKUP($F714,#REF!,6,0)*H714/1000)</f>
        <v>0</v>
      </c>
      <c r="N714" s="21">
        <f>IF(ISERROR(VLOOKUP($F714,#REF!,6,0)*I714/1000),0,VLOOKUP($F714,#REF!,6,0)*I714/1000)</f>
        <v>0</v>
      </c>
      <c r="O714" s="21">
        <f>IF(ISERROR(VLOOKUP($F714,#REF!,6,0)*J714/1000),0,VLOOKUP($F714,#REF!,6,0)*J714/1000)</f>
        <v>0</v>
      </c>
      <c r="P714" s="21">
        <f>IF(ISERROR(VLOOKUP(F714,#REF!,6,0)*K714/1000),0,VLOOKUP(F714,#REF!,6,0)*K714/1000)</f>
        <v>0</v>
      </c>
      <c r="Q714" s="6">
        <f>IF(ISERROR(VLOOKUP(F714,#REF!,3,0)),0,VLOOKUP(F714,#REF!,3,0))</f>
        <v>0</v>
      </c>
      <c r="R714" s="6">
        <f>IF(ISERROR(VLOOKUP(F714,#REF!,4,0)),0,VLOOKUP(F714,#REF!,4,0))</f>
        <v>0</v>
      </c>
      <c r="S714" s="8">
        <f>IF(ISERROR(VLOOKUP(F714,#REF!,4,0)),0,VLOOKUP(F714,#REF!,10,0)/60*K714)</f>
        <v>0</v>
      </c>
      <c r="T714" s="3"/>
      <c r="U714" s="3"/>
      <c r="V714" s="4"/>
    </row>
    <row r="715" spans="1:22" x14ac:dyDescent="0.3">
      <c r="A715" s="5">
        <f t="shared" si="34"/>
        <v>0</v>
      </c>
      <c r="B715" s="6">
        <f t="shared" si="35"/>
        <v>0</v>
      </c>
      <c r="K715" s="18">
        <f t="shared" si="33"/>
        <v>0</v>
      </c>
      <c r="L715" s="21">
        <f>IF(ISERROR(VLOOKUP($F715,#REF!,6,0)*G715/1000),0,VLOOKUP($F715,#REF!,6,0)*G715/1000)</f>
        <v>0</v>
      </c>
      <c r="M715" s="21">
        <f>IF(ISERROR(VLOOKUP($F715,#REF!,6,0)*H715/1000),0,VLOOKUP($F715,#REF!,6,0)*H715/1000)</f>
        <v>0</v>
      </c>
      <c r="N715" s="21">
        <f>IF(ISERROR(VLOOKUP($F715,#REF!,6,0)*I715/1000),0,VLOOKUP($F715,#REF!,6,0)*I715/1000)</f>
        <v>0</v>
      </c>
      <c r="O715" s="21">
        <f>IF(ISERROR(VLOOKUP($F715,#REF!,6,0)*J715/1000),0,VLOOKUP($F715,#REF!,6,0)*J715/1000)</f>
        <v>0</v>
      </c>
      <c r="P715" s="21">
        <f>IF(ISERROR(VLOOKUP(F715,#REF!,6,0)*K715/1000),0,VLOOKUP(F715,#REF!,6,0)*K715/1000)</f>
        <v>0</v>
      </c>
      <c r="Q715" s="6">
        <f>IF(ISERROR(VLOOKUP(F715,#REF!,3,0)),0,VLOOKUP(F715,#REF!,3,0))</f>
        <v>0</v>
      </c>
      <c r="R715" s="6">
        <f>IF(ISERROR(VLOOKUP(F715,#REF!,4,0)),0,VLOOKUP(F715,#REF!,4,0))</f>
        <v>0</v>
      </c>
      <c r="S715" s="8">
        <f>IF(ISERROR(VLOOKUP(F715,#REF!,4,0)),0,VLOOKUP(F715,#REF!,10,0)/60*K715)</f>
        <v>0</v>
      </c>
      <c r="T715" s="3"/>
      <c r="U715" s="3"/>
      <c r="V715" s="4"/>
    </row>
    <row r="716" spans="1:22" x14ac:dyDescent="0.3">
      <c r="A716" s="5">
        <f t="shared" si="34"/>
        <v>0</v>
      </c>
      <c r="B716" s="6">
        <f t="shared" si="35"/>
        <v>0</v>
      </c>
      <c r="K716" s="18">
        <f t="shared" si="33"/>
        <v>0</v>
      </c>
      <c r="L716" s="21">
        <f>IF(ISERROR(VLOOKUP($F716,#REF!,6,0)*G716/1000),0,VLOOKUP($F716,#REF!,6,0)*G716/1000)</f>
        <v>0</v>
      </c>
      <c r="M716" s="21">
        <f>IF(ISERROR(VLOOKUP($F716,#REF!,6,0)*H716/1000),0,VLOOKUP($F716,#REF!,6,0)*H716/1000)</f>
        <v>0</v>
      </c>
      <c r="N716" s="21">
        <f>IF(ISERROR(VLOOKUP($F716,#REF!,6,0)*I716/1000),0,VLOOKUP($F716,#REF!,6,0)*I716/1000)</f>
        <v>0</v>
      </c>
      <c r="O716" s="21">
        <f>IF(ISERROR(VLOOKUP($F716,#REF!,6,0)*J716/1000),0,VLOOKUP($F716,#REF!,6,0)*J716/1000)</f>
        <v>0</v>
      </c>
      <c r="P716" s="21">
        <f>IF(ISERROR(VLOOKUP(F716,#REF!,6,0)*K716/1000),0,VLOOKUP(F716,#REF!,6,0)*K716/1000)</f>
        <v>0</v>
      </c>
      <c r="Q716" s="6">
        <f>IF(ISERROR(VLOOKUP(F716,#REF!,3,0)),0,VLOOKUP(F716,#REF!,3,0))</f>
        <v>0</v>
      </c>
      <c r="R716" s="6">
        <f>IF(ISERROR(VLOOKUP(F716,#REF!,4,0)),0,VLOOKUP(F716,#REF!,4,0))</f>
        <v>0</v>
      </c>
      <c r="S716" s="8">
        <f>IF(ISERROR(VLOOKUP(F716,#REF!,4,0)),0,VLOOKUP(F716,#REF!,10,0)/60*K716)</f>
        <v>0</v>
      </c>
      <c r="T716" s="3"/>
      <c r="U716" s="3"/>
      <c r="V716" s="4"/>
    </row>
    <row r="717" spans="1:22" x14ac:dyDescent="0.3">
      <c r="A717" s="5">
        <f t="shared" si="34"/>
        <v>0</v>
      </c>
      <c r="B717" s="6">
        <f t="shared" si="35"/>
        <v>0</v>
      </c>
      <c r="K717" s="18">
        <f t="shared" si="33"/>
        <v>0</v>
      </c>
      <c r="L717" s="21">
        <f>IF(ISERROR(VLOOKUP($F717,#REF!,6,0)*G717/1000),0,VLOOKUP($F717,#REF!,6,0)*G717/1000)</f>
        <v>0</v>
      </c>
      <c r="M717" s="21">
        <f>IF(ISERROR(VLOOKUP($F717,#REF!,6,0)*H717/1000),0,VLOOKUP($F717,#REF!,6,0)*H717/1000)</f>
        <v>0</v>
      </c>
      <c r="N717" s="21">
        <f>IF(ISERROR(VLOOKUP($F717,#REF!,6,0)*I717/1000),0,VLOOKUP($F717,#REF!,6,0)*I717/1000)</f>
        <v>0</v>
      </c>
      <c r="O717" s="21">
        <f>IF(ISERROR(VLOOKUP($F717,#REF!,6,0)*J717/1000),0,VLOOKUP($F717,#REF!,6,0)*J717/1000)</f>
        <v>0</v>
      </c>
      <c r="P717" s="21">
        <f>IF(ISERROR(VLOOKUP(F717,#REF!,6,0)*K717/1000),0,VLOOKUP(F717,#REF!,6,0)*K717/1000)</f>
        <v>0</v>
      </c>
      <c r="Q717" s="6">
        <f>IF(ISERROR(VLOOKUP(F717,#REF!,3,0)),0,VLOOKUP(F717,#REF!,3,0))</f>
        <v>0</v>
      </c>
      <c r="R717" s="6">
        <f>IF(ISERROR(VLOOKUP(F717,#REF!,4,0)),0,VLOOKUP(F717,#REF!,4,0))</f>
        <v>0</v>
      </c>
      <c r="S717" s="8">
        <f>IF(ISERROR(VLOOKUP(F717,#REF!,4,0)),0,VLOOKUP(F717,#REF!,10,0)/60*K717)</f>
        <v>0</v>
      </c>
      <c r="T717" s="3"/>
      <c r="U717" s="3"/>
      <c r="V717" s="4"/>
    </row>
    <row r="718" spans="1:22" x14ac:dyDescent="0.3">
      <c r="A718" s="5">
        <f t="shared" si="34"/>
        <v>0</v>
      </c>
      <c r="B718" s="6">
        <f t="shared" si="35"/>
        <v>0</v>
      </c>
      <c r="K718" s="18">
        <f t="shared" si="33"/>
        <v>0</v>
      </c>
      <c r="L718" s="21">
        <f>IF(ISERROR(VLOOKUP($F718,#REF!,6,0)*G718/1000),0,VLOOKUP($F718,#REF!,6,0)*G718/1000)</f>
        <v>0</v>
      </c>
      <c r="M718" s="21">
        <f>IF(ISERROR(VLOOKUP($F718,#REF!,6,0)*H718/1000),0,VLOOKUP($F718,#REF!,6,0)*H718/1000)</f>
        <v>0</v>
      </c>
      <c r="N718" s="21">
        <f>IF(ISERROR(VLOOKUP($F718,#REF!,6,0)*I718/1000),0,VLOOKUP($F718,#REF!,6,0)*I718/1000)</f>
        <v>0</v>
      </c>
      <c r="O718" s="21">
        <f>IF(ISERROR(VLOOKUP($F718,#REF!,6,0)*J718/1000),0,VLOOKUP($F718,#REF!,6,0)*J718/1000)</f>
        <v>0</v>
      </c>
      <c r="P718" s="21">
        <f>IF(ISERROR(VLOOKUP(F718,#REF!,6,0)*K718/1000),0,VLOOKUP(F718,#REF!,6,0)*K718/1000)</f>
        <v>0</v>
      </c>
      <c r="Q718" s="6">
        <f>IF(ISERROR(VLOOKUP(F718,#REF!,3,0)),0,VLOOKUP(F718,#REF!,3,0))</f>
        <v>0</v>
      </c>
      <c r="R718" s="6">
        <f>IF(ISERROR(VLOOKUP(F718,#REF!,4,0)),0,VLOOKUP(F718,#REF!,4,0))</f>
        <v>0</v>
      </c>
      <c r="S718" s="8">
        <f>IF(ISERROR(VLOOKUP(F718,#REF!,4,0)),0,VLOOKUP(F718,#REF!,10,0)/60*K718)</f>
        <v>0</v>
      </c>
      <c r="T718" s="3"/>
      <c r="U718" s="3"/>
      <c r="V718" s="4"/>
    </row>
    <row r="719" spans="1:22" x14ac:dyDescent="0.3">
      <c r="A719" s="5">
        <f t="shared" si="34"/>
        <v>0</v>
      </c>
      <c r="B719" s="6">
        <f t="shared" si="35"/>
        <v>0</v>
      </c>
      <c r="K719" s="18">
        <f t="shared" si="33"/>
        <v>0</v>
      </c>
      <c r="L719" s="21">
        <f>IF(ISERROR(VLOOKUP($F719,#REF!,6,0)*G719/1000),0,VLOOKUP($F719,#REF!,6,0)*G719/1000)</f>
        <v>0</v>
      </c>
      <c r="M719" s="21">
        <f>IF(ISERROR(VLOOKUP($F719,#REF!,6,0)*H719/1000),0,VLOOKUP($F719,#REF!,6,0)*H719/1000)</f>
        <v>0</v>
      </c>
      <c r="N719" s="21">
        <f>IF(ISERROR(VLOOKUP($F719,#REF!,6,0)*I719/1000),0,VLOOKUP($F719,#REF!,6,0)*I719/1000)</f>
        <v>0</v>
      </c>
      <c r="O719" s="21">
        <f>IF(ISERROR(VLOOKUP($F719,#REF!,6,0)*J719/1000),0,VLOOKUP($F719,#REF!,6,0)*J719/1000)</f>
        <v>0</v>
      </c>
      <c r="P719" s="21">
        <f>IF(ISERROR(VLOOKUP(F719,#REF!,6,0)*K719/1000),0,VLOOKUP(F719,#REF!,6,0)*K719/1000)</f>
        <v>0</v>
      </c>
      <c r="Q719" s="6">
        <f>IF(ISERROR(VLOOKUP(F719,#REF!,3,0)),0,VLOOKUP(F719,#REF!,3,0))</f>
        <v>0</v>
      </c>
      <c r="R719" s="6">
        <f>IF(ISERROR(VLOOKUP(F719,#REF!,4,0)),0,VLOOKUP(F719,#REF!,4,0))</f>
        <v>0</v>
      </c>
      <c r="S719" s="8">
        <f>IF(ISERROR(VLOOKUP(F719,#REF!,4,0)),0,VLOOKUP(F719,#REF!,10,0)/60*K719)</f>
        <v>0</v>
      </c>
      <c r="T719" s="3"/>
      <c r="U719" s="3"/>
      <c r="V719" s="4"/>
    </row>
    <row r="720" spans="1:22" x14ac:dyDescent="0.3">
      <c r="A720" s="5">
        <f t="shared" si="34"/>
        <v>0</v>
      </c>
      <c r="B720" s="6">
        <f t="shared" si="35"/>
        <v>0</v>
      </c>
      <c r="K720" s="18">
        <f t="shared" si="33"/>
        <v>0</v>
      </c>
      <c r="L720" s="21">
        <f>IF(ISERROR(VLOOKUP($F720,#REF!,6,0)*G720/1000),0,VLOOKUP($F720,#REF!,6,0)*G720/1000)</f>
        <v>0</v>
      </c>
      <c r="M720" s="21">
        <f>IF(ISERROR(VLOOKUP($F720,#REF!,6,0)*H720/1000),0,VLOOKUP($F720,#REF!,6,0)*H720/1000)</f>
        <v>0</v>
      </c>
      <c r="N720" s="21">
        <f>IF(ISERROR(VLOOKUP($F720,#REF!,6,0)*I720/1000),0,VLOOKUP($F720,#REF!,6,0)*I720/1000)</f>
        <v>0</v>
      </c>
      <c r="O720" s="21">
        <f>IF(ISERROR(VLOOKUP($F720,#REF!,6,0)*J720/1000),0,VLOOKUP($F720,#REF!,6,0)*J720/1000)</f>
        <v>0</v>
      </c>
      <c r="P720" s="21">
        <f>IF(ISERROR(VLOOKUP(F720,#REF!,6,0)*K720/1000),0,VLOOKUP(F720,#REF!,6,0)*K720/1000)</f>
        <v>0</v>
      </c>
      <c r="Q720" s="6">
        <f>IF(ISERROR(VLOOKUP(F720,#REF!,3,0)),0,VLOOKUP(F720,#REF!,3,0))</f>
        <v>0</v>
      </c>
      <c r="R720" s="6">
        <f>IF(ISERROR(VLOOKUP(F720,#REF!,4,0)),0,VLOOKUP(F720,#REF!,4,0))</f>
        <v>0</v>
      </c>
      <c r="S720" s="8">
        <f>IF(ISERROR(VLOOKUP(F720,#REF!,4,0)),0,VLOOKUP(F720,#REF!,10,0)/60*K720)</f>
        <v>0</v>
      </c>
      <c r="T720" s="3"/>
      <c r="U720" s="3"/>
      <c r="V720" s="4"/>
    </row>
    <row r="721" spans="1:22" x14ac:dyDescent="0.3">
      <c r="A721" s="5">
        <f t="shared" si="34"/>
        <v>0</v>
      </c>
      <c r="B721" s="6">
        <f t="shared" si="35"/>
        <v>0</v>
      </c>
      <c r="K721" s="18">
        <f t="shared" si="33"/>
        <v>0</v>
      </c>
      <c r="L721" s="21">
        <f>IF(ISERROR(VLOOKUP($F721,#REF!,6,0)*G721/1000),0,VLOOKUP($F721,#REF!,6,0)*G721/1000)</f>
        <v>0</v>
      </c>
      <c r="M721" s="21">
        <f>IF(ISERROR(VLOOKUP($F721,#REF!,6,0)*H721/1000),0,VLOOKUP($F721,#REF!,6,0)*H721/1000)</f>
        <v>0</v>
      </c>
      <c r="N721" s="21">
        <f>IF(ISERROR(VLOOKUP($F721,#REF!,6,0)*I721/1000),0,VLOOKUP($F721,#REF!,6,0)*I721/1000)</f>
        <v>0</v>
      </c>
      <c r="O721" s="21">
        <f>IF(ISERROR(VLOOKUP($F721,#REF!,6,0)*J721/1000),0,VLOOKUP($F721,#REF!,6,0)*J721/1000)</f>
        <v>0</v>
      </c>
      <c r="P721" s="21">
        <f>IF(ISERROR(VLOOKUP(F721,#REF!,6,0)*K721/1000),0,VLOOKUP(F721,#REF!,6,0)*K721/1000)</f>
        <v>0</v>
      </c>
      <c r="Q721" s="6">
        <f>IF(ISERROR(VLOOKUP(F721,#REF!,3,0)),0,VLOOKUP(F721,#REF!,3,0))</f>
        <v>0</v>
      </c>
      <c r="R721" s="6">
        <f>IF(ISERROR(VLOOKUP(F721,#REF!,4,0)),0,VLOOKUP(F721,#REF!,4,0))</f>
        <v>0</v>
      </c>
      <c r="S721" s="8">
        <f>IF(ISERROR(VLOOKUP(F721,#REF!,4,0)),0,VLOOKUP(F721,#REF!,10,0)/60*K721)</f>
        <v>0</v>
      </c>
      <c r="T721" s="3"/>
      <c r="U721" s="3"/>
      <c r="V721" s="4"/>
    </row>
    <row r="722" spans="1:22" x14ac:dyDescent="0.3">
      <c r="A722" s="5">
        <f t="shared" si="34"/>
        <v>0</v>
      </c>
      <c r="B722" s="6">
        <f t="shared" si="35"/>
        <v>0</v>
      </c>
      <c r="K722" s="18">
        <f t="shared" si="33"/>
        <v>0</v>
      </c>
      <c r="L722" s="21">
        <f>IF(ISERROR(VLOOKUP($F722,#REF!,6,0)*G722/1000),0,VLOOKUP($F722,#REF!,6,0)*G722/1000)</f>
        <v>0</v>
      </c>
      <c r="M722" s="21">
        <f>IF(ISERROR(VLOOKUP($F722,#REF!,6,0)*H722/1000),0,VLOOKUP($F722,#REF!,6,0)*H722/1000)</f>
        <v>0</v>
      </c>
      <c r="N722" s="21">
        <f>IF(ISERROR(VLOOKUP($F722,#REF!,6,0)*I722/1000),0,VLOOKUP($F722,#REF!,6,0)*I722/1000)</f>
        <v>0</v>
      </c>
      <c r="O722" s="21">
        <f>IF(ISERROR(VLOOKUP($F722,#REF!,6,0)*J722/1000),0,VLOOKUP($F722,#REF!,6,0)*J722/1000)</f>
        <v>0</v>
      </c>
      <c r="P722" s="21">
        <f>IF(ISERROR(VLOOKUP(F722,#REF!,6,0)*K722/1000),0,VLOOKUP(F722,#REF!,6,0)*K722/1000)</f>
        <v>0</v>
      </c>
      <c r="Q722" s="6">
        <f>IF(ISERROR(VLOOKUP(F722,#REF!,3,0)),0,VLOOKUP(F722,#REF!,3,0))</f>
        <v>0</v>
      </c>
      <c r="R722" s="6">
        <f>IF(ISERROR(VLOOKUP(F722,#REF!,4,0)),0,VLOOKUP(F722,#REF!,4,0))</f>
        <v>0</v>
      </c>
      <c r="S722" s="8">
        <f>IF(ISERROR(VLOOKUP(F722,#REF!,4,0)),0,VLOOKUP(F722,#REF!,10,0)/60*K722)</f>
        <v>0</v>
      </c>
      <c r="T722" s="3"/>
      <c r="U722" s="3"/>
      <c r="V722" s="4"/>
    </row>
    <row r="723" spans="1:22" x14ac:dyDescent="0.3">
      <c r="A723" s="5">
        <f t="shared" si="34"/>
        <v>0</v>
      </c>
      <c r="B723" s="6">
        <f t="shared" si="35"/>
        <v>0</v>
      </c>
      <c r="K723" s="18">
        <f t="shared" si="33"/>
        <v>0</v>
      </c>
      <c r="L723" s="21">
        <f>IF(ISERROR(VLOOKUP($F723,#REF!,6,0)*G723/1000),0,VLOOKUP($F723,#REF!,6,0)*G723/1000)</f>
        <v>0</v>
      </c>
      <c r="M723" s="21">
        <f>IF(ISERROR(VLOOKUP($F723,#REF!,6,0)*H723/1000),0,VLOOKUP($F723,#REF!,6,0)*H723/1000)</f>
        <v>0</v>
      </c>
      <c r="N723" s="21">
        <f>IF(ISERROR(VLOOKUP($F723,#REF!,6,0)*I723/1000),0,VLOOKUP($F723,#REF!,6,0)*I723/1000)</f>
        <v>0</v>
      </c>
      <c r="O723" s="21">
        <f>IF(ISERROR(VLOOKUP($F723,#REF!,6,0)*J723/1000),0,VLOOKUP($F723,#REF!,6,0)*J723/1000)</f>
        <v>0</v>
      </c>
      <c r="P723" s="21">
        <f>IF(ISERROR(VLOOKUP(F723,#REF!,6,0)*K723/1000),0,VLOOKUP(F723,#REF!,6,0)*K723/1000)</f>
        <v>0</v>
      </c>
      <c r="Q723" s="6">
        <f>IF(ISERROR(VLOOKUP(F723,#REF!,3,0)),0,VLOOKUP(F723,#REF!,3,0))</f>
        <v>0</v>
      </c>
      <c r="R723" s="6">
        <f>IF(ISERROR(VLOOKUP(F723,#REF!,4,0)),0,VLOOKUP(F723,#REF!,4,0))</f>
        <v>0</v>
      </c>
      <c r="S723" s="8">
        <f>IF(ISERROR(VLOOKUP(F723,#REF!,4,0)),0,VLOOKUP(F723,#REF!,10,0)/60*K723)</f>
        <v>0</v>
      </c>
      <c r="T723" s="3"/>
      <c r="U723" s="3"/>
      <c r="V723" s="4"/>
    </row>
    <row r="724" spans="1:22" x14ac:dyDescent="0.3">
      <c r="A724" s="5">
        <f t="shared" si="34"/>
        <v>0</v>
      </c>
      <c r="B724" s="6">
        <f t="shared" si="35"/>
        <v>0</v>
      </c>
      <c r="K724" s="18">
        <f t="shared" si="33"/>
        <v>0</v>
      </c>
      <c r="L724" s="21">
        <f>IF(ISERROR(VLOOKUP($F724,#REF!,6,0)*G724/1000),0,VLOOKUP($F724,#REF!,6,0)*G724/1000)</f>
        <v>0</v>
      </c>
      <c r="M724" s="21">
        <f>IF(ISERROR(VLOOKUP($F724,#REF!,6,0)*H724/1000),0,VLOOKUP($F724,#REF!,6,0)*H724/1000)</f>
        <v>0</v>
      </c>
      <c r="N724" s="21">
        <f>IF(ISERROR(VLOOKUP($F724,#REF!,6,0)*I724/1000),0,VLOOKUP($F724,#REF!,6,0)*I724/1000)</f>
        <v>0</v>
      </c>
      <c r="O724" s="21">
        <f>IF(ISERROR(VLOOKUP($F724,#REF!,6,0)*J724/1000),0,VLOOKUP($F724,#REF!,6,0)*J724/1000)</f>
        <v>0</v>
      </c>
      <c r="P724" s="21">
        <f>IF(ISERROR(VLOOKUP(F724,#REF!,6,0)*K724/1000),0,VLOOKUP(F724,#REF!,6,0)*K724/1000)</f>
        <v>0</v>
      </c>
      <c r="Q724" s="6">
        <f>IF(ISERROR(VLOOKUP(F724,#REF!,3,0)),0,VLOOKUP(F724,#REF!,3,0))</f>
        <v>0</v>
      </c>
      <c r="R724" s="6">
        <f>IF(ISERROR(VLOOKUP(F724,#REF!,4,0)),0,VLOOKUP(F724,#REF!,4,0))</f>
        <v>0</v>
      </c>
      <c r="S724" s="8">
        <f>IF(ISERROR(VLOOKUP(F724,#REF!,4,0)),0,VLOOKUP(F724,#REF!,10,0)/60*K724)</f>
        <v>0</v>
      </c>
      <c r="T724" s="3"/>
      <c r="U724" s="3"/>
      <c r="V724" s="4"/>
    </row>
    <row r="725" spans="1:22" x14ac:dyDescent="0.3">
      <c r="A725" s="5">
        <f t="shared" si="34"/>
        <v>0</v>
      </c>
      <c r="B725" s="6">
        <f t="shared" si="35"/>
        <v>0</v>
      </c>
      <c r="K725" s="18">
        <f t="shared" si="33"/>
        <v>0</v>
      </c>
      <c r="L725" s="21">
        <f>IF(ISERROR(VLOOKUP($F725,#REF!,6,0)*G725/1000),0,VLOOKUP($F725,#REF!,6,0)*G725/1000)</f>
        <v>0</v>
      </c>
      <c r="M725" s="21">
        <f>IF(ISERROR(VLOOKUP($F725,#REF!,6,0)*H725/1000),0,VLOOKUP($F725,#REF!,6,0)*H725/1000)</f>
        <v>0</v>
      </c>
      <c r="N725" s="21">
        <f>IF(ISERROR(VLOOKUP($F725,#REF!,6,0)*I725/1000),0,VLOOKUP($F725,#REF!,6,0)*I725/1000)</f>
        <v>0</v>
      </c>
      <c r="O725" s="21">
        <f>IF(ISERROR(VLOOKUP($F725,#REF!,6,0)*J725/1000),0,VLOOKUP($F725,#REF!,6,0)*J725/1000)</f>
        <v>0</v>
      </c>
      <c r="P725" s="21">
        <f>IF(ISERROR(VLOOKUP(F725,#REF!,6,0)*K725/1000),0,VLOOKUP(F725,#REF!,6,0)*K725/1000)</f>
        <v>0</v>
      </c>
      <c r="Q725" s="6">
        <f>IF(ISERROR(VLOOKUP(F725,#REF!,3,0)),0,VLOOKUP(F725,#REF!,3,0))</f>
        <v>0</v>
      </c>
      <c r="R725" s="6">
        <f>IF(ISERROR(VLOOKUP(F725,#REF!,4,0)),0,VLOOKUP(F725,#REF!,4,0))</f>
        <v>0</v>
      </c>
      <c r="S725" s="8">
        <f>IF(ISERROR(VLOOKUP(F725,#REF!,4,0)),0,VLOOKUP(F725,#REF!,10,0)/60*K725)</f>
        <v>0</v>
      </c>
      <c r="T725" s="3"/>
      <c r="U725" s="3"/>
      <c r="V725" s="4"/>
    </row>
    <row r="726" spans="1:22" x14ac:dyDescent="0.3">
      <c r="A726" s="5">
        <f t="shared" si="34"/>
        <v>0</v>
      </c>
      <c r="B726" s="6">
        <f t="shared" si="35"/>
        <v>0</v>
      </c>
      <c r="K726" s="18">
        <f t="shared" si="33"/>
        <v>0</v>
      </c>
      <c r="L726" s="21">
        <f>IF(ISERROR(VLOOKUP($F726,#REF!,6,0)*G726/1000),0,VLOOKUP($F726,#REF!,6,0)*G726/1000)</f>
        <v>0</v>
      </c>
      <c r="M726" s="21">
        <f>IF(ISERROR(VLOOKUP($F726,#REF!,6,0)*H726/1000),0,VLOOKUP($F726,#REF!,6,0)*H726/1000)</f>
        <v>0</v>
      </c>
      <c r="N726" s="21">
        <f>IF(ISERROR(VLOOKUP($F726,#REF!,6,0)*I726/1000),0,VLOOKUP($F726,#REF!,6,0)*I726/1000)</f>
        <v>0</v>
      </c>
      <c r="O726" s="21">
        <f>IF(ISERROR(VLOOKUP($F726,#REF!,6,0)*J726/1000),0,VLOOKUP($F726,#REF!,6,0)*J726/1000)</f>
        <v>0</v>
      </c>
      <c r="P726" s="21">
        <f>IF(ISERROR(VLOOKUP(F726,#REF!,6,0)*K726/1000),0,VLOOKUP(F726,#REF!,6,0)*K726/1000)</f>
        <v>0</v>
      </c>
      <c r="Q726" s="6">
        <f>IF(ISERROR(VLOOKUP(F726,#REF!,3,0)),0,VLOOKUP(F726,#REF!,3,0))</f>
        <v>0</v>
      </c>
      <c r="R726" s="6">
        <f>IF(ISERROR(VLOOKUP(F726,#REF!,4,0)),0,VLOOKUP(F726,#REF!,4,0))</f>
        <v>0</v>
      </c>
      <c r="S726" s="8">
        <f>IF(ISERROR(VLOOKUP(F726,#REF!,4,0)),0,VLOOKUP(F726,#REF!,10,0)/60*K726)</f>
        <v>0</v>
      </c>
      <c r="T726" s="3"/>
      <c r="U726" s="3"/>
      <c r="V726" s="4"/>
    </row>
    <row r="727" spans="1:22" x14ac:dyDescent="0.3">
      <c r="A727" s="5">
        <f t="shared" si="34"/>
        <v>0</v>
      </c>
      <c r="B727" s="6">
        <f t="shared" si="35"/>
        <v>0</v>
      </c>
      <c r="K727" s="18">
        <f t="shared" si="33"/>
        <v>0</v>
      </c>
      <c r="L727" s="21">
        <f>IF(ISERROR(VLOOKUP($F727,#REF!,6,0)*G727/1000),0,VLOOKUP($F727,#REF!,6,0)*G727/1000)</f>
        <v>0</v>
      </c>
      <c r="M727" s="21">
        <f>IF(ISERROR(VLOOKUP($F727,#REF!,6,0)*H727/1000),0,VLOOKUP($F727,#REF!,6,0)*H727/1000)</f>
        <v>0</v>
      </c>
      <c r="N727" s="21">
        <f>IF(ISERROR(VLOOKUP($F727,#REF!,6,0)*I727/1000),0,VLOOKUP($F727,#REF!,6,0)*I727/1000)</f>
        <v>0</v>
      </c>
      <c r="O727" s="21">
        <f>IF(ISERROR(VLOOKUP($F727,#REF!,6,0)*J727/1000),0,VLOOKUP($F727,#REF!,6,0)*J727/1000)</f>
        <v>0</v>
      </c>
      <c r="P727" s="21">
        <f>IF(ISERROR(VLOOKUP(F727,#REF!,6,0)*K727/1000),0,VLOOKUP(F727,#REF!,6,0)*K727/1000)</f>
        <v>0</v>
      </c>
      <c r="Q727" s="6">
        <f>IF(ISERROR(VLOOKUP(F727,#REF!,3,0)),0,VLOOKUP(F727,#REF!,3,0))</f>
        <v>0</v>
      </c>
      <c r="R727" s="6">
        <f>IF(ISERROR(VLOOKUP(F727,#REF!,4,0)),0,VLOOKUP(F727,#REF!,4,0))</f>
        <v>0</v>
      </c>
      <c r="S727" s="8">
        <f>IF(ISERROR(VLOOKUP(F727,#REF!,4,0)),0,VLOOKUP(F727,#REF!,10,0)/60*K727)</f>
        <v>0</v>
      </c>
      <c r="T727" s="3"/>
      <c r="U727" s="3"/>
      <c r="V727" s="4"/>
    </row>
    <row r="728" spans="1:22" x14ac:dyDescent="0.3">
      <c r="A728" s="5">
        <f t="shared" si="34"/>
        <v>0</v>
      </c>
      <c r="B728" s="6">
        <f t="shared" si="35"/>
        <v>0</v>
      </c>
      <c r="K728" s="18">
        <f t="shared" si="33"/>
        <v>0</v>
      </c>
      <c r="L728" s="21">
        <f>IF(ISERROR(VLOOKUP($F728,#REF!,6,0)*G728/1000),0,VLOOKUP($F728,#REF!,6,0)*G728/1000)</f>
        <v>0</v>
      </c>
      <c r="M728" s="21">
        <f>IF(ISERROR(VLOOKUP($F728,#REF!,6,0)*H728/1000),0,VLOOKUP($F728,#REF!,6,0)*H728/1000)</f>
        <v>0</v>
      </c>
      <c r="N728" s="21">
        <f>IF(ISERROR(VLOOKUP($F728,#REF!,6,0)*I728/1000),0,VLOOKUP($F728,#REF!,6,0)*I728/1000)</f>
        <v>0</v>
      </c>
      <c r="O728" s="21">
        <f>IF(ISERROR(VLOOKUP($F728,#REF!,6,0)*J728/1000),0,VLOOKUP($F728,#REF!,6,0)*J728/1000)</f>
        <v>0</v>
      </c>
      <c r="P728" s="21">
        <f>IF(ISERROR(VLOOKUP(F728,#REF!,6,0)*K728/1000),0,VLOOKUP(F728,#REF!,6,0)*K728/1000)</f>
        <v>0</v>
      </c>
      <c r="Q728" s="6">
        <f>IF(ISERROR(VLOOKUP(F728,#REF!,3,0)),0,VLOOKUP(F728,#REF!,3,0))</f>
        <v>0</v>
      </c>
      <c r="R728" s="6">
        <f>IF(ISERROR(VLOOKUP(F728,#REF!,4,0)),0,VLOOKUP(F728,#REF!,4,0))</f>
        <v>0</v>
      </c>
      <c r="S728" s="8">
        <f>IF(ISERROR(VLOOKUP(F728,#REF!,4,0)),0,VLOOKUP(F728,#REF!,10,0)/60*K728)</f>
        <v>0</v>
      </c>
      <c r="T728" s="3"/>
      <c r="U728" s="3"/>
      <c r="V728" s="4"/>
    </row>
    <row r="729" spans="1:22" x14ac:dyDescent="0.3">
      <c r="A729" s="5">
        <f t="shared" si="34"/>
        <v>0</v>
      </c>
      <c r="B729" s="6">
        <f t="shared" si="35"/>
        <v>0</v>
      </c>
      <c r="K729" s="18">
        <f t="shared" si="33"/>
        <v>0</v>
      </c>
      <c r="L729" s="21">
        <f>IF(ISERROR(VLOOKUP($F729,#REF!,6,0)*G729/1000),0,VLOOKUP($F729,#REF!,6,0)*G729/1000)</f>
        <v>0</v>
      </c>
      <c r="M729" s="21">
        <f>IF(ISERROR(VLOOKUP($F729,#REF!,6,0)*H729/1000),0,VLOOKUP($F729,#REF!,6,0)*H729/1000)</f>
        <v>0</v>
      </c>
      <c r="N729" s="21">
        <f>IF(ISERROR(VLOOKUP($F729,#REF!,6,0)*I729/1000),0,VLOOKUP($F729,#REF!,6,0)*I729/1000)</f>
        <v>0</v>
      </c>
      <c r="O729" s="21">
        <f>IF(ISERROR(VLOOKUP($F729,#REF!,6,0)*J729/1000),0,VLOOKUP($F729,#REF!,6,0)*J729/1000)</f>
        <v>0</v>
      </c>
      <c r="P729" s="21">
        <f>IF(ISERROR(VLOOKUP(F729,#REF!,6,0)*K729/1000),0,VLOOKUP(F729,#REF!,6,0)*K729/1000)</f>
        <v>0</v>
      </c>
      <c r="Q729" s="6">
        <f>IF(ISERROR(VLOOKUP(F729,#REF!,3,0)),0,VLOOKUP(F729,#REF!,3,0))</f>
        <v>0</v>
      </c>
      <c r="R729" s="6">
        <f>IF(ISERROR(VLOOKUP(F729,#REF!,4,0)),0,VLOOKUP(F729,#REF!,4,0))</f>
        <v>0</v>
      </c>
      <c r="S729" s="8">
        <f>IF(ISERROR(VLOOKUP(F729,#REF!,4,0)),0,VLOOKUP(F729,#REF!,10,0)/60*K729)</f>
        <v>0</v>
      </c>
      <c r="T729" s="3"/>
      <c r="U729" s="3"/>
      <c r="V729" s="4"/>
    </row>
    <row r="730" spans="1:22" x14ac:dyDescent="0.3">
      <c r="A730" s="5">
        <f t="shared" si="34"/>
        <v>0</v>
      </c>
      <c r="B730" s="6">
        <f t="shared" si="35"/>
        <v>0</v>
      </c>
      <c r="K730" s="18">
        <f t="shared" si="33"/>
        <v>0</v>
      </c>
      <c r="L730" s="21">
        <f>IF(ISERROR(VLOOKUP($F730,#REF!,6,0)*G730/1000),0,VLOOKUP($F730,#REF!,6,0)*G730/1000)</f>
        <v>0</v>
      </c>
      <c r="M730" s="21">
        <f>IF(ISERROR(VLOOKUP($F730,#REF!,6,0)*H730/1000),0,VLOOKUP($F730,#REF!,6,0)*H730/1000)</f>
        <v>0</v>
      </c>
      <c r="N730" s="21">
        <f>IF(ISERROR(VLOOKUP($F730,#REF!,6,0)*I730/1000),0,VLOOKUP($F730,#REF!,6,0)*I730/1000)</f>
        <v>0</v>
      </c>
      <c r="O730" s="21">
        <f>IF(ISERROR(VLOOKUP($F730,#REF!,6,0)*J730/1000),0,VLOOKUP($F730,#REF!,6,0)*J730/1000)</f>
        <v>0</v>
      </c>
      <c r="P730" s="21">
        <f>IF(ISERROR(VLOOKUP(F730,#REF!,6,0)*K730/1000),0,VLOOKUP(F730,#REF!,6,0)*K730/1000)</f>
        <v>0</v>
      </c>
      <c r="Q730" s="6">
        <f>IF(ISERROR(VLOOKUP(F730,#REF!,3,0)),0,VLOOKUP(F730,#REF!,3,0))</f>
        <v>0</v>
      </c>
      <c r="R730" s="6">
        <f>IF(ISERROR(VLOOKUP(F730,#REF!,4,0)),0,VLOOKUP(F730,#REF!,4,0))</f>
        <v>0</v>
      </c>
      <c r="S730" s="8">
        <f>IF(ISERROR(VLOOKUP(F730,#REF!,4,0)),0,VLOOKUP(F730,#REF!,10,0)/60*K730)</f>
        <v>0</v>
      </c>
      <c r="T730" s="3"/>
      <c r="U730" s="3"/>
      <c r="V730" s="4"/>
    </row>
    <row r="731" spans="1:22" x14ac:dyDescent="0.3">
      <c r="A731" s="5">
        <f t="shared" si="34"/>
        <v>0</v>
      </c>
      <c r="B731" s="6">
        <f t="shared" si="35"/>
        <v>0</v>
      </c>
      <c r="K731" s="18">
        <f t="shared" si="33"/>
        <v>0</v>
      </c>
      <c r="L731" s="21">
        <f>IF(ISERROR(VLOOKUP($F731,#REF!,6,0)*G731/1000),0,VLOOKUP($F731,#REF!,6,0)*G731/1000)</f>
        <v>0</v>
      </c>
      <c r="M731" s="21">
        <f>IF(ISERROR(VLOOKUP($F731,#REF!,6,0)*H731/1000),0,VLOOKUP($F731,#REF!,6,0)*H731/1000)</f>
        <v>0</v>
      </c>
      <c r="N731" s="21">
        <f>IF(ISERROR(VLOOKUP($F731,#REF!,6,0)*I731/1000),0,VLOOKUP($F731,#REF!,6,0)*I731/1000)</f>
        <v>0</v>
      </c>
      <c r="O731" s="21">
        <f>IF(ISERROR(VLOOKUP($F731,#REF!,6,0)*J731/1000),0,VLOOKUP($F731,#REF!,6,0)*J731/1000)</f>
        <v>0</v>
      </c>
      <c r="P731" s="21">
        <f>IF(ISERROR(VLOOKUP(F731,#REF!,6,0)*K731/1000),0,VLOOKUP(F731,#REF!,6,0)*K731/1000)</f>
        <v>0</v>
      </c>
      <c r="Q731" s="6">
        <f>IF(ISERROR(VLOOKUP(F731,#REF!,3,0)),0,VLOOKUP(F731,#REF!,3,0))</f>
        <v>0</v>
      </c>
      <c r="R731" s="6">
        <f>IF(ISERROR(VLOOKUP(F731,#REF!,4,0)),0,VLOOKUP(F731,#REF!,4,0))</f>
        <v>0</v>
      </c>
      <c r="S731" s="8">
        <f>IF(ISERROR(VLOOKUP(F731,#REF!,4,0)),0,VLOOKUP(F731,#REF!,10,0)/60*K731)</f>
        <v>0</v>
      </c>
      <c r="T731" s="3"/>
      <c r="U731" s="3"/>
      <c r="V731" s="4"/>
    </row>
    <row r="732" spans="1:22" x14ac:dyDescent="0.3">
      <c r="A732" s="5">
        <f t="shared" si="34"/>
        <v>0</v>
      </c>
      <c r="B732" s="6">
        <f t="shared" si="35"/>
        <v>0</v>
      </c>
      <c r="K732" s="18">
        <f t="shared" si="33"/>
        <v>0</v>
      </c>
      <c r="L732" s="21">
        <f>IF(ISERROR(VLOOKUP($F732,#REF!,6,0)*G732/1000),0,VLOOKUP($F732,#REF!,6,0)*G732/1000)</f>
        <v>0</v>
      </c>
      <c r="M732" s="21">
        <f>IF(ISERROR(VLOOKUP($F732,#REF!,6,0)*H732/1000),0,VLOOKUP($F732,#REF!,6,0)*H732/1000)</f>
        <v>0</v>
      </c>
      <c r="N732" s="21">
        <f>IF(ISERROR(VLOOKUP($F732,#REF!,6,0)*I732/1000),0,VLOOKUP($F732,#REF!,6,0)*I732/1000)</f>
        <v>0</v>
      </c>
      <c r="O732" s="21">
        <f>IF(ISERROR(VLOOKUP($F732,#REF!,6,0)*J732/1000),0,VLOOKUP($F732,#REF!,6,0)*J732/1000)</f>
        <v>0</v>
      </c>
      <c r="P732" s="21">
        <f>IF(ISERROR(VLOOKUP(F732,#REF!,6,0)*K732/1000),0,VLOOKUP(F732,#REF!,6,0)*K732/1000)</f>
        <v>0</v>
      </c>
      <c r="Q732" s="6">
        <f>IF(ISERROR(VLOOKUP(F732,#REF!,3,0)),0,VLOOKUP(F732,#REF!,3,0))</f>
        <v>0</v>
      </c>
      <c r="R732" s="6">
        <f>IF(ISERROR(VLOOKUP(F732,#REF!,4,0)),0,VLOOKUP(F732,#REF!,4,0))</f>
        <v>0</v>
      </c>
      <c r="S732" s="8">
        <f>IF(ISERROR(VLOOKUP(F732,#REF!,4,0)),0,VLOOKUP(F732,#REF!,10,0)/60*K732)</f>
        <v>0</v>
      </c>
      <c r="T732" s="3"/>
      <c r="U732" s="3"/>
      <c r="V732" s="4"/>
    </row>
    <row r="733" spans="1:22" x14ac:dyDescent="0.3">
      <c r="A733" s="5">
        <f t="shared" si="34"/>
        <v>0</v>
      </c>
      <c r="B733" s="6">
        <f t="shared" si="35"/>
        <v>0</v>
      </c>
      <c r="K733" s="18">
        <f t="shared" si="33"/>
        <v>0</v>
      </c>
      <c r="L733" s="21">
        <f>IF(ISERROR(VLOOKUP($F733,#REF!,6,0)*G733/1000),0,VLOOKUP($F733,#REF!,6,0)*G733/1000)</f>
        <v>0</v>
      </c>
      <c r="M733" s="21">
        <f>IF(ISERROR(VLOOKUP($F733,#REF!,6,0)*H733/1000),0,VLOOKUP($F733,#REF!,6,0)*H733/1000)</f>
        <v>0</v>
      </c>
      <c r="N733" s="21">
        <f>IF(ISERROR(VLOOKUP($F733,#REF!,6,0)*I733/1000),0,VLOOKUP($F733,#REF!,6,0)*I733/1000)</f>
        <v>0</v>
      </c>
      <c r="O733" s="21">
        <f>IF(ISERROR(VLOOKUP($F733,#REF!,6,0)*J733/1000),0,VLOOKUP($F733,#REF!,6,0)*J733/1000)</f>
        <v>0</v>
      </c>
      <c r="P733" s="21">
        <f>IF(ISERROR(VLOOKUP(F733,#REF!,6,0)*K733/1000),0,VLOOKUP(F733,#REF!,6,0)*K733/1000)</f>
        <v>0</v>
      </c>
      <c r="Q733" s="6">
        <f>IF(ISERROR(VLOOKUP(F733,#REF!,3,0)),0,VLOOKUP(F733,#REF!,3,0))</f>
        <v>0</v>
      </c>
      <c r="R733" s="6">
        <f>IF(ISERROR(VLOOKUP(F733,#REF!,4,0)),0,VLOOKUP(F733,#REF!,4,0))</f>
        <v>0</v>
      </c>
      <c r="S733" s="8">
        <f>IF(ISERROR(VLOOKUP(F733,#REF!,4,0)),0,VLOOKUP(F733,#REF!,10,0)/60*K733)</f>
        <v>0</v>
      </c>
      <c r="T733" s="3"/>
      <c r="U733" s="3"/>
      <c r="V733" s="4"/>
    </row>
    <row r="734" spans="1:22" x14ac:dyDescent="0.3">
      <c r="A734" s="5">
        <f t="shared" si="34"/>
        <v>0</v>
      </c>
      <c r="B734" s="6">
        <f t="shared" si="35"/>
        <v>0</v>
      </c>
      <c r="K734" s="18">
        <f t="shared" si="33"/>
        <v>0</v>
      </c>
      <c r="L734" s="21">
        <f>IF(ISERROR(VLOOKUP($F734,#REF!,6,0)*G734/1000),0,VLOOKUP($F734,#REF!,6,0)*G734/1000)</f>
        <v>0</v>
      </c>
      <c r="M734" s="21">
        <f>IF(ISERROR(VLOOKUP($F734,#REF!,6,0)*H734/1000),0,VLOOKUP($F734,#REF!,6,0)*H734/1000)</f>
        <v>0</v>
      </c>
      <c r="N734" s="21">
        <f>IF(ISERROR(VLOOKUP($F734,#REF!,6,0)*I734/1000),0,VLOOKUP($F734,#REF!,6,0)*I734/1000)</f>
        <v>0</v>
      </c>
      <c r="O734" s="21">
        <f>IF(ISERROR(VLOOKUP($F734,#REF!,6,0)*J734/1000),0,VLOOKUP($F734,#REF!,6,0)*J734/1000)</f>
        <v>0</v>
      </c>
      <c r="P734" s="21">
        <f>IF(ISERROR(VLOOKUP(F734,#REF!,6,0)*K734/1000),0,VLOOKUP(F734,#REF!,6,0)*K734/1000)</f>
        <v>0</v>
      </c>
      <c r="Q734" s="6">
        <f>IF(ISERROR(VLOOKUP(F734,#REF!,3,0)),0,VLOOKUP(F734,#REF!,3,0))</f>
        <v>0</v>
      </c>
      <c r="R734" s="6">
        <f>IF(ISERROR(VLOOKUP(F734,#REF!,4,0)),0,VLOOKUP(F734,#REF!,4,0))</f>
        <v>0</v>
      </c>
      <c r="S734" s="8">
        <f>IF(ISERROR(VLOOKUP(F734,#REF!,4,0)),0,VLOOKUP(F734,#REF!,10,0)/60*K734)</f>
        <v>0</v>
      </c>
      <c r="T734" s="3"/>
      <c r="U734" s="3"/>
      <c r="V734" s="4"/>
    </row>
    <row r="735" spans="1:22" x14ac:dyDescent="0.3">
      <c r="A735" s="5">
        <f t="shared" si="34"/>
        <v>0</v>
      </c>
      <c r="B735" s="6">
        <f t="shared" si="35"/>
        <v>0</v>
      </c>
      <c r="K735" s="18">
        <f t="shared" si="33"/>
        <v>0</v>
      </c>
      <c r="L735" s="21">
        <f>IF(ISERROR(VLOOKUP($F735,#REF!,6,0)*G735/1000),0,VLOOKUP($F735,#REF!,6,0)*G735/1000)</f>
        <v>0</v>
      </c>
      <c r="M735" s="21">
        <f>IF(ISERROR(VLOOKUP($F735,#REF!,6,0)*H735/1000),0,VLOOKUP($F735,#REF!,6,0)*H735/1000)</f>
        <v>0</v>
      </c>
      <c r="N735" s="21">
        <f>IF(ISERROR(VLOOKUP($F735,#REF!,6,0)*I735/1000),0,VLOOKUP($F735,#REF!,6,0)*I735/1000)</f>
        <v>0</v>
      </c>
      <c r="O735" s="21">
        <f>IF(ISERROR(VLOOKUP($F735,#REF!,6,0)*J735/1000),0,VLOOKUP($F735,#REF!,6,0)*J735/1000)</f>
        <v>0</v>
      </c>
      <c r="P735" s="21">
        <f>IF(ISERROR(VLOOKUP(F735,#REF!,6,0)*K735/1000),0,VLOOKUP(F735,#REF!,6,0)*K735/1000)</f>
        <v>0</v>
      </c>
      <c r="Q735" s="6">
        <f>IF(ISERROR(VLOOKUP(F735,#REF!,3,0)),0,VLOOKUP(F735,#REF!,3,0))</f>
        <v>0</v>
      </c>
      <c r="R735" s="6">
        <f>IF(ISERROR(VLOOKUP(F735,#REF!,4,0)),0,VLOOKUP(F735,#REF!,4,0))</f>
        <v>0</v>
      </c>
      <c r="S735" s="8">
        <f>IF(ISERROR(VLOOKUP(F735,#REF!,4,0)),0,VLOOKUP(F735,#REF!,10,0)/60*K735)</f>
        <v>0</v>
      </c>
      <c r="T735" s="3"/>
      <c r="U735" s="3"/>
      <c r="V735" s="4"/>
    </row>
    <row r="736" spans="1:22" x14ac:dyDescent="0.3">
      <c r="A736" s="5">
        <f t="shared" si="34"/>
        <v>0</v>
      </c>
      <c r="B736" s="6">
        <f t="shared" si="35"/>
        <v>0</v>
      </c>
      <c r="K736" s="18">
        <f t="shared" si="33"/>
        <v>0</v>
      </c>
      <c r="L736" s="21">
        <f>IF(ISERROR(VLOOKUP($F736,#REF!,6,0)*G736/1000),0,VLOOKUP($F736,#REF!,6,0)*G736/1000)</f>
        <v>0</v>
      </c>
      <c r="M736" s="21">
        <f>IF(ISERROR(VLOOKUP($F736,#REF!,6,0)*H736/1000),0,VLOOKUP($F736,#REF!,6,0)*H736/1000)</f>
        <v>0</v>
      </c>
      <c r="N736" s="21">
        <f>IF(ISERROR(VLOOKUP($F736,#REF!,6,0)*I736/1000),0,VLOOKUP($F736,#REF!,6,0)*I736/1000)</f>
        <v>0</v>
      </c>
      <c r="O736" s="21">
        <f>IF(ISERROR(VLOOKUP($F736,#REF!,6,0)*J736/1000),0,VLOOKUP($F736,#REF!,6,0)*J736/1000)</f>
        <v>0</v>
      </c>
      <c r="P736" s="21">
        <f>IF(ISERROR(VLOOKUP(F736,#REF!,6,0)*K736/1000),0,VLOOKUP(F736,#REF!,6,0)*K736/1000)</f>
        <v>0</v>
      </c>
      <c r="Q736" s="6">
        <f>IF(ISERROR(VLOOKUP(F736,#REF!,3,0)),0,VLOOKUP(F736,#REF!,3,0))</f>
        <v>0</v>
      </c>
      <c r="R736" s="6">
        <f>IF(ISERROR(VLOOKUP(F736,#REF!,4,0)),0,VLOOKUP(F736,#REF!,4,0))</f>
        <v>0</v>
      </c>
      <c r="S736" s="8">
        <f>IF(ISERROR(VLOOKUP(F736,#REF!,4,0)),0,VLOOKUP(F736,#REF!,10,0)/60*K736)</f>
        <v>0</v>
      </c>
      <c r="T736" s="3"/>
      <c r="U736" s="3"/>
      <c r="V736" s="4"/>
    </row>
    <row r="737" spans="1:22" x14ac:dyDescent="0.3">
      <c r="A737" s="5">
        <f t="shared" si="34"/>
        <v>0</v>
      </c>
      <c r="B737" s="6">
        <f t="shared" si="35"/>
        <v>0</v>
      </c>
      <c r="K737" s="18">
        <f t="shared" si="33"/>
        <v>0</v>
      </c>
      <c r="L737" s="21">
        <f>IF(ISERROR(VLOOKUP($F737,#REF!,6,0)*G737/1000),0,VLOOKUP($F737,#REF!,6,0)*G737/1000)</f>
        <v>0</v>
      </c>
      <c r="M737" s="21">
        <f>IF(ISERROR(VLOOKUP($F737,#REF!,6,0)*H737/1000),0,VLOOKUP($F737,#REF!,6,0)*H737/1000)</f>
        <v>0</v>
      </c>
      <c r="N737" s="21">
        <f>IF(ISERROR(VLOOKUP($F737,#REF!,6,0)*I737/1000),0,VLOOKUP($F737,#REF!,6,0)*I737/1000)</f>
        <v>0</v>
      </c>
      <c r="O737" s="21">
        <f>IF(ISERROR(VLOOKUP($F737,#REF!,6,0)*J737/1000),0,VLOOKUP($F737,#REF!,6,0)*J737/1000)</f>
        <v>0</v>
      </c>
      <c r="P737" s="21">
        <f>IF(ISERROR(VLOOKUP(F737,#REF!,6,0)*K737/1000),0,VLOOKUP(F737,#REF!,6,0)*K737/1000)</f>
        <v>0</v>
      </c>
      <c r="Q737" s="6">
        <f>IF(ISERROR(VLOOKUP(F737,#REF!,3,0)),0,VLOOKUP(F737,#REF!,3,0))</f>
        <v>0</v>
      </c>
      <c r="R737" s="6">
        <f>IF(ISERROR(VLOOKUP(F737,#REF!,4,0)),0,VLOOKUP(F737,#REF!,4,0))</f>
        <v>0</v>
      </c>
      <c r="S737" s="8">
        <f>IF(ISERROR(VLOOKUP(F737,#REF!,4,0)),0,VLOOKUP(F737,#REF!,10,0)/60*K737)</f>
        <v>0</v>
      </c>
      <c r="T737" s="3"/>
      <c r="U737" s="3"/>
      <c r="V737" s="4"/>
    </row>
    <row r="738" spans="1:22" x14ac:dyDescent="0.3">
      <c r="A738" s="5">
        <f t="shared" si="34"/>
        <v>0</v>
      </c>
      <c r="B738" s="6">
        <f t="shared" si="35"/>
        <v>0</v>
      </c>
      <c r="K738" s="18">
        <f t="shared" si="33"/>
        <v>0</v>
      </c>
      <c r="L738" s="21">
        <f>IF(ISERROR(VLOOKUP($F738,#REF!,6,0)*G738/1000),0,VLOOKUP($F738,#REF!,6,0)*G738/1000)</f>
        <v>0</v>
      </c>
      <c r="M738" s="21">
        <f>IF(ISERROR(VLOOKUP($F738,#REF!,6,0)*H738/1000),0,VLOOKUP($F738,#REF!,6,0)*H738/1000)</f>
        <v>0</v>
      </c>
      <c r="N738" s="21">
        <f>IF(ISERROR(VLOOKUP($F738,#REF!,6,0)*I738/1000),0,VLOOKUP($F738,#REF!,6,0)*I738/1000)</f>
        <v>0</v>
      </c>
      <c r="O738" s="21">
        <f>IF(ISERROR(VLOOKUP($F738,#REF!,6,0)*J738/1000),0,VLOOKUP($F738,#REF!,6,0)*J738/1000)</f>
        <v>0</v>
      </c>
      <c r="P738" s="21">
        <f>IF(ISERROR(VLOOKUP(F738,#REF!,6,0)*K738/1000),0,VLOOKUP(F738,#REF!,6,0)*K738/1000)</f>
        <v>0</v>
      </c>
      <c r="Q738" s="6">
        <f>IF(ISERROR(VLOOKUP(F738,#REF!,3,0)),0,VLOOKUP(F738,#REF!,3,0))</f>
        <v>0</v>
      </c>
      <c r="R738" s="6">
        <f>IF(ISERROR(VLOOKUP(F738,#REF!,4,0)),0,VLOOKUP(F738,#REF!,4,0))</f>
        <v>0</v>
      </c>
      <c r="S738" s="8">
        <f>IF(ISERROR(VLOOKUP(F738,#REF!,4,0)),0,VLOOKUP(F738,#REF!,10,0)/60*K738)</f>
        <v>0</v>
      </c>
      <c r="T738" s="3"/>
      <c r="U738" s="3"/>
      <c r="V738" s="4"/>
    </row>
    <row r="739" spans="1:22" x14ac:dyDescent="0.3">
      <c r="A739" s="5">
        <f t="shared" si="34"/>
        <v>0</v>
      </c>
      <c r="B739" s="6">
        <f t="shared" si="35"/>
        <v>0</v>
      </c>
      <c r="K739" s="18">
        <f t="shared" si="33"/>
        <v>0</v>
      </c>
      <c r="L739" s="21">
        <f>IF(ISERROR(VLOOKUP($F739,#REF!,6,0)*G739/1000),0,VLOOKUP($F739,#REF!,6,0)*G739/1000)</f>
        <v>0</v>
      </c>
      <c r="M739" s="21">
        <f>IF(ISERROR(VLOOKUP($F739,#REF!,6,0)*H739/1000),0,VLOOKUP($F739,#REF!,6,0)*H739/1000)</f>
        <v>0</v>
      </c>
      <c r="N739" s="21">
        <f>IF(ISERROR(VLOOKUP($F739,#REF!,6,0)*I739/1000),0,VLOOKUP($F739,#REF!,6,0)*I739/1000)</f>
        <v>0</v>
      </c>
      <c r="O739" s="21">
        <f>IF(ISERROR(VLOOKUP($F739,#REF!,6,0)*J739/1000),0,VLOOKUP($F739,#REF!,6,0)*J739/1000)</f>
        <v>0</v>
      </c>
      <c r="P739" s="21">
        <f>IF(ISERROR(VLOOKUP(F739,#REF!,6,0)*K739/1000),0,VLOOKUP(F739,#REF!,6,0)*K739/1000)</f>
        <v>0</v>
      </c>
      <c r="Q739" s="6">
        <f>IF(ISERROR(VLOOKUP(F739,#REF!,3,0)),0,VLOOKUP(F739,#REF!,3,0))</f>
        <v>0</v>
      </c>
      <c r="R739" s="6">
        <f>IF(ISERROR(VLOOKUP(F739,#REF!,4,0)),0,VLOOKUP(F739,#REF!,4,0))</f>
        <v>0</v>
      </c>
      <c r="S739" s="8">
        <f>IF(ISERROR(VLOOKUP(F739,#REF!,4,0)),0,VLOOKUP(F739,#REF!,10,0)/60*K739)</f>
        <v>0</v>
      </c>
      <c r="T739" s="3"/>
      <c r="U739" s="3"/>
      <c r="V739" s="4"/>
    </row>
    <row r="740" spans="1:22" x14ac:dyDescent="0.3">
      <c r="A740" s="5">
        <f t="shared" si="34"/>
        <v>0</v>
      </c>
      <c r="B740" s="6">
        <f t="shared" si="35"/>
        <v>0</v>
      </c>
      <c r="K740" s="18">
        <f t="shared" si="33"/>
        <v>0</v>
      </c>
      <c r="L740" s="21">
        <f>IF(ISERROR(VLOOKUP($F740,#REF!,6,0)*G740/1000),0,VLOOKUP($F740,#REF!,6,0)*G740/1000)</f>
        <v>0</v>
      </c>
      <c r="M740" s="21">
        <f>IF(ISERROR(VLOOKUP($F740,#REF!,6,0)*H740/1000),0,VLOOKUP($F740,#REF!,6,0)*H740/1000)</f>
        <v>0</v>
      </c>
      <c r="N740" s="21">
        <f>IF(ISERROR(VLOOKUP($F740,#REF!,6,0)*I740/1000),0,VLOOKUP($F740,#REF!,6,0)*I740/1000)</f>
        <v>0</v>
      </c>
      <c r="O740" s="21">
        <f>IF(ISERROR(VLOOKUP($F740,#REF!,6,0)*J740/1000),0,VLOOKUP($F740,#REF!,6,0)*J740/1000)</f>
        <v>0</v>
      </c>
      <c r="P740" s="21">
        <f>IF(ISERROR(VLOOKUP(F740,#REF!,6,0)*K740/1000),0,VLOOKUP(F740,#REF!,6,0)*K740/1000)</f>
        <v>0</v>
      </c>
      <c r="Q740" s="6">
        <f>IF(ISERROR(VLOOKUP(F740,#REF!,3,0)),0,VLOOKUP(F740,#REF!,3,0))</f>
        <v>0</v>
      </c>
      <c r="R740" s="6">
        <f>IF(ISERROR(VLOOKUP(F740,#REF!,4,0)),0,VLOOKUP(F740,#REF!,4,0))</f>
        <v>0</v>
      </c>
      <c r="S740" s="8">
        <f>IF(ISERROR(VLOOKUP(F740,#REF!,4,0)),0,VLOOKUP(F740,#REF!,10,0)/60*K740)</f>
        <v>0</v>
      </c>
      <c r="T740" s="3"/>
      <c r="U740" s="3"/>
      <c r="V740" s="4"/>
    </row>
    <row r="741" spans="1:22" x14ac:dyDescent="0.3">
      <c r="A741" s="5">
        <f t="shared" si="34"/>
        <v>0</v>
      </c>
      <c r="B741" s="6">
        <f t="shared" si="35"/>
        <v>0</v>
      </c>
      <c r="K741" s="18">
        <f t="shared" si="33"/>
        <v>0</v>
      </c>
      <c r="L741" s="21">
        <f>IF(ISERROR(VLOOKUP($F741,#REF!,6,0)*G741/1000),0,VLOOKUP($F741,#REF!,6,0)*G741/1000)</f>
        <v>0</v>
      </c>
      <c r="M741" s="21">
        <f>IF(ISERROR(VLOOKUP($F741,#REF!,6,0)*H741/1000),0,VLOOKUP($F741,#REF!,6,0)*H741/1000)</f>
        <v>0</v>
      </c>
      <c r="N741" s="21">
        <f>IF(ISERROR(VLOOKUP($F741,#REF!,6,0)*I741/1000),0,VLOOKUP($F741,#REF!,6,0)*I741/1000)</f>
        <v>0</v>
      </c>
      <c r="O741" s="21">
        <f>IF(ISERROR(VLOOKUP($F741,#REF!,6,0)*J741/1000),0,VLOOKUP($F741,#REF!,6,0)*J741/1000)</f>
        <v>0</v>
      </c>
      <c r="P741" s="21">
        <f>IF(ISERROR(VLOOKUP(F741,#REF!,6,0)*K741/1000),0,VLOOKUP(F741,#REF!,6,0)*K741/1000)</f>
        <v>0</v>
      </c>
      <c r="Q741" s="6">
        <f>IF(ISERROR(VLOOKUP(F741,#REF!,3,0)),0,VLOOKUP(F741,#REF!,3,0))</f>
        <v>0</v>
      </c>
      <c r="R741" s="6">
        <f>IF(ISERROR(VLOOKUP(F741,#REF!,4,0)),0,VLOOKUP(F741,#REF!,4,0))</f>
        <v>0</v>
      </c>
      <c r="S741" s="8">
        <f>IF(ISERROR(VLOOKUP(F741,#REF!,4,0)),0,VLOOKUP(F741,#REF!,10,0)/60*K741)</f>
        <v>0</v>
      </c>
      <c r="T741" s="3"/>
      <c r="U741" s="3"/>
      <c r="V741" s="4"/>
    </row>
    <row r="742" spans="1:22" x14ac:dyDescent="0.3">
      <c r="A742" s="5">
        <f t="shared" si="34"/>
        <v>0</v>
      </c>
      <c r="B742" s="6">
        <f t="shared" si="35"/>
        <v>0</v>
      </c>
      <c r="K742" s="18">
        <f t="shared" si="33"/>
        <v>0</v>
      </c>
      <c r="L742" s="21">
        <f>IF(ISERROR(VLOOKUP($F742,#REF!,6,0)*G742/1000),0,VLOOKUP($F742,#REF!,6,0)*G742/1000)</f>
        <v>0</v>
      </c>
      <c r="M742" s="21">
        <f>IF(ISERROR(VLOOKUP($F742,#REF!,6,0)*H742/1000),0,VLOOKUP($F742,#REF!,6,0)*H742/1000)</f>
        <v>0</v>
      </c>
      <c r="N742" s="21">
        <f>IF(ISERROR(VLOOKUP($F742,#REF!,6,0)*I742/1000),0,VLOOKUP($F742,#REF!,6,0)*I742/1000)</f>
        <v>0</v>
      </c>
      <c r="O742" s="21">
        <f>IF(ISERROR(VLOOKUP($F742,#REF!,6,0)*J742/1000),0,VLOOKUP($F742,#REF!,6,0)*J742/1000)</f>
        <v>0</v>
      </c>
      <c r="P742" s="21">
        <f>IF(ISERROR(VLOOKUP(F742,#REF!,6,0)*K742/1000),0,VLOOKUP(F742,#REF!,6,0)*K742/1000)</f>
        <v>0</v>
      </c>
      <c r="Q742" s="6">
        <f>IF(ISERROR(VLOOKUP(F742,#REF!,3,0)),0,VLOOKUP(F742,#REF!,3,0))</f>
        <v>0</v>
      </c>
      <c r="R742" s="6">
        <f>IF(ISERROR(VLOOKUP(F742,#REF!,4,0)),0,VLOOKUP(F742,#REF!,4,0))</f>
        <v>0</v>
      </c>
      <c r="S742" s="8">
        <f>IF(ISERROR(VLOOKUP(F742,#REF!,4,0)),0,VLOOKUP(F742,#REF!,10,0)/60*K742)</f>
        <v>0</v>
      </c>
      <c r="T742" s="3"/>
      <c r="U742" s="3"/>
      <c r="V742" s="4"/>
    </row>
    <row r="743" spans="1:22" x14ac:dyDescent="0.3">
      <c r="A743" s="5">
        <f t="shared" si="34"/>
        <v>0</v>
      </c>
      <c r="B743" s="6">
        <f t="shared" si="35"/>
        <v>0</v>
      </c>
      <c r="K743" s="18">
        <f t="shared" si="33"/>
        <v>0</v>
      </c>
      <c r="L743" s="21">
        <f>IF(ISERROR(VLOOKUP($F743,#REF!,6,0)*G743/1000),0,VLOOKUP($F743,#REF!,6,0)*G743/1000)</f>
        <v>0</v>
      </c>
      <c r="M743" s="21">
        <f>IF(ISERROR(VLOOKUP($F743,#REF!,6,0)*H743/1000),0,VLOOKUP($F743,#REF!,6,0)*H743/1000)</f>
        <v>0</v>
      </c>
      <c r="N743" s="21">
        <f>IF(ISERROR(VLOOKUP($F743,#REF!,6,0)*I743/1000),0,VLOOKUP($F743,#REF!,6,0)*I743/1000)</f>
        <v>0</v>
      </c>
      <c r="O743" s="21">
        <f>IF(ISERROR(VLOOKUP($F743,#REF!,6,0)*J743/1000),0,VLOOKUP($F743,#REF!,6,0)*J743/1000)</f>
        <v>0</v>
      </c>
      <c r="P743" s="21">
        <f>IF(ISERROR(VLOOKUP(F743,#REF!,6,0)*K743/1000),0,VLOOKUP(F743,#REF!,6,0)*K743/1000)</f>
        <v>0</v>
      </c>
      <c r="Q743" s="6">
        <f>IF(ISERROR(VLOOKUP(F743,#REF!,3,0)),0,VLOOKUP(F743,#REF!,3,0))</f>
        <v>0</v>
      </c>
      <c r="R743" s="6">
        <f>IF(ISERROR(VLOOKUP(F743,#REF!,4,0)),0,VLOOKUP(F743,#REF!,4,0))</f>
        <v>0</v>
      </c>
      <c r="S743" s="8">
        <f>IF(ISERROR(VLOOKUP(F743,#REF!,4,0)),0,VLOOKUP(F743,#REF!,10,0)/60*K743)</f>
        <v>0</v>
      </c>
      <c r="T743" s="3"/>
      <c r="U743" s="3"/>
      <c r="V743" s="4"/>
    </row>
    <row r="744" spans="1:22" x14ac:dyDescent="0.3">
      <c r="A744" s="5">
        <f t="shared" si="34"/>
        <v>0</v>
      </c>
      <c r="B744" s="6">
        <f t="shared" si="35"/>
        <v>0</v>
      </c>
      <c r="K744" s="18">
        <f t="shared" si="33"/>
        <v>0</v>
      </c>
      <c r="L744" s="21">
        <f>IF(ISERROR(VLOOKUP($F744,#REF!,6,0)*G744/1000),0,VLOOKUP($F744,#REF!,6,0)*G744/1000)</f>
        <v>0</v>
      </c>
      <c r="M744" s="21">
        <f>IF(ISERROR(VLOOKUP($F744,#REF!,6,0)*H744/1000),0,VLOOKUP($F744,#REF!,6,0)*H744/1000)</f>
        <v>0</v>
      </c>
      <c r="N744" s="21">
        <f>IF(ISERROR(VLOOKUP($F744,#REF!,6,0)*I744/1000),0,VLOOKUP($F744,#REF!,6,0)*I744/1000)</f>
        <v>0</v>
      </c>
      <c r="O744" s="21">
        <f>IF(ISERROR(VLOOKUP($F744,#REF!,6,0)*J744/1000),0,VLOOKUP($F744,#REF!,6,0)*J744/1000)</f>
        <v>0</v>
      </c>
      <c r="P744" s="21">
        <f>IF(ISERROR(VLOOKUP(F744,#REF!,6,0)*K744/1000),0,VLOOKUP(F744,#REF!,6,0)*K744/1000)</f>
        <v>0</v>
      </c>
      <c r="Q744" s="6">
        <f>IF(ISERROR(VLOOKUP(F744,#REF!,3,0)),0,VLOOKUP(F744,#REF!,3,0))</f>
        <v>0</v>
      </c>
      <c r="R744" s="6">
        <f>IF(ISERROR(VLOOKUP(F744,#REF!,4,0)),0,VLOOKUP(F744,#REF!,4,0))</f>
        <v>0</v>
      </c>
      <c r="S744" s="8">
        <f>IF(ISERROR(VLOOKUP(F744,#REF!,4,0)),0,VLOOKUP(F744,#REF!,10,0)/60*K744)</f>
        <v>0</v>
      </c>
      <c r="T744" s="3"/>
      <c r="U744" s="3"/>
      <c r="V744" s="4"/>
    </row>
    <row r="745" spans="1:22" x14ac:dyDescent="0.3">
      <c r="A745" s="5">
        <f t="shared" si="34"/>
        <v>0</v>
      </c>
      <c r="B745" s="6">
        <f t="shared" si="35"/>
        <v>0</v>
      </c>
      <c r="K745" s="18">
        <f t="shared" si="33"/>
        <v>0</v>
      </c>
      <c r="L745" s="21">
        <f>IF(ISERROR(VLOOKUP($F745,#REF!,6,0)*G745/1000),0,VLOOKUP($F745,#REF!,6,0)*G745/1000)</f>
        <v>0</v>
      </c>
      <c r="M745" s="21">
        <f>IF(ISERROR(VLOOKUP($F745,#REF!,6,0)*H745/1000),0,VLOOKUP($F745,#REF!,6,0)*H745/1000)</f>
        <v>0</v>
      </c>
      <c r="N745" s="21">
        <f>IF(ISERROR(VLOOKUP($F745,#REF!,6,0)*I745/1000),0,VLOOKUP($F745,#REF!,6,0)*I745/1000)</f>
        <v>0</v>
      </c>
      <c r="O745" s="21">
        <f>IF(ISERROR(VLOOKUP($F745,#REF!,6,0)*J745/1000),0,VLOOKUP($F745,#REF!,6,0)*J745/1000)</f>
        <v>0</v>
      </c>
      <c r="P745" s="21">
        <f>IF(ISERROR(VLOOKUP(F745,#REF!,6,0)*K745/1000),0,VLOOKUP(F745,#REF!,6,0)*K745/1000)</f>
        <v>0</v>
      </c>
      <c r="Q745" s="6">
        <f>IF(ISERROR(VLOOKUP(F745,#REF!,3,0)),0,VLOOKUP(F745,#REF!,3,0))</f>
        <v>0</v>
      </c>
      <c r="R745" s="6">
        <f>IF(ISERROR(VLOOKUP(F745,#REF!,4,0)),0,VLOOKUP(F745,#REF!,4,0))</f>
        <v>0</v>
      </c>
      <c r="S745" s="8">
        <f>IF(ISERROR(VLOOKUP(F745,#REF!,4,0)),0,VLOOKUP(F745,#REF!,10,0)/60*K745)</f>
        <v>0</v>
      </c>
      <c r="T745" s="3"/>
      <c r="U745" s="3"/>
      <c r="V745" s="4"/>
    </row>
    <row r="746" spans="1:22" x14ac:dyDescent="0.3">
      <c r="A746" s="5">
        <f t="shared" si="34"/>
        <v>0</v>
      </c>
      <c r="B746" s="6">
        <f t="shared" si="35"/>
        <v>0</v>
      </c>
      <c r="K746" s="18">
        <f t="shared" si="33"/>
        <v>0</v>
      </c>
      <c r="L746" s="21">
        <f>IF(ISERROR(VLOOKUP($F746,#REF!,6,0)*G746/1000),0,VLOOKUP($F746,#REF!,6,0)*G746/1000)</f>
        <v>0</v>
      </c>
      <c r="M746" s="21">
        <f>IF(ISERROR(VLOOKUP($F746,#REF!,6,0)*H746/1000),0,VLOOKUP($F746,#REF!,6,0)*H746/1000)</f>
        <v>0</v>
      </c>
      <c r="N746" s="21">
        <f>IF(ISERROR(VLOOKUP($F746,#REF!,6,0)*I746/1000),0,VLOOKUP($F746,#REF!,6,0)*I746/1000)</f>
        <v>0</v>
      </c>
      <c r="O746" s="21">
        <f>IF(ISERROR(VLOOKUP($F746,#REF!,6,0)*J746/1000),0,VLOOKUP($F746,#REF!,6,0)*J746/1000)</f>
        <v>0</v>
      </c>
      <c r="P746" s="21">
        <f>IF(ISERROR(VLOOKUP(F746,#REF!,6,0)*K746/1000),0,VLOOKUP(F746,#REF!,6,0)*K746/1000)</f>
        <v>0</v>
      </c>
      <c r="Q746" s="6">
        <f>IF(ISERROR(VLOOKUP(F746,#REF!,3,0)),0,VLOOKUP(F746,#REF!,3,0))</f>
        <v>0</v>
      </c>
      <c r="R746" s="6">
        <f>IF(ISERROR(VLOOKUP(F746,#REF!,4,0)),0,VLOOKUP(F746,#REF!,4,0))</f>
        <v>0</v>
      </c>
      <c r="S746" s="8">
        <f>IF(ISERROR(VLOOKUP(F746,#REF!,4,0)),0,VLOOKUP(F746,#REF!,10,0)/60*K746)</f>
        <v>0</v>
      </c>
      <c r="T746" s="3"/>
      <c r="U746" s="3"/>
      <c r="V746" s="4"/>
    </row>
    <row r="747" spans="1:22" x14ac:dyDescent="0.3">
      <c r="A747" s="5">
        <f t="shared" si="34"/>
        <v>0</v>
      </c>
      <c r="B747" s="6">
        <f t="shared" si="35"/>
        <v>0</v>
      </c>
      <c r="K747" s="18">
        <f t="shared" si="33"/>
        <v>0</v>
      </c>
      <c r="L747" s="21">
        <f>IF(ISERROR(VLOOKUP($F747,#REF!,6,0)*G747/1000),0,VLOOKUP($F747,#REF!,6,0)*G747/1000)</f>
        <v>0</v>
      </c>
      <c r="M747" s="21">
        <f>IF(ISERROR(VLOOKUP($F747,#REF!,6,0)*H747/1000),0,VLOOKUP($F747,#REF!,6,0)*H747/1000)</f>
        <v>0</v>
      </c>
      <c r="N747" s="21">
        <f>IF(ISERROR(VLOOKUP($F747,#REF!,6,0)*I747/1000),0,VLOOKUP($F747,#REF!,6,0)*I747/1000)</f>
        <v>0</v>
      </c>
      <c r="O747" s="21">
        <f>IF(ISERROR(VLOOKUP($F747,#REF!,6,0)*J747/1000),0,VLOOKUP($F747,#REF!,6,0)*J747/1000)</f>
        <v>0</v>
      </c>
      <c r="P747" s="21">
        <f>IF(ISERROR(VLOOKUP(F747,#REF!,6,0)*K747/1000),0,VLOOKUP(F747,#REF!,6,0)*K747/1000)</f>
        <v>0</v>
      </c>
      <c r="Q747" s="6">
        <f>IF(ISERROR(VLOOKUP(F747,#REF!,3,0)),0,VLOOKUP(F747,#REF!,3,0))</f>
        <v>0</v>
      </c>
      <c r="R747" s="6">
        <f>IF(ISERROR(VLOOKUP(F747,#REF!,4,0)),0,VLOOKUP(F747,#REF!,4,0))</f>
        <v>0</v>
      </c>
      <c r="S747" s="8">
        <f>IF(ISERROR(VLOOKUP(F747,#REF!,4,0)),0,VLOOKUP(F747,#REF!,10,0)/60*K747)</f>
        <v>0</v>
      </c>
      <c r="T747" s="3"/>
      <c r="U747" s="3"/>
      <c r="V747" s="4"/>
    </row>
    <row r="748" spans="1:22" x14ac:dyDescent="0.3">
      <c r="A748" s="5">
        <f t="shared" si="34"/>
        <v>0</v>
      </c>
      <c r="B748" s="6">
        <f t="shared" si="35"/>
        <v>0</v>
      </c>
      <c r="K748" s="18">
        <f t="shared" si="33"/>
        <v>0</v>
      </c>
      <c r="L748" s="21">
        <f>IF(ISERROR(VLOOKUP($F748,#REF!,6,0)*G748/1000),0,VLOOKUP($F748,#REF!,6,0)*G748/1000)</f>
        <v>0</v>
      </c>
      <c r="M748" s="21">
        <f>IF(ISERROR(VLOOKUP($F748,#REF!,6,0)*H748/1000),0,VLOOKUP($F748,#REF!,6,0)*H748/1000)</f>
        <v>0</v>
      </c>
      <c r="N748" s="21">
        <f>IF(ISERROR(VLOOKUP($F748,#REF!,6,0)*I748/1000),0,VLOOKUP($F748,#REF!,6,0)*I748/1000)</f>
        <v>0</v>
      </c>
      <c r="O748" s="21">
        <f>IF(ISERROR(VLOOKUP($F748,#REF!,6,0)*J748/1000),0,VLOOKUP($F748,#REF!,6,0)*J748/1000)</f>
        <v>0</v>
      </c>
      <c r="P748" s="21">
        <f>IF(ISERROR(VLOOKUP(F748,#REF!,6,0)*K748/1000),0,VLOOKUP(F748,#REF!,6,0)*K748/1000)</f>
        <v>0</v>
      </c>
      <c r="Q748" s="6">
        <f>IF(ISERROR(VLOOKUP(F748,#REF!,3,0)),0,VLOOKUP(F748,#REF!,3,0))</f>
        <v>0</v>
      </c>
      <c r="R748" s="6">
        <f>IF(ISERROR(VLOOKUP(F748,#REF!,4,0)),0,VLOOKUP(F748,#REF!,4,0))</f>
        <v>0</v>
      </c>
      <c r="S748" s="8">
        <f>IF(ISERROR(VLOOKUP(F748,#REF!,4,0)),0,VLOOKUP(F748,#REF!,10,0)/60*K748)</f>
        <v>0</v>
      </c>
      <c r="T748" s="3"/>
      <c r="U748" s="3"/>
      <c r="V748" s="4"/>
    </row>
    <row r="749" spans="1:22" x14ac:dyDescent="0.3">
      <c r="A749" s="5">
        <f t="shared" si="34"/>
        <v>0</v>
      </c>
      <c r="B749" s="6">
        <f t="shared" si="35"/>
        <v>0</v>
      </c>
      <c r="K749" s="18">
        <f t="shared" si="33"/>
        <v>0</v>
      </c>
      <c r="L749" s="21">
        <f>IF(ISERROR(VLOOKUP($F749,#REF!,6,0)*G749/1000),0,VLOOKUP($F749,#REF!,6,0)*G749/1000)</f>
        <v>0</v>
      </c>
      <c r="M749" s="21">
        <f>IF(ISERROR(VLOOKUP($F749,#REF!,6,0)*H749/1000),0,VLOOKUP($F749,#REF!,6,0)*H749/1000)</f>
        <v>0</v>
      </c>
      <c r="N749" s="21">
        <f>IF(ISERROR(VLOOKUP($F749,#REF!,6,0)*I749/1000),0,VLOOKUP($F749,#REF!,6,0)*I749/1000)</f>
        <v>0</v>
      </c>
      <c r="O749" s="21">
        <f>IF(ISERROR(VLOOKUP($F749,#REF!,6,0)*J749/1000),0,VLOOKUP($F749,#REF!,6,0)*J749/1000)</f>
        <v>0</v>
      </c>
      <c r="P749" s="21">
        <f>IF(ISERROR(VLOOKUP(F749,#REF!,6,0)*K749/1000),0,VLOOKUP(F749,#REF!,6,0)*K749/1000)</f>
        <v>0</v>
      </c>
      <c r="Q749" s="6">
        <f>IF(ISERROR(VLOOKUP(F749,#REF!,3,0)),0,VLOOKUP(F749,#REF!,3,0))</f>
        <v>0</v>
      </c>
      <c r="R749" s="6">
        <f>IF(ISERROR(VLOOKUP(F749,#REF!,4,0)),0,VLOOKUP(F749,#REF!,4,0))</f>
        <v>0</v>
      </c>
      <c r="S749" s="8">
        <f>IF(ISERROR(VLOOKUP(F749,#REF!,4,0)),0,VLOOKUP(F749,#REF!,10,0)/60*K749)</f>
        <v>0</v>
      </c>
      <c r="T749" s="3"/>
      <c r="U749" s="3"/>
      <c r="V749" s="4"/>
    </row>
    <row r="750" spans="1:22" x14ac:dyDescent="0.3">
      <c r="A750" s="5">
        <f t="shared" si="34"/>
        <v>0</v>
      </c>
      <c r="B750" s="6">
        <f t="shared" si="35"/>
        <v>0</v>
      </c>
      <c r="K750" s="18">
        <f t="shared" si="33"/>
        <v>0</v>
      </c>
      <c r="L750" s="21">
        <f>IF(ISERROR(VLOOKUP($F750,#REF!,6,0)*G750/1000),0,VLOOKUP($F750,#REF!,6,0)*G750/1000)</f>
        <v>0</v>
      </c>
      <c r="M750" s="21">
        <f>IF(ISERROR(VLOOKUP($F750,#REF!,6,0)*H750/1000),0,VLOOKUP($F750,#REF!,6,0)*H750/1000)</f>
        <v>0</v>
      </c>
      <c r="N750" s="21">
        <f>IF(ISERROR(VLOOKUP($F750,#REF!,6,0)*I750/1000),0,VLOOKUP($F750,#REF!,6,0)*I750/1000)</f>
        <v>0</v>
      </c>
      <c r="O750" s="21">
        <f>IF(ISERROR(VLOOKUP($F750,#REF!,6,0)*J750/1000),0,VLOOKUP($F750,#REF!,6,0)*J750/1000)</f>
        <v>0</v>
      </c>
      <c r="P750" s="21">
        <f>IF(ISERROR(VLOOKUP(F750,#REF!,6,0)*K750/1000),0,VLOOKUP(F750,#REF!,6,0)*K750/1000)</f>
        <v>0</v>
      </c>
      <c r="Q750" s="6">
        <f>IF(ISERROR(VLOOKUP(F750,#REF!,3,0)),0,VLOOKUP(F750,#REF!,3,0))</f>
        <v>0</v>
      </c>
      <c r="R750" s="6">
        <f>IF(ISERROR(VLOOKUP(F750,#REF!,4,0)),0,VLOOKUP(F750,#REF!,4,0))</f>
        <v>0</v>
      </c>
      <c r="S750" s="8">
        <f>IF(ISERROR(VLOOKUP(F750,#REF!,4,0)),0,VLOOKUP(F750,#REF!,10,0)/60*K750)</f>
        <v>0</v>
      </c>
      <c r="T750" s="3"/>
      <c r="U750" s="3"/>
      <c r="V750" s="4"/>
    </row>
    <row r="751" spans="1:22" x14ac:dyDescent="0.3">
      <c r="A751" s="5">
        <f t="shared" si="34"/>
        <v>0</v>
      </c>
      <c r="B751" s="6">
        <f t="shared" si="35"/>
        <v>0</v>
      </c>
      <c r="K751" s="18">
        <f t="shared" si="33"/>
        <v>0</v>
      </c>
      <c r="L751" s="21">
        <f>IF(ISERROR(VLOOKUP($F751,#REF!,6,0)*G751/1000),0,VLOOKUP($F751,#REF!,6,0)*G751/1000)</f>
        <v>0</v>
      </c>
      <c r="M751" s="21">
        <f>IF(ISERROR(VLOOKUP($F751,#REF!,6,0)*H751/1000),0,VLOOKUP($F751,#REF!,6,0)*H751/1000)</f>
        <v>0</v>
      </c>
      <c r="N751" s="21">
        <f>IF(ISERROR(VLOOKUP($F751,#REF!,6,0)*I751/1000),0,VLOOKUP($F751,#REF!,6,0)*I751/1000)</f>
        <v>0</v>
      </c>
      <c r="O751" s="21">
        <f>IF(ISERROR(VLOOKUP($F751,#REF!,6,0)*J751/1000),0,VLOOKUP($F751,#REF!,6,0)*J751/1000)</f>
        <v>0</v>
      </c>
      <c r="P751" s="21">
        <f>IF(ISERROR(VLOOKUP(F751,#REF!,6,0)*K751/1000),0,VLOOKUP(F751,#REF!,6,0)*K751/1000)</f>
        <v>0</v>
      </c>
      <c r="Q751" s="6">
        <f>IF(ISERROR(VLOOKUP(F751,#REF!,3,0)),0,VLOOKUP(F751,#REF!,3,0))</f>
        <v>0</v>
      </c>
      <c r="R751" s="6">
        <f>IF(ISERROR(VLOOKUP(F751,#REF!,4,0)),0,VLOOKUP(F751,#REF!,4,0))</f>
        <v>0</v>
      </c>
      <c r="S751" s="8">
        <f>IF(ISERROR(VLOOKUP(F751,#REF!,4,0)),0,VLOOKUP(F751,#REF!,10,0)/60*K751)</f>
        <v>0</v>
      </c>
      <c r="T751" s="3"/>
      <c r="U751" s="3"/>
      <c r="V751" s="4"/>
    </row>
    <row r="752" spans="1:22" x14ac:dyDescent="0.3">
      <c r="A752" s="5">
        <f t="shared" si="34"/>
        <v>0</v>
      </c>
      <c r="B752" s="6">
        <f t="shared" si="35"/>
        <v>0</v>
      </c>
      <c r="K752" s="18">
        <f t="shared" si="33"/>
        <v>0</v>
      </c>
      <c r="L752" s="21">
        <f>IF(ISERROR(VLOOKUP($F752,#REF!,6,0)*G752/1000),0,VLOOKUP($F752,#REF!,6,0)*G752/1000)</f>
        <v>0</v>
      </c>
      <c r="M752" s="21">
        <f>IF(ISERROR(VLOOKUP($F752,#REF!,6,0)*H752/1000),0,VLOOKUP($F752,#REF!,6,0)*H752/1000)</f>
        <v>0</v>
      </c>
      <c r="N752" s="21">
        <f>IF(ISERROR(VLOOKUP($F752,#REF!,6,0)*I752/1000),0,VLOOKUP($F752,#REF!,6,0)*I752/1000)</f>
        <v>0</v>
      </c>
      <c r="O752" s="21">
        <f>IF(ISERROR(VLOOKUP($F752,#REF!,6,0)*J752/1000),0,VLOOKUP($F752,#REF!,6,0)*J752/1000)</f>
        <v>0</v>
      </c>
      <c r="P752" s="21">
        <f>IF(ISERROR(VLOOKUP(F752,#REF!,6,0)*K752/1000),0,VLOOKUP(F752,#REF!,6,0)*K752/1000)</f>
        <v>0</v>
      </c>
      <c r="Q752" s="6">
        <f>IF(ISERROR(VLOOKUP(F752,#REF!,3,0)),0,VLOOKUP(F752,#REF!,3,0))</f>
        <v>0</v>
      </c>
      <c r="R752" s="6">
        <f>IF(ISERROR(VLOOKUP(F752,#REF!,4,0)),0,VLOOKUP(F752,#REF!,4,0))</f>
        <v>0</v>
      </c>
      <c r="S752" s="8">
        <f>IF(ISERROR(VLOOKUP(F752,#REF!,4,0)),0,VLOOKUP(F752,#REF!,10,0)/60*K752)</f>
        <v>0</v>
      </c>
      <c r="T752" s="3"/>
      <c r="U752" s="3"/>
      <c r="V752" s="4"/>
    </row>
    <row r="753" spans="1:22" x14ac:dyDescent="0.3">
      <c r="A753" s="5">
        <f t="shared" si="34"/>
        <v>0</v>
      </c>
      <c r="B753" s="6">
        <f t="shared" si="35"/>
        <v>0</v>
      </c>
      <c r="K753" s="18">
        <f t="shared" si="33"/>
        <v>0</v>
      </c>
      <c r="L753" s="21">
        <f>IF(ISERROR(VLOOKUP($F753,#REF!,6,0)*G753/1000),0,VLOOKUP($F753,#REF!,6,0)*G753/1000)</f>
        <v>0</v>
      </c>
      <c r="M753" s="21">
        <f>IF(ISERROR(VLOOKUP($F753,#REF!,6,0)*H753/1000),0,VLOOKUP($F753,#REF!,6,0)*H753/1000)</f>
        <v>0</v>
      </c>
      <c r="N753" s="21">
        <f>IF(ISERROR(VLOOKUP($F753,#REF!,6,0)*I753/1000),0,VLOOKUP($F753,#REF!,6,0)*I753/1000)</f>
        <v>0</v>
      </c>
      <c r="O753" s="21">
        <f>IF(ISERROR(VLOOKUP($F753,#REF!,6,0)*J753/1000),0,VLOOKUP($F753,#REF!,6,0)*J753/1000)</f>
        <v>0</v>
      </c>
      <c r="P753" s="21">
        <f>IF(ISERROR(VLOOKUP(F753,#REF!,6,0)*K753/1000),0,VLOOKUP(F753,#REF!,6,0)*K753/1000)</f>
        <v>0</v>
      </c>
      <c r="Q753" s="6">
        <f>IF(ISERROR(VLOOKUP(F753,#REF!,3,0)),0,VLOOKUP(F753,#REF!,3,0))</f>
        <v>0</v>
      </c>
      <c r="R753" s="6">
        <f>IF(ISERROR(VLOOKUP(F753,#REF!,4,0)),0,VLOOKUP(F753,#REF!,4,0))</f>
        <v>0</v>
      </c>
      <c r="S753" s="8">
        <f>IF(ISERROR(VLOOKUP(F753,#REF!,4,0)),0,VLOOKUP(F753,#REF!,10,0)/60*K753)</f>
        <v>0</v>
      </c>
      <c r="T753" s="3"/>
      <c r="U753" s="3"/>
      <c r="V753" s="4"/>
    </row>
    <row r="754" spans="1:22" x14ac:dyDescent="0.3">
      <c r="A754" s="5">
        <f t="shared" si="34"/>
        <v>0</v>
      </c>
      <c r="B754" s="6">
        <f t="shared" si="35"/>
        <v>0</v>
      </c>
      <c r="K754" s="18">
        <f t="shared" si="33"/>
        <v>0</v>
      </c>
      <c r="L754" s="21">
        <f>IF(ISERROR(VLOOKUP($F754,#REF!,6,0)*G754/1000),0,VLOOKUP($F754,#REF!,6,0)*G754/1000)</f>
        <v>0</v>
      </c>
      <c r="M754" s="21">
        <f>IF(ISERROR(VLOOKUP($F754,#REF!,6,0)*H754/1000),0,VLOOKUP($F754,#REF!,6,0)*H754/1000)</f>
        <v>0</v>
      </c>
      <c r="N754" s="21">
        <f>IF(ISERROR(VLOOKUP($F754,#REF!,6,0)*I754/1000),0,VLOOKUP($F754,#REF!,6,0)*I754/1000)</f>
        <v>0</v>
      </c>
      <c r="O754" s="21">
        <f>IF(ISERROR(VLOOKUP($F754,#REF!,6,0)*J754/1000),0,VLOOKUP($F754,#REF!,6,0)*J754/1000)</f>
        <v>0</v>
      </c>
      <c r="P754" s="21">
        <f>IF(ISERROR(VLOOKUP(F754,#REF!,6,0)*K754/1000),0,VLOOKUP(F754,#REF!,6,0)*K754/1000)</f>
        <v>0</v>
      </c>
      <c r="Q754" s="6">
        <f>IF(ISERROR(VLOOKUP(F754,#REF!,3,0)),0,VLOOKUP(F754,#REF!,3,0))</f>
        <v>0</v>
      </c>
      <c r="R754" s="6">
        <f>IF(ISERROR(VLOOKUP(F754,#REF!,4,0)),0,VLOOKUP(F754,#REF!,4,0))</f>
        <v>0</v>
      </c>
      <c r="S754" s="8">
        <f>IF(ISERROR(VLOOKUP(F754,#REF!,4,0)),0,VLOOKUP(F754,#REF!,10,0)/60*K754)</f>
        <v>0</v>
      </c>
      <c r="T754" s="3"/>
      <c r="U754" s="3"/>
      <c r="V754" s="4"/>
    </row>
    <row r="755" spans="1:22" x14ac:dyDescent="0.3">
      <c r="A755" s="5">
        <f t="shared" si="34"/>
        <v>0</v>
      </c>
      <c r="B755" s="6">
        <f t="shared" si="35"/>
        <v>0</v>
      </c>
      <c r="K755" s="18">
        <f t="shared" si="33"/>
        <v>0</v>
      </c>
      <c r="L755" s="21">
        <f>IF(ISERROR(VLOOKUP($F755,#REF!,6,0)*G755/1000),0,VLOOKUP($F755,#REF!,6,0)*G755/1000)</f>
        <v>0</v>
      </c>
      <c r="M755" s="21">
        <f>IF(ISERROR(VLOOKUP($F755,#REF!,6,0)*H755/1000),0,VLOOKUP($F755,#REF!,6,0)*H755/1000)</f>
        <v>0</v>
      </c>
      <c r="N755" s="21">
        <f>IF(ISERROR(VLOOKUP($F755,#REF!,6,0)*I755/1000),0,VLOOKUP($F755,#REF!,6,0)*I755/1000)</f>
        <v>0</v>
      </c>
      <c r="O755" s="21">
        <f>IF(ISERROR(VLOOKUP($F755,#REF!,6,0)*J755/1000),0,VLOOKUP($F755,#REF!,6,0)*J755/1000)</f>
        <v>0</v>
      </c>
      <c r="P755" s="21">
        <f>IF(ISERROR(VLOOKUP(F755,#REF!,6,0)*K755/1000),0,VLOOKUP(F755,#REF!,6,0)*K755/1000)</f>
        <v>0</v>
      </c>
      <c r="Q755" s="6">
        <f>IF(ISERROR(VLOOKUP(F755,#REF!,3,0)),0,VLOOKUP(F755,#REF!,3,0))</f>
        <v>0</v>
      </c>
      <c r="R755" s="6">
        <f>IF(ISERROR(VLOOKUP(F755,#REF!,4,0)),0,VLOOKUP(F755,#REF!,4,0))</f>
        <v>0</v>
      </c>
      <c r="S755" s="8">
        <f>IF(ISERROR(VLOOKUP(F755,#REF!,4,0)),0,VLOOKUP(F755,#REF!,10,0)/60*K755)</f>
        <v>0</v>
      </c>
      <c r="T755" s="3"/>
      <c r="U755" s="3"/>
      <c r="V755" s="4"/>
    </row>
    <row r="756" spans="1:22" x14ac:dyDescent="0.3">
      <c r="A756" s="5">
        <f t="shared" si="34"/>
        <v>0</v>
      </c>
      <c r="B756" s="6">
        <f t="shared" si="35"/>
        <v>0</v>
      </c>
      <c r="K756" s="18">
        <f t="shared" si="33"/>
        <v>0</v>
      </c>
      <c r="L756" s="21">
        <f>IF(ISERROR(VLOOKUP($F756,#REF!,6,0)*G756/1000),0,VLOOKUP($F756,#REF!,6,0)*G756/1000)</f>
        <v>0</v>
      </c>
      <c r="M756" s="21">
        <f>IF(ISERROR(VLOOKUP($F756,#REF!,6,0)*H756/1000),0,VLOOKUP($F756,#REF!,6,0)*H756/1000)</f>
        <v>0</v>
      </c>
      <c r="N756" s="21">
        <f>IF(ISERROR(VLOOKUP($F756,#REF!,6,0)*I756/1000),0,VLOOKUP($F756,#REF!,6,0)*I756/1000)</f>
        <v>0</v>
      </c>
      <c r="O756" s="21">
        <f>IF(ISERROR(VLOOKUP($F756,#REF!,6,0)*J756/1000),0,VLOOKUP($F756,#REF!,6,0)*J756/1000)</f>
        <v>0</v>
      </c>
      <c r="P756" s="21">
        <f>IF(ISERROR(VLOOKUP(F756,#REF!,6,0)*K756/1000),0,VLOOKUP(F756,#REF!,6,0)*K756/1000)</f>
        <v>0</v>
      </c>
      <c r="Q756" s="6">
        <f>IF(ISERROR(VLOOKUP(F756,#REF!,3,0)),0,VLOOKUP(F756,#REF!,3,0))</f>
        <v>0</v>
      </c>
      <c r="R756" s="6">
        <f>IF(ISERROR(VLOOKUP(F756,#REF!,4,0)),0,VLOOKUP(F756,#REF!,4,0))</f>
        <v>0</v>
      </c>
      <c r="S756" s="8">
        <f>IF(ISERROR(VLOOKUP(F756,#REF!,4,0)),0,VLOOKUP(F756,#REF!,10,0)/60*K756)</f>
        <v>0</v>
      </c>
      <c r="T756" s="3"/>
      <c r="U756" s="3"/>
      <c r="V756" s="4"/>
    </row>
    <row r="757" spans="1:22" x14ac:dyDescent="0.3">
      <c r="A757" s="5">
        <f t="shared" si="34"/>
        <v>0</v>
      </c>
      <c r="B757" s="6">
        <f t="shared" si="35"/>
        <v>0</v>
      </c>
      <c r="K757" s="18">
        <f t="shared" si="33"/>
        <v>0</v>
      </c>
      <c r="L757" s="21">
        <f>IF(ISERROR(VLOOKUP($F757,#REF!,6,0)*G757/1000),0,VLOOKUP($F757,#REF!,6,0)*G757/1000)</f>
        <v>0</v>
      </c>
      <c r="M757" s="21">
        <f>IF(ISERROR(VLOOKUP($F757,#REF!,6,0)*H757/1000),0,VLOOKUP($F757,#REF!,6,0)*H757/1000)</f>
        <v>0</v>
      </c>
      <c r="N757" s="21">
        <f>IF(ISERROR(VLOOKUP($F757,#REF!,6,0)*I757/1000),0,VLOOKUP($F757,#REF!,6,0)*I757/1000)</f>
        <v>0</v>
      </c>
      <c r="O757" s="21">
        <f>IF(ISERROR(VLOOKUP($F757,#REF!,6,0)*J757/1000),0,VLOOKUP($F757,#REF!,6,0)*J757/1000)</f>
        <v>0</v>
      </c>
      <c r="P757" s="21">
        <f>IF(ISERROR(VLOOKUP(F757,#REF!,6,0)*K757/1000),0,VLOOKUP(F757,#REF!,6,0)*K757/1000)</f>
        <v>0</v>
      </c>
      <c r="Q757" s="6">
        <f>IF(ISERROR(VLOOKUP(F757,#REF!,3,0)),0,VLOOKUP(F757,#REF!,3,0))</f>
        <v>0</v>
      </c>
      <c r="R757" s="6">
        <f>IF(ISERROR(VLOOKUP(F757,#REF!,4,0)),0,VLOOKUP(F757,#REF!,4,0))</f>
        <v>0</v>
      </c>
      <c r="S757" s="8">
        <f>IF(ISERROR(VLOOKUP(F757,#REF!,4,0)),0,VLOOKUP(F757,#REF!,10,0)/60*K757)</f>
        <v>0</v>
      </c>
      <c r="T757" s="3"/>
      <c r="U757" s="3"/>
      <c r="V757" s="4"/>
    </row>
    <row r="758" spans="1:22" x14ac:dyDescent="0.3">
      <c r="A758" s="5">
        <f t="shared" si="34"/>
        <v>0</v>
      </c>
      <c r="B758" s="6">
        <f t="shared" si="35"/>
        <v>0</v>
      </c>
      <c r="K758" s="18">
        <f t="shared" si="33"/>
        <v>0</v>
      </c>
      <c r="L758" s="21">
        <f>IF(ISERROR(VLOOKUP($F758,#REF!,6,0)*G758/1000),0,VLOOKUP($F758,#REF!,6,0)*G758/1000)</f>
        <v>0</v>
      </c>
      <c r="M758" s="21">
        <f>IF(ISERROR(VLOOKUP($F758,#REF!,6,0)*H758/1000),0,VLOOKUP($F758,#REF!,6,0)*H758/1000)</f>
        <v>0</v>
      </c>
      <c r="N758" s="21">
        <f>IF(ISERROR(VLOOKUP($F758,#REF!,6,0)*I758/1000),0,VLOOKUP($F758,#REF!,6,0)*I758/1000)</f>
        <v>0</v>
      </c>
      <c r="O758" s="21">
        <f>IF(ISERROR(VLOOKUP($F758,#REF!,6,0)*J758/1000),0,VLOOKUP($F758,#REF!,6,0)*J758/1000)</f>
        <v>0</v>
      </c>
      <c r="P758" s="21">
        <f>IF(ISERROR(VLOOKUP(F758,#REF!,6,0)*K758/1000),0,VLOOKUP(F758,#REF!,6,0)*K758/1000)</f>
        <v>0</v>
      </c>
      <c r="Q758" s="6">
        <f>IF(ISERROR(VLOOKUP(F758,#REF!,3,0)),0,VLOOKUP(F758,#REF!,3,0))</f>
        <v>0</v>
      </c>
      <c r="R758" s="6">
        <f>IF(ISERROR(VLOOKUP(F758,#REF!,4,0)),0,VLOOKUP(F758,#REF!,4,0))</f>
        <v>0</v>
      </c>
      <c r="S758" s="8">
        <f>IF(ISERROR(VLOOKUP(F758,#REF!,4,0)),0,VLOOKUP(F758,#REF!,10,0)/60*K758)</f>
        <v>0</v>
      </c>
      <c r="T758" s="3"/>
      <c r="U758" s="3"/>
      <c r="V758" s="4"/>
    </row>
    <row r="759" spans="1:22" x14ac:dyDescent="0.3">
      <c r="A759" s="5">
        <f t="shared" si="34"/>
        <v>0</v>
      </c>
      <c r="B759" s="6">
        <f t="shared" si="35"/>
        <v>0</v>
      </c>
      <c r="K759" s="18">
        <f t="shared" si="33"/>
        <v>0</v>
      </c>
      <c r="L759" s="21">
        <f>IF(ISERROR(VLOOKUP($F759,#REF!,6,0)*G759/1000),0,VLOOKUP($F759,#REF!,6,0)*G759/1000)</f>
        <v>0</v>
      </c>
      <c r="M759" s="21">
        <f>IF(ISERROR(VLOOKUP($F759,#REF!,6,0)*H759/1000),0,VLOOKUP($F759,#REF!,6,0)*H759/1000)</f>
        <v>0</v>
      </c>
      <c r="N759" s="21">
        <f>IF(ISERROR(VLOOKUP($F759,#REF!,6,0)*I759/1000),0,VLOOKUP($F759,#REF!,6,0)*I759/1000)</f>
        <v>0</v>
      </c>
      <c r="O759" s="21">
        <f>IF(ISERROR(VLOOKUP($F759,#REF!,6,0)*J759/1000),0,VLOOKUP($F759,#REF!,6,0)*J759/1000)</f>
        <v>0</v>
      </c>
      <c r="P759" s="21">
        <f>IF(ISERROR(VLOOKUP(F759,#REF!,6,0)*K759/1000),0,VLOOKUP(F759,#REF!,6,0)*K759/1000)</f>
        <v>0</v>
      </c>
      <c r="Q759" s="6">
        <f>IF(ISERROR(VLOOKUP(F759,#REF!,3,0)),0,VLOOKUP(F759,#REF!,3,0))</f>
        <v>0</v>
      </c>
      <c r="R759" s="6">
        <f>IF(ISERROR(VLOOKUP(F759,#REF!,4,0)),0,VLOOKUP(F759,#REF!,4,0))</f>
        <v>0</v>
      </c>
      <c r="S759" s="8">
        <f>IF(ISERROR(VLOOKUP(F759,#REF!,4,0)),0,VLOOKUP(F759,#REF!,10,0)/60*K759)</f>
        <v>0</v>
      </c>
      <c r="T759" s="3"/>
      <c r="U759" s="3"/>
      <c r="V759" s="4"/>
    </row>
    <row r="760" spans="1:22" x14ac:dyDescent="0.3">
      <c r="A760" s="5">
        <f t="shared" si="34"/>
        <v>0</v>
      </c>
      <c r="B760" s="6">
        <f t="shared" si="35"/>
        <v>0</v>
      </c>
      <c r="K760" s="18">
        <f t="shared" si="33"/>
        <v>0</v>
      </c>
      <c r="L760" s="21">
        <f>IF(ISERROR(VLOOKUP($F760,#REF!,6,0)*G760/1000),0,VLOOKUP($F760,#REF!,6,0)*G760/1000)</f>
        <v>0</v>
      </c>
      <c r="M760" s="21">
        <f>IF(ISERROR(VLOOKUP($F760,#REF!,6,0)*H760/1000),0,VLOOKUP($F760,#REF!,6,0)*H760/1000)</f>
        <v>0</v>
      </c>
      <c r="N760" s="21">
        <f>IF(ISERROR(VLOOKUP($F760,#REF!,6,0)*I760/1000),0,VLOOKUP($F760,#REF!,6,0)*I760/1000)</f>
        <v>0</v>
      </c>
      <c r="O760" s="21">
        <f>IF(ISERROR(VLOOKUP($F760,#REF!,6,0)*J760/1000),0,VLOOKUP($F760,#REF!,6,0)*J760/1000)</f>
        <v>0</v>
      </c>
      <c r="P760" s="21">
        <f>IF(ISERROR(VLOOKUP(F760,#REF!,6,0)*K760/1000),0,VLOOKUP(F760,#REF!,6,0)*K760/1000)</f>
        <v>0</v>
      </c>
      <c r="Q760" s="6">
        <f>IF(ISERROR(VLOOKUP(F760,#REF!,3,0)),0,VLOOKUP(F760,#REF!,3,0))</f>
        <v>0</v>
      </c>
      <c r="R760" s="6">
        <f>IF(ISERROR(VLOOKUP(F760,#REF!,4,0)),0,VLOOKUP(F760,#REF!,4,0))</f>
        <v>0</v>
      </c>
      <c r="S760" s="8">
        <f>IF(ISERROR(VLOOKUP(F760,#REF!,4,0)),0,VLOOKUP(F760,#REF!,10,0)/60*K760)</f>
        <v>0</v>
      </c>
      <c r="T760" s="3"/>
      <c r="U760" s="3"/>
      <c r="V760" s="4"/>
    </row>
    <row r="761" spans="1:22" x14ac:dyDescent="0.3">
      <c r="A761" s="5">
        <f t="shared" si="34"/>
        <v>0</v>
      </c>
      <c r="B761" s="6">
        <f t="shared" si="35"/>
        <v>0</v>
      </c>
      <c r="K761" s="18">
        <f t="shared" si="33"/>
        <v>0</v>
      </c>
      <c r="L761" s="21">
        <f>IF(ISERROR(VLOOKUP($F761,#REF!,6,0)*G761/1000),0,VLOOKUP($F761,#REF!,6,0)*G761/1000)</f>
        <v>0</v>
      </c>
      <c r="M761" s="21">
        <f>IF(ISERROR(VLOOKUP($F761,#REF!,6,0)*H761/1000),0,VLOOKUP($F761,#REF!,6,0)*H761/1000)</f>
        <v>0</v>
      </c>
      <c r="N761" s="21">
        <f>IF(ISERROR(VLOOKUP($F761,#REF!,6,0)*I761/1000),0,VLOOKUP($F761,#REF!,6,0)*I761/1000)</f>
        <v>0</v>
      </c>
      <c r="O761" s="21">
        <f>IF(ISERROR(VLOOKUP($F761,#REF!,6,0)*J761/1000),0,VLOOKUP($F761,#REF!,6,0)*J761/1000)</f>
        <v>0</v>
      </c>
      <c r="P761" s="21">
        <f>IF(ISERROR(VLOOKUP(F761,#REF!,6,0)*K761/1000),0,VLOOKUP(F761,#REF!,6,0)*K761/1000)</f>
        <v>0</v>
      </c>
      <c r="Q761" s="6">
        <f>IF(ISERROR(VLOOKUP(F761,#REF!,3,0)),0,VLOOKUP(F761,#REF!,3,0))</f>
        <v>0</v>
      </c>
      <c r="R761" s="6">
        <f>IF(ISERROR(VLOOKUP(F761,#REF!,4,0)),0,VLOOKUP(F761,#REF!,4,0))</f>
        <v>0</v>
      </c>
      <c r="S761" s="8">
        <f>IF(ISERROR(VLOOKUP(F761,#REF!,4,0)),0,VLOOKUP(F761,#REF!,10,0)/60*K761)</f>
        <v>0</v>
      </c>
      <c r="T761" s="3"/>
      <c r="U761" s="3"/>
      <c r="V761" s="4"/>
    </row>
    <row r="762" spans="1:22" x14ac:dyDescent="0.3">
      <c r="A762" s="5">
        <f t="shared" si="34"/>
        <v>0</v>
      </c>
      <c r="B762" s="6">
        <f t="shared" si="35"/>
        <v>0</v>
      </c>
      <c r="K762" s="18">
        <f t="shared" si="33"/>
        <v>0</v>
      </c>
      <c r="L762" s="21">
        <f>IF(ISERROR(VLOOKUP($F762,#REF!,6,0)*G762/1000),0,VLOOKUP($F762,#REF!,6,0)*G762/1000)</f>
        <v>0</v>
      </c>
      <c r="M762" s="21">
        <f>IF(ISERROR(VLOOKUP($F762,#REF!,6,0)*H762/1000),0,VLOOKUP($F762,#REF!,6,0)*H762/1000)</f>
        <v>0</v>
      </c>
      <c r="N762" s="21">
        <f>IF(ISERROR(VLOOKUP($F762,#REF!,6,0)*I762/1000),0,VLOOKUP($F762,#REF!,6,0)*I762/1000)</f>
        <v>0</v>
      </c>
      <c r="O762" s="21">
        <f>IF(ISERROR(VLOOKUP($F762,#REF!,6,0)*J762/1000),0,VLOOKUP($F762,#REF!,6,0)*J762/1000)</f>
        <v>0</v>
      </c>
      <c r="P762" s="21">
        <f>IF(ISERROR(VLOOKUP(F762,#REF!,6,0)*K762/1000),0,VLOOKUP(F762,#REF!,6,0)*K762/1000)</f>
        <v>0</v>
      </c>
      <c r="Q762" s="6">
        <f>IF(ISERROR(VLOOKUP(F762,#REF!,3,0)),0,VLOOKUP(F762,#REF!,3,0))</f>
        <v>0</v>
      </c>
      <c r="R762" s="6">
        <f>IF(ISERROR(VLOOKUP(F762,#REF!,4,0)),0,VLOOKUP(F762,#REF!,4,0))</f>
        <v>0</v>
      </c>
      <c r="S762" s="8">
        <f>IF(ISERROR(VLOOKUP(F762,#REF!,4,0)),0,VLOOKUP(F762,#REF!,10,0)/60*K762)</f>
        <v>0</v>
      </c>
      <c r="T762" s="3"/>
      <c r="U762" s="3"/>
      <c r="V762" s="4"/>
    </row>
    <row r="763" spans="1:22" x14ac:dyDescent="0.3">
      <c r="A763" s="5">
        <f t="shared" si="34"/>
        <v>0</v>
      </c>
      <c r="B763" s="6">
        <f t="shared" si="35"/>
        <v>0</v>
      </c>
      <c r="K763" s="18">
        <f t="shared" si="33"/>
        <v>0</v>
      </c>
      <c r="L763" s="21">
        <f>IF(ISERROR(VLOOKUP($F763,#REF!,6,0)*G763/1000),0,VLOOKUP($F763,#REF!,6,0)*G763/1000)</f>
        <v>0</v>
      </c>
      <c r="M763" s="21">
        <f>IF(ISERROR(VLOOKUP($F763,#REF!,6,0)*H763/1000),0,VLOOKUP($F763,#REF!,6,0)*H763/1000)</f>
        <v>0</v>
      </c>
      <c r="N763" s="21">
        <f>IF(ISERROR(VLOOKUP($F763,#REF!,6,0)*I763/1000),0,VLOOKUP($F763,#REF!,6,0)*I763/1000)</f>
        <v>0</v>
      </c>
      <c r="O763" s="21">
        <f>IF(ISERROR(VLOOKUP($F763,#REF!,6,0)*J763/1000),0,VLOOKUP($F763,#REF!,6,0)*J763/1000)</f>
        <v>0</v>
      </c>
      <c r="P763" s="21">
        <f>IF(ISERROR(VLOOKUP(F763,#REF!,6,0)*K763/1000),0,VLOOKUP(F763,#REF!,6,0)*K763/1000)</f>
        <v>0</v>
      </c>
      <c r="Q763" s="6">
        <f>IF(ISERROR(VLOOKUP(F763,#REF!,3,0)),0,VLOOKUP(F763,#REF!,3,0))</f>
        <v>0</v>
      </c>
      <c r="R763" s="6">
        <f>IF(ISERROR(VLOOKUP(F763,#REF!,4,0)),0,VLOOKUP(F763,#REF!,4,0))</f>
        <v>0</v>
      </c>
      <c r="S763" s="8">
        <f>IF(ISERROR(VLOOKUP(F763,#REF!,4,0)),0,VLOOKUP(F763,#REF!,10,0)/60*K763)</f>
        <v>0</v>
      </c>
      <c r="T763" s="3"/>
      <c r="U763" s="3"/>
      <c r="V763" s="4"/>
    </row>
    <row r="764" spans="1:22" x14ac:dyDescent="0.3">
      <c r="A764" s="5">
        <f t="shared" si="34"/>
        <v>0</v>
      </c>
      <c r="B764" s="6">
        <f t="shared" si="35"/>
        <v>0</v>
      </c>
      <c r="K764" s="18">
        <f t="shared" si="33"/>
        <v>0</v>
      </c>
      <c r="L764" s="21">
        <f>IF(ISERROR(VLOOKUP($F764,#REF!,6,0)*G764/1000),0,VLOOKUP($F764,#REF!,6,0)*G764/1000)</f>
        <v>0</v>
      </c>
      <c r="M764" s="21">
        <f>IF(ISERROR(VLOOKUP($F764,#REF!,6,0)*H764/1000),0,VLOOKUP($F764,#REF!,6,0)*H764/1000)</f>
        <v>0</v>
      </c>
      <c r="N764" s="21">
        <f>IF(ISERROR(VLOOKUP($F764,#REF!,6,0)*I764/1000),0,VLOOKUP($F764,#REF!,6,0)*I764/1000)</f>
        <v>0</v>
      </c>
      <c r="O764" s="21">
        <f>IF(ISERROR(VLOOKUP($F764,#REF!,6,0)*J764/1000),0,VLOOKUP($F764,#REF!,6,0)*J764/1000)</f>
        <v>0</v>
      </c>
      <c r="P764" s="21">
        <f>IF(ISERROR(VLOOKUP(F764,#REF!,6,0)*K764/1000),0,VLOOKUP(F764,#REF!,6,0)*K764/1000)</f>
        <v>0</v>
      </c>
      <c r="Q764" s="6">
        <f>IF(ISERROR(VLOOKUP(F764,#REF!,3,0)),0,VLOOKUP(F764,#REF!,3,0))</f>
        <v>0</v>
      </c>
      <c r="R764" s="6">
        <f>IF(ISERROR(VLOOKUP(F764,#REF!,4,0)),0,VLOOKUP(F764,#REF!,4,0))</f>
        <v>0</v>
      </c>
      <c r="S764" s="8">
        <f>IF(ISERROR(VLOOKUP(F764,#REF!,4,0)),0,VLOOKUP(F764,#REF!,10,0)/60*K764)</f>
        <v>0</v>
      </c>
      <c r="T764" s="3"/>
      <c r="U764" s="3"/>
      <c r="V764" s="4"/>
    </row>
    <row r="765" spans="1:22" x14ac:dyDescent="0.3">
      <c r="A765" s="5">
        <f t="shared" si="34"/>
        <v>0</v>
      </c>
      <c r="B765" s="6">
        <f t="shared" si="35"/>
        <v>0</v>
      </c>
      <c r="K765" s="18">
        <f t="shared" si="33"/>
        <v>0</v>
      </c>
      <c r="L765" s="21">
        <f>IF(ISERROR(VLOOKUP($F765,#REF!,6,0)*G765/1000),0,VLOOKUP($F765,#REF!,6,0)*G765/1000)</f>
        <v>0</v>
      </c>
      <c r="M765" s="21">
        <f>IF(ISERROR(VLOOKUP($F765,#REF!,6,0)*H765/1000),0,VLOOKUP($F765,#REF!,6,0)*H765/1000)</f>
        <v>0</v>
      </c>
      <c r="N765" s="21">
        <f>IF(ISERROR(VLOOKUP($F765,#REF!,6,0)*I765/1000),0,VLOOKUP($F765,#REF!,6,0)*I765/1000)</f>
        <v>0</v>
      </c>
      <c r="O765" s="21">
        <f>IF(ISERROR(VLOOKUP($F765,#REF!,6,0)*J765/1000),0,VLOOKUP($F765,#REF!,6,0)*J765/1000)</f>
        <v>0</v>
      </c>
      <c r="P765" s="21">
        <f>IF(ISERROR(VLOOKUP(F765,#REF!,6,0)*K765/1000),0,VLOOKUP(F765,#REF!,6,0)*K765/1000)</f>
        <v>0</v>
      </c>
      <c r="Q765" s="6">
        <f>IF(ISERROR(VLOOKUP(F765,#REF!,3,0)),0,VLOOKUP(F765,#REF!,3,0))</f>
        <v>0</v>
      </c>
      <c r="R765" s="6">
        <f>IF(ISERROR(VLOOKUP(F765,#REF!,4,0)),0,VLOOKUP(F765,#REF!,4,0))</f>
        <v>0</v>
      </c>
      <c r="S765" s="8">
        <f>IF(ISERROR(VLOOKUP(F765,#REF!,4,0)),0,VLOOKUP(F765,#REF!,10,0)/60*K765)</f>
        <v>0</v>
      </c>
      <c r="T765" s="3"/>
      <c r="U765" s="3"/>
      <c r="V765" s="4"/>
    </row>
    <row r="766" spans="1:22" x14ac:dyDescent="0.3">
      <c r="A766" s="5">
        <f t="shared" si="34"/>
        <v>0</v>
      </c>
      <c r="B766" s="6">
        <f t="shared" si="35"/>
        <v>0</v>
      </c>
      <c r="K766" s="18">
        <f t="shared" si="33"/>
        <v>0</v>
      </c>
      <c r="L766" s="21">
        <f>IF(ISERROR(VLOOKUP($F766,#REF!,6,0)*G766/1000),0,VLOOKUP($F766,#REF!,6,0)*G766/1000)</f>
        <v>0</v>
      </c>
      <c r="M766" s="21">
        <f>IF(ISERROR(VLOOKUP($F766,#REF!,6,0)*H766/1000),0,VLOOKUP($F766,#REF!,6,0)*H766/1000)</f>
        <v>0</v>
      </c>
      <c r="N766" s="21">
        <f>IF(ISERROR(VLOOKUP($F766,#REF!,6,0)*I766/1000),0,VLOOKUP($F766,#REF!,6,0)*I766/1000)</f>
        <v>0</v>
      </c>
      <c r="O766" s="21">
        <f>IF(ISERROR(VLOOKUP($F766,#REF!,6,0)*J766/1000),0,VLOOKUP($F766,#REF!,6,0)*J766/1000)</f>
        <v>0</v>
      </c>
      <c r="P766" s="21">
        <f>IF(ISERROR(VLOOKUP(F766,#REF!,6,0)*K766/1000),0,VLOOKUP(F766,#REF!,6,0)*K766/1000)</f>
        <v>0</v>
      </c>
      <c r="Q766" s="6">
        <f>IF(ISERROR(VLOOKUP(F766,#REF!,3,0)),0,VLOOKUP(F766,#REF!,3,0))</f>
        <v>0</v>
      </c>
      <c r="R766" s="6">
        <f>IF(ISERROR(VLOOKUP(F766,#REF!,4,0)),0,VLOOKUP(F766,#REF!,4,0))</f>
        <v>0</v>
      </c>
      <c r="S766" s="8">
        <f>IF(ISERROR(VLOOKUP(F766,#REF!,4,0)),0,VLOOKUP(F766,#REF!,10,0)/60*K766)</f>
        <v>0</v>
      </c>
      <c r="T766" s="3"/>
      <c r="U766" s="3"/>
      <c r="V766" s="4"/>
    </row>
    <row r="767" spans="1:22" x14ac:dyDescent="0.3">
      <c r="A767" s="5">
        <f t="shared" si="34"/>
        <v>0</v>
      </c>
      <c r="B767" s="6">
        <f t="shared" si="35"/>
        <v>0</v>
      </c>
      <c r="K767" s="18">
        <f t="shared" si="33"/>
        <v>0</v>
      </c>
      <c r="L767" s="21">
        <f>IF(ISERROR(VLOOKUP($F767,#REF!,6,0)*G767/1000),0,VLOOKUP($F767,#REF!,6,0)*G767/1000)</f>
        <v>0</v>
      </c>
      <c r="M767" s="21">
        <f>IF(ISERROR(VLOOKUP($F767,#REF!,6,0)*H767/1000),0,VLOOKUP($F767,#REF!,6,0)*H767/1000)</f>
        <v>0</v>
      </c>
      <c r="N767" s="21">
        <f>IF(ISERROR(VLOOKUP($F767,#REF!,6,0)*I767/1000),0,VLOOKUP($F767,#REF!,6,0)*I767/1000)</f>
        <v>0</v>
      </c>
      <c r="O767" s="21">
        <f>IF(ISERROR(VLOOKUP($F767,#REF!,6,0)*J767/1000),0,VLOOKUP($F767,#REF!,6,0)*J767/1000)</f>
        <v>0</v>
      </c>
      <c r="P767" s="21">
        <f>IF(ISERROR(VLOOKUP(F767,#REF!,6,0)*K767/1000),0,VLOOKUP(F767,#REF!,6,0)*K767/1000)</f>
        <v>0</v>
      </c>
      <c r="Q767" s="6">
        <f>IF(ISERROR(VLOOKUP(F767,#REF!,3,0)),0,VLOOKUP(F767,#REF!,3,0))</f>
        <v>0</v>
      </c>
      <c r="R767" s="6">
        <f>IF(ISERROR(VLOOKUP(F767,#REF!,4,0)),0,VLOOKUP(F767,#REF!,4,0))</f>
        <v>0</v>
      </c>
      <c r="S767" s="8">
        <f>IF(ISERROR(VLOOKUP(F767,#REF!,4,0)),0,VLOOKUP(F767,#REF!,10,0)/60*K767)</f>
        <v>0</v>
      </c>
      <c r="T767" s="3"/>
      <c r="U767" s="3"/>
      <c r="V767" s="4"/>
    </row>
    <row r="768" spans="1:22" x14ac:dyDescent="0.3">
      <c r="A768" s="5">
        <f t="shared" si="34"/>
        <v>0</v>
      </c>
      <c r="B768" s="6">
        <f t="shared" si="35"/>
        <v>0</v>
      </c>
      <c r="K768" s="18">
        <f t="shared" si="33"/>
        <v>0</v>
      </c>
      <c r="L768" s="21">
        <f>IF(ISERROR(VLOOKUP($F768,#REF!,6,0)*G768/1000),0,VLOOKUP($F768,#REF!,6,0)*G768/1000)</f>
        <v>0</v>
      </c>
      <c r="M768" s="21">
        <f>IF(ISERROR(VLOOKUP($F768,#REF!,6,0)*H768/1000),0,VLOOKUP($F768,#REF!,6,0)*H768/1000)</f>
        <v>0</v>
      </c>
      <c r="N768" s="21">
        <f>IF(ISERROR(VLOOKUP($F768,#REF!,6,0)*I768/1000),0,VLOOKUP($F768,#REF!,6,0)*I768/1000)</f>
        <v>0</v>
      </c>
      <c r="O768" s="21">
        <f>IF(ISERROR(VLOOKUP($F768,#REF!,6,0)*J768/1000),0,VLOOKUP($F768,#REF!,6,0)*J768/1000)</f>
        <v>0</v>
      </c>
      <c r="P768" s="21">
        <f>IF(ISERROR(VLOOKUP(F768,#REF!,6,0)*K768/1000),0,VLOOKUP(F768,#REF!,6,0)*K768/1000)</f>
        <v>0</v>
      </c>
      <c r="Q768" s="6">
        <f>IF(ISERROR(VLOOKUP(F768,#REF!,3,0)),0,VLOOKUP(F768,#REF!,3,0))</f>
        <v>0</v>
      </c>
      <c r="R768" s="6">
        <f>IF(ISERROR(VLOOKUP(F768,#REF!,4,0)),0,VLOOKUP(F768,#REF!,4,0))</f>
        <v>0</v>
      </c>
      <c r="S768" s="8">
        <f>IF(ISERROR(VLOOKUP(F768,#REF!,4,0)),0,VLOOKUP(F768,#REF!,10,0)/60*K768)</f>
        <v>0</v>
      </c>
      <c r="T768" s="3"/>
      <c r="U768" s="3"/>
      <c r="V768" s="4"/>
    </row>
    <row r="769" spans="1:22" x14ac:dyDescent="0.3">
      <c r="A769" s="5">
        <f t="shared" si="34"/>
        <v>0</v>
      </c>
      <c r="B769" s="6">
        <f t="shared" si="35"/>
        <v>0</v>
      </c>
      <c r="K769" s="18">
        <f t="shared" si="33"/>
        <v>0</v>
      </c>
      <c r="L769" s="21">
        <f>IF(ISERROR(VLOOKUP($F769,#REF!,6,0)*G769/1000),0,VLOOKUP($F769,#REF!,6,0)*G769/1000)</f>
        <v>0</v>
      </c>
      <c r="M769" s="21">
        <f>IF(ISERROR(VLOOKUP($F769,#REF!,6,0)*H769/1000),0,VLOOKUP($F769,#REF!,6,0)*H769/1000)</f>
        <v>0</v>
      </c>
      <c r="N769" s="21">
        <f>IF(ISERROR(VLOOKUP($F769,#REF!,6,0)*I769/1000),0,VLOOKUP($F769,#REF!,6,0)*I769/1000)</f>
        <v>0</v>
      </c>
      <c r="O769" s="21">
        <f>IF(ISERROR(VLOOKUP($F769,#REF!,6,0)*J769/1000),0,VLOOKUP($F769,#REF!,6,0)*J769/1000)</f>
        <v>0</v>
      </c>
      <c r="P769" s="21">
        <f>IF(ISERROR(VLOOKUP(F769,#REF!,6,0)*K769/1000),0,VLOOKUP(F769,#REF!,6,0)*K769/1000)</f>
        <v>0</v>
      </c>
      <c r="Q769" s="6">
        <f>IF(ISERROR(VLOOKUP(F769,#REF!,3,0)),0,VLOOKUP(F769,#REF!,3,0))</f>
        <v>0</v>
      </c>
      <c r="R769" s="6">
        <f>IF(ISERROR(VLOOKUP(F769,#REF!,4,0)),0,VLOOKUP(F769,#REF!,4,0))</f>
        <v>0</v>
      </c>
      <c r="S769" s="8">
        <f>IF(ISERROR(VLOOKUP(F769,#REF!,4,0)),0,VLOOKUP(F769,#REF!,10,0)/60*K769)</f>
        <v>0</v>
      </c>
      <c r="T769" s="3"/>
      <c r="U769" s="3"/>
      <c r="V769" s="4"/>
    </row>
    <row r="770" spans="1:22" x14ac:dyDescent="0.3">
      <c r="A770" s="5">
        <f t="shared" si="34"/>
        <v>0</v>
      </c>
      <c r="B770" s="6">
        <f t="shared" si="35"/>
        <v>0</v>
      </c>
      <c r="K770" s="18">
        <f t="shared" si="33"/>
        <v>0</v>
      </c>
      <c r="L770" s="21">
        <f>IF(ISERROR(VLOOKUP($F770,#REF!,6,0)*G770/1000),0,VLOOKUP($F770,#REF!,6,0)*G770/1000)</f>
        <v>0</v>
      </c>
      <c r="M770" s="21">
        <f>IF(ISERROR(VLOOKUP($F770,#REF!,6,0)*H770/1000),0,VLOOKUP($F770,#REF!,6,0)*H770/1000)</f>
        <v>0</v>
      </c>
      <c r="N770" s="21">
        <f>IF(ISERROR(VLOOKUP($F770,#REF!,6,0)*I770/1000),0,VLOOKUP($F770,#REF!,6,0)*I770/1000)</f>
        <v>0</v>
      </c>
      <c r="O770" s="21">
        <f>IF(ISERROR(VLOOKUP($F770,#REF!,6,0)*J770/1000),0,VLOOKUP($F770,#REF!,6,0)*J770/1000)</f>
        <v>0</v>
      </c>
      <c r="P770" s="21">
        <f>IF(ISERROR(VLOOKUP(F770,#REF!,6,0)*K770/1000),0,VLOOKUP(F770,#REF!,6,0)*K770/1000)</f>
        <v>0</v>
      </c>
      <c r="Q770" s="6">
        <f>IF(ISERROR(VLOOKUP(F770,#REF!,3,0)),0,VLOOKUP(F770,#REF!,3,0))</f>
        <v>0</v>
      </c>
      <c r="R770" s="6">
        <f>IF(ISERROR(VLOOKUP(F770,#REF!,4,0)),0,VLOOKUP(F770,#REF!,4,0))</f>
        <v>0</v>
      </c>
      <c r="S770" s="8">
        <f>IF(ISERROR(VLOOKUP(F770,#REF!,4,0)),0,VLOOKUP(F770,#REF!,10,0)/60*K770)</f>
        <v>0</v>
      </c>
      <c r="T770" s="3"/>
      <c r="U770" s="3"/>
      <c r="V770" s="4"/>
    </row>
    <row r="771" spans="1:22" x14ac:dyDescent="0.3">
      <c r="A771" s="5">
        <f t="shared" si="34"/>
        <v>0</v>
      </c>
      <c r="B771" s="6">
        <f t="shared" si="35"/>
        <v>0</v>
      </c>
      <c r="K771" s="18">
        <f t="shared" si="33"/>
        <v>0</v>
      </c>
      <c r="L771" s="21">
        <f>IF(ISERROR(VLOOKUP($F771,#REF!,6,0)*G771/1000),0,VLOOKUP($F771,#REF!,6,0)*G771/1000)</f>
        <v>0</v>
      </c>
      <c r="M771" s="21">
        <f>IF(ISERROR(VLOOKUP($F771,#REF!,6,0)*H771/1000),0,VLOOKUP($F771,#REF!,6,0)*H771/1000)</f>
        <v>0</v>
      </c>
      <c r="N771" s="21">
        <f>IF(ISERROR(VLOOKUP($F771,#REF!,6,0)*I771/1000),0,VLOOKUP($F771,#REF!,6,0)*I771/1000)</f>
        <v>0</v>
      </c>
      <c r="O771" s="21">
        <f>IF(ISERROR(VLOOKUP($F771,#REF!,6,0)*J771/1000),0,VLOOKUP($F771,#REF!,6,0)*J771/1000)</f>
        <v>0</v>
      </c>
      <c r="P771" s="21">
        <f>IF(ISERROR(VLOOKUP(F771,#REF!,6,0)*K771/1000),0,VLOOKUP(F771,#REF!,6,0)*K771/1000)</f>
        <v>0</v>
      </c>
      <c r="Q771" s="6">
        <f>IF(ISERROR(VLOOKUP(F771,#REF!,3,0)),0,VLOOKUP(F771,#REF!,3,0))</f>
        <v>0</v>
      </c>
      <c r="R771" s="6">
        <f>IF(ISERROR(VLOOKUP(F771,#REF!,4,0)),0,VLOOKUP(F771,#REF!,4,0))</f>
        <v>0</v>
      </c>
      <c r="S771" s="8">
        <f>IF(ISERROR(VLOOKUP(F771,#REF!,4,0)),0,VLOOKUP(F771,#REF!,10,0)/60*K771)</f>
        <v>0</v>
      </c>
      <c r="T771" s="3"/>
      <c r="U771" s="3"/>
      <c r="V771" s="4"/>
    </row>
    <row r="772" spans="1:22" x14ac:dyDescent="0.3">
      <c r="A772" s="5">
        <f t="shared" si="34"/>
        <v>0</v>
      </c>
      <c r="B772" s="6">
        <f t="shared" si="35"/>
        <v>0</v>
      </c>
      <c r="K772" s="18">
        <f t="shared" ref="K772:K835" si="36">SUM(G772:J772)</f>
        <v>0</v>
      </c>
      <c r="L772" s="21">
        <f>IF(ISERROR(VLOOKUP($F772,#REF!,6,0)*G772/1000),0,VLOOKUP($F772,#REF!,6,0)*G772/1000)</f>
        <v>0</v>
      </c>
      <c r="M772" s="21">
        <f>IF(ISERROR(VLOOKUP($F772,#REF!,6,0)*H772/1000),0,VLOOKUP($F772,#REF!,6,0)*H772/1000)</f>
        <v>0</v>
      </c>
      <c r="N772" s="21">
        <f>IF(ISERROR(VLOOKUP($F772,#REF!,6,0)*I772/1000),0,VLOOKUP($F772,#REF!,6,0)*I772/1000)</f>
        <v>0</v>
      </c>
      <c r="O772" s="21">
        <f>IF(ISERROR(VLOOKUP($F772,#REF!,6,0)*J772/1000),0,VLOOKUP($F772,#REF!,6,0)*J772/1000)</f>
        <v>0</v>
      </c>
      <c r="P772" s="21">
        <f>IF(ISERROR(VLOOKUP(F772,#REF!,6,0)*K772/1000),0,VLOOKUP(F772,#REF!,6,0)*K772/1000)</f>
        <v>0</v>
      </c>
      <c r="Q772" s="6">
        <f>IF(ISERROR(VLOOKUP(F772,#REF!,3,0)),0,VLOOKUP(F772,#REF!,3,0))</f>
        <v>0</v>
      </c>
      <c r="R772" s="6">
        <f>IF(ISERROR(VLOOKUP(F772,#REF!,4,0)),0,VLOOKUP(F772,#REF!,4,0))</f>
        <v>0</v>
      </c>
      <c r="S772" s="8">
        <f>IF(ISERROR(VLOOKUP(F772,#REF!,4,0)),0,VLOOKUP(F772,#REF!,10,0)/60*K772)</f>
        <v>0</v>
      </c>
      <c r="T772" s="3"/>
      <c r="U772" s="3"/>
      <c r="V772" s="4"/>
    </row>
    <row r="773" spans="1:22" x14ac:dyDescent="0.3">
      <c r="A773" s="5">
        <f t="shared" ref="A773:A836" si="37">IF(C773=0,0,YEAR(C773))</f>
        <v>0</v>
      </c>
      <c r="B773" s="6">
        <f t="shared" ref="B773:B836" si="38">IF(C773&gt;0,VLOOKUP(MONTH($C773),$AJ$3:$AK$14,2,0),0)</f>
        <v>0</v>
      </c>
      <c r="K773" s="18">
        <f t="shared" si="36"/>
        <v>0</v>
      </c>
      <c r="L773" s="21">
        <f>IF(ISERROR(VLOOKUP($F773,#REF!,6,0)*G773/1000),0,VLOOKUP($F773,#REF!,6,0)*G773/1000)</f>
        <v>0</v>
      </c>
      <c r="M773" s="21">
        <f>IF(ISERROR(VLOOKUP($F773,#REF!,6,0)*H773/1000),0,VLOOKUP($F773,#REF!,6,0)*H773/1000)</f>
        <v>0</v>
      </c>
      <c r="N773" s="21">
        <f>IF(ISERROR(VLOOKUP($F773,#REF!,6,0)*I773/1000),0,VLOOKUP($F773,#REF!,6,0)*I773/1000)</f>
        <v>0</v>
      </c>
      <c r="O773" s="21">
        <f>IF(ISERROR(VLOOKUP($F773,#REF!,6,0)*J773/1000),0,VLOOKUP($F773,#REF!,6,0)*J773/1000)</f>
        <v>0</v>
      </c>
      <c r="P773" s="21">
        <f>IF(ISERROR(VLOOKUP(F773,#REF!,6,0)*K773/1000),0,VLOOKUP(F773,#REF!,6,0)*K773/1000)</f>
        <v>0</v>
      </c>
      <c r="Q773" s="6">
        <f>IF(ISERROR(VLOOKUP(F773,#REF!,3,0)),0,VLOOKUP(F773,#REF!,3,0))</f>
        <v>0</v>
      </c>
      <c r="R773" s="6">
        <f>IF(ISERROR(VLOOKUP(F773,#REF!,4,0)),0,VLOOKUP(F773,#REF!,4,0))</f>
        <v>0</v>
      </c>
      <c r="S773" s="8">
        <f>IF(ISERROR(VLOOKUP(F773,#REF!,4,0)),0,VLOOKUP(F773,#REF!,10,0)/60*K773)</f>
        <v>0</v>
      </c>
      <c r="T773" s="3"/>
      <c r="U773" s="3"/>
      <c r="V773" s="4"/>
    </row>
    <row r="774" spans="1:22" x14ac:dyDescent="0.3">
      <c r="A774" s="5">
        <f t="shared" si="37"/>
        <v>0</v>
      </c>
      <c r="B774" s="6">
        <f t="shared" si="38"/>
        <v>0</v>
      </c>
      <c r="K774" s="18">
        <f t="shared" si="36"/>
        <v>0</v>
      </c>
      <c r="L774" s="21">
        <f>IF(ISERROR(VLOOKUP($F774,#REF!,6,0)*G774/1000),0,VLOOKUP($F774,#REF!,6,0)*G774/1000)</f>
        <v>0</v>
      </c>
      <c r="M774" s="21">
        <f>IF(ISERROR(VLOOKUP($F774,#REF!,6,0)*H774/1000),0,VLOOKUP($F774,#REF!,6,0)*H774/1000)</f>
        <v>0</v>
      </c>
      <c r="N774" s="21">
        <f>IF(ISERROR(VLOOKUP($F774,#REF!,6,0)*I774/1000),0,VLOOKUP($F774,#REF!,6,0)*I774/1000)</f>
        <v>0</v>
      </c>
      <c r="O774" s="21">
        <f>IF(ISERROR(VLOOKUP($F774,#REF!,6,0)*J774/1000),0,VLOOKUP($F774,#REF!,6,0)*J774/1000)</f>
        <v>0</v>
      </c>
      <c r="P774" s="21">
        <f>IF(ISERROR(VLOOKUP(F774,#REF!,6,0)*K774/1000),0,VLOOKUP(F774,#REF!,6,0)*K774/1000)</f>
        <v>0</v>
      </c>
      <c r="Q774" s="6">
        <f>IF(ISERROR(VLOOKUP(F774,#REF!,3,0)),0,VLOOKUP(F774,#REF!,3,0))</f>
        <v>0</v>
      </c>
      <c r="R774" s="6">
        <f>IF(ISERROR(VLOOKUP(F774,#REF!,4,0)),0,VLOOKUP(F774,#REF!,4,0))</f>
        <v>0</v>
      </c>
      <c r="S774" s="8">
        <f>IF(ISERROR(VLOOKUP(F774,#REF!,4,0)),0,VLOOKUP(F774,#REF!,10,0)/60*K774)</f>
        <v>0</v>
      </c>
      <c r="T774" s="3"/>
      <c r="U774" s="3"/>
      <c r="V774" s="4"/>
    </row>
    <row r="775" spans="1:22" x14ac:dyDescent="0.3">
      <c r="A775" s="5">
        <f t="shared" si="37"/>
        <v>0</v>
      </c>
      <c r="B775" s="6">
        <f t="shared" si="38"/>
        <v>0</v>
      </c>
      <c r="K775" s="18">
        <f t="shared" si="36"/>
        <v>0</v>
      </c>
      <c r="L775" s="21">
        <f>IF(ISERROR(VLOOKUP($F775,#REF!,6,0)*G775/1000),0,VLOOKUP($F775,#REF!,6,0)*G775/1000)</f>
        <v>0</v>
      </c>
      <c r="M775" s="21">
        <f>IF(ISERROR(VLOOKUP($F775,#REF!,6,0)*H775/1000),0,VLOOKUP($F775,#REF!,6,0)*H775/1000)</f>
        <v>0</v>
      </c>
      <c r="N775" s="21">
        <f>IF(ISERROR(VLOOKUP($F775,#REF!,6,0)*I775/1000),0,VLOOKUP($F775,#REF!,6,0)*I775/1000)</f>
        <v>0</v>
      </c>
      <c r="O775" s="21">
        <f>IF(ISERROR(VLOOKUP($F775,#REF!,6,0)*J775/1000),0,VLOOKUP($F775,#REF!,6,0)*J775/1000)</f>
        <v>0</v>
      </c>
      <c r="P775" s="21">
        <f>IF(ISERROR(VLOOKUP(F775,#REF!,6,0)*K775/1000),0,VLOOKUP(F775,#REF!,6,0)*K775/1000)</f>
        <v>0</v>
      </c>
      <c r="Q775" s="6">
        <f>IF(ISERROR(VLOOKUP(F775,#REF!,3,0)),0,VLOOKUP(F775,#REF!,3,0))</f>
        <v>0</v>
      </c>
      <c r="R775" s="6">
        <f>IF(ISERROR(VLOOKUP(F775,#REF!,4,0)),0,VLOOKUP(F775,#REF!,4,0))</f>
        <v>0</v>
      </c>
      <c r="S775" s="8">
        <f>IF(ISERROR(VLOOKUP(F775,#REF!,4,0)),0,VLOOKUP(F775,#REF!,10,0)/60*K775)</f>
        <v>0</v>
      </c>
      <c r="T775" s="3"/>
      <c r="U775" s="3"/>
      <c r="V775" s="4"/>
    </row>
    <row r="776" spans="1:22" x14ac:dyDescent="0.3">
      <c r="A776" s="5">
        <f t="shared" si="37"/>
        <v>0</v>
      </c>
      <c r="B776" s="6">
        <f t="shared" si="38"/>
        <v>0</v>
      </c>
      <c r="K776" s="18">
        <f t="shared" si="36"/>
        <v>0</v>
      </c>
      <c r="L776" s="21">
        <f>IF(ISERROR(VLOOKUP($F776,#REF!,6,0)*G776/1000),0,VLOOKUP($F776,#REF!,6,0)*G776/1000)</f>
        <v>0</v>
      </c>
      <c r="M776" s="21">
        <f>IF(ISERROR(VLOOKUP($F776,#REF!,6,0)*H776/1000),0,VLOOKUP($F776,#REF!,6,0)*H776/1000)</f>
        <v>0</v>
      </c>
      <c r="N776" s="21">
        <f>IF(ISERROR(VLOOKUP($F776,#REF!,6,0)*I776/1000),0,VLOOKUP($F776,#REF!,6,0)*I776/1000)</f>
        <v>0</v>
      </c>
      <c r="O776" s="21">
        <f>IF(ISERROR(VLOOKUP($F776,#REF!,6,0)*J776/1000),0,VLOOKUP($F776,#REF!,6,0)*J776/1000)</f>
        <v>0</v>
      </c>
      <c r="P776" s="21">
        <f>IF(ISERROR(VLOOKUP(F776,#REF!,6,0)*K776/1000),0,VLOOKUP(F776,#REF!,6,0)*K776/1000)</f>
        <v>0</v>
      </c>
      <c r="Q776" s="6">
        <f>IF(ISERROR(VLOOKUP(F776,#REF!,3,0)),0,VLOOKUP(F776,#REF!,3,0))</f>
        <v>0</v>
      </c>
      <c r="R776" s="6">
        <f>IF(ISERROR(VLOOKUP(F776,#REF!,4,0)),0,VLOOKUP(F776,#REF!,4,0))</f>
        <v>0</v>
      </c>
      <c r="S776" s="8">
        <f>IF(ISERROR(VLOOKUP(F776,#REF!,4,0)),0,VLOOKUP(F776,#REF!,10,0)/60*K776)</f>
        <v>0</v>
      </c>
      <c r="T776" s="3"/>
      <c r="U776" s="3"/>
      <c r="V776" s="4"/>
    </row>
    <row r="777" spans="1:22" x14ac:dyDescent="0.3">
      <c r="A777" s="5">
        <f t="shared" si="37"/>
        <v>0</v>
      </c>
      <c r="B777" s="6">
        <f t="shared" si="38"/>
        <v>0</v>
      </c>
      <c r="K777" s="18">
        <f t="shared" si="36"/>
        <v>0</v>
      </c>
      <c r="L777" s="21">
        <f>IF(ISERROR(VLOOKUP($F777,#REF!,6,0)*G777/1000),0,VLOOKUP($F777,#REF!,6,0)*G777/1000)</f>
        <v>0</v>
      </c>
      <c r="M777" s="21">
        <f>IF(ISERROR(VLOOKUP($F777,#REF!,6,0)*H777/1000),0,VLOOKUP($F777,#REF!,6,0)*H777/1000)</f>
        <v>0</v>
      </c>
      <c r="N777" s="21">
        <f>IF(ISERROR(VLOOKUP($F777,#REF!,6,0)*I777/1000),0,VLOOKUP($F777,#REF!,6,0)*I777/1000)</f>
        <v>0</v>
      </c>
      <c r="O777" s="21">
        <f>IF(ISERROR(VLOOKUP($F777,#REF!,6,0)*J777/1000),0,VLOOKUP($F777,#REF!,6,0)*J777/1000)</f>
        <v>0</v>
      </c>
      <c r="P777" s="21">
        <f>IF(ISERROR(VLOOKUP(F777,#REF!,6,0)*K777/1000),0,VLOOKUP(F777,#REF!,6,0)*K777/1000)</f>
        <v>0</v>
      </c>
      <c r="Q777" s="6">
        <f>IF(ISERROR(VLOOKUP(F777,#REF!,3,0)),0,VLOOKUP(F777,#REF!,3,0))</f>
        <v>0</v>
      </c>
      <c r="R777" s="6">
        <f>IF(ISERROR(VLOOKUP(F777,#REF!,4,0)),0,VLOOKUP(F777,#REF!,4,0))</f>
        <v>0</v>
      </c>
      <c r="S777" s="8">
        <f>IF(ISERROR(VLOOKUP(F777,#REF!,4,0)),0,VLOOKUP(F777,#REF!,10,0)/60*K777)</f>
        <v>0</v>
      </c>
      <c r="T777" s="3"/>
      <c r="U777" s="3"/>
      <c r="V777" s="4"/>
    </row>
    <row r="778" spans="1:22" x14ac:dyDescent="0.3">
      <c r="A778" s="5">
        <f t="shared" si="37"/>
        <v>0</v>
      </c>
      <c r="B778" s="6">
        <f t="shared" si="38"/>
        <v>0</v>
      </c>
      <c r="K778" s="18">
        <f t="shared" si="36"/>
        <v>0</v>
      </c>
      <c r="L778" s="21">
        <f>IF(ISERROR(VLOOKUP($F778,#REF!,6,0)*G778/1000),0,VLOOKUP($F778,#REF!,6,0)*G778/1000)</f>
        <v>0</v>
      </c>
      <c r="M778" s="21">
        <f>IF(ISERROR(VLOOKUP($F778,#REF!,6,0)*H778/1000),0,VLOOKUP($F778,#REF!,6,0)*H778/1000)</f>
        <v>0</v>
      </c>
      <c r="N778" s="21">
        <f>IF(ISERROR(VLOOKUP($F778,#REF!,6,0)*I778/1000),0,VLOOKUP($F778,#REF!,6,0)*I778/1000)</f>
        <v>0</v>
      </c>
      <c r="O778" s="21">
        <f>IF(ISERROR(VLOOKUP($F778,#REF!,6,0)*J778/1000),0,VLOOKUP($F778,#REF!,6,0)*J778/1000)</f>
        <v>0</v>
      </c>
      <c r="P778" s="21">
        <f>IF(ISERROR(VLOOKUP(F778,#REF!,6,0)*K778/1000),0,VLOOKUP(F778,#REF!,6,0)*K778/1000)</f>
        <v>0</v>
      </c>
      <c r="Q778" s="6">
        <f>IF(ISERROR(VLOOKUP(F778,#REF!,3,0)),0,VLOOKUP(F778,#REF!,3,0))</f>
        <v>0</v>
      </c>
      <c r="R778" s="6">
        <f>IF(ISERROR(VLOOKUP(F778,#REF!,4,0)),0,VLOOKUP(F778,#REF!,4,0))</f>
        <v>0</v>
      </c>
      <c r="S778" s="8">
        <f>IF(ISERROR(VLOOKUP(F778,#REF!,4,0)),0,VLOOKUP(F778,#REF!,10,0)/60*K778)</f>
        <v>0</v>
      </c>
      <c r="T778" s="3"/>
      <c r="U778" s="3"/>
      <c r="V778" s="4"/>
    </row>
    <row r="779" spans="1:22" x14ac:dyDescent="0.3">
      <c r="A779" s="5">
        <f t="shared" si="37"/>
        <v>0</v>
      </c>
      <c r="B779" s="6">
        <f t="shared" si="38"/>
        <v>0</v>
      </c>
      <c r="K779" s="18">
        <f t="shared" si="36"/>
        <v>0</v>
      </c>
      <c r="L779" s="21">
        <f>IF(ISERROR(VLOOKUP($F779,#REF!,6,0)*G779/1000),0,VLOOKUP($F779,#REF!,6,0)*G779/1000)</f>
        <v>0</v>
      </c>
      <c r="M779" s="21">
        <f>IF(ISERROR(VLOOKUP($F779,#REF!,6,0)*H779/1000),0,VLOOKUP($F779,#REF!,6,0)*H779/1000)</f>
        <v>0</v>
      </c>
      <c r="N779" s="21">
        <f>IF(ISERROR(VLOOKUP($F779,#REF!,6,0)*I779/1000),0,VLOOKUP($F779,#REF!,6,0)*I779/1000)</f>
        <v>0</v>
      </c>
      <c r="O779" s="21">
        <f>IF(ISERROR(VLOOKUP($F779,#REF!,6,0)*J779/1000),0,VLOOKUP($F779,#REF!,6,0)*J779/1000)</f>
        <v>0</v>
      </c>
      <c r="P779" s="21">
        <f>IF(ISERROR(VLOOKUP(F779,#REF!,6,0)*K779/1000),0,VLOOKUP(F779,#REF!,6,0)*K779/1000)</f>
        <v>0</v>
      </c>
      <c r="Q779" s="6">
        <f>IF(ISERROR(VLOOKUP(F779,#REF!,3,0)),0,VLOOKUP(F779,#REF!,3,0))</f>
        <v>0</v>
      </c>
      <c r="R779" s="6">
        <f>IF(ISERROR(VLOOKUP(F779,#REF!,4,0)),0,VLOOKUP(F779,#REF!,4,0))</f>
        <v>0</v>
      </c>
      <c r="S779" s="8">
        <f>IF(ISERROR(VLOOKUP(F779,#REF!,4,0)),0,VLOOKUP(F779,#REF!,10,0)/60*K779)</f>
        <v>0</v>
      </c>
      <c r="T779" s="3"/>
      <c r="U779" s="3"/>
      <c r="V779" s="4"/>
    </row>
    <row r="780" spans="1:22" x14ac:dyDescent="0.3">
      <c r="A780" s="5">
        <f t="shared" si="37"/>
        <v>0</v>
      </c>
      <c r="B780" s="6">
        <f t="shared" si="38"/>
        <v>0</v>
      </c>
      <c r="K780" s="18">
        <f t="shared" si="36"/>
        <v>0</v>
      </c>
      <c r="L780" s="21">
        <f>IF(ISERROR(VLOOKUP($F780,#REF!,6,0)*G780/1000),0,VLOOKUP($F780,#REF!,6,0)*G780/1000)</f>
        <v>0</v>
      </c>
      <c r="M780" s="21">
        <f>IF(ISERROR(VLOOKUP($F780,#REF!,6,0)*H780/1000),0,VLOOKUP($F780,#REF!,6,0)*H780/1000)</f>
        <v>0</v>
      </c>
      <c r="N780" s="21">
        <f>IF(ISERROR(VLOOKUP($F780,#REF!,6,0)*I780/1000),0,VLOOKUP($F780,#REF!,6,0)*I780/1000)</f>
        <v>0</v>
      </c>
      <c r="O780" s="21">
        <f>IF(ISERROR(VLOOKUP($F780,#REF!,6,0)*J780/1000),0,VLOOKUP($F780,#REF!,6,0)*J780/1000)</f>
        <v>0</v>
      </c>
      <c r="P780" s="21">
        <f>IF(ISERROR(VLOOKUP(F780,#REF!,6,0)*K780/1000),0,VLOOKUP(F780,#REF!,6,0)*K780/1000)</f>
        <v>0</v>
      </c>
      <c r="Q780" s="6">
        <f>IF(ISERROR(VLOOKUP(F780,#REF!,3,0)),0,VLOOKUP(F780,#REF!,3,0))</f>
        <v>0</v>
      </c>
      <c r="R780" s="6">
        <f>IF(ISERROR(VLOOKUP(F780,#REF!,4,0)),0,VLOOKUP(F780,#REF!,4,0))</f>
        <v>0</v>
      </c>
      <c r="S780" s="8">
        <f>IF(ISERROR(VLOOKUP(F780,#REF!,4,0)),0,VLOOKUP(F780,#REF!,10,0)/60*K780)</f>
        <v>0</v>
      </c>
      <c r="T780" s="3"/>
      <c r="U780" s="3"/>
      <c r="V780" s="4"/>
    </row>
    <row r="781" spans="1:22" x14ac:dyDescent="0.3">
      <c r="A781" s="5">
        <f t="shared" si="37"/>
        <v>0</v>
      </c>
      <c r="B781" s="6">
        <f t="shared" si="38"/>
        <v>0</v>
      </c>
      <c r="K781" s="18">
        <f t="shared" si="36"/>
        <v>0</v>
      </c>
      <c r="L781" s="21">
        <f>IF(ISERROR(VLOOKUP($F781,#REF!,6,0)*G781/1000),0,VLOOKUP($F781,#REF!,6,0)*G781/1000)</f>
        <v>0</v>
      </c>
      <c r="M781" s="21">
        <f>IF(ISERROR(VLOOKUP($F781,#REF!,6,0)*H781/1000),0,VLOOKUP($F781,#REF!,6,0)*H781/1000)</f>
        <v>0</v>
      </c>
      <c r="N781" s="21">
        <f>IF(ISERROR(VLOOKUP($F781,#REF!,6,0)*I781/1000),0,VLOOKUP($F781,#REF!,6,0)*I781/1000)</f>
        <v>0</v>
      </c>
      <c r="O781" s="21">
        <f>IF(ISERROR(VLOOKUP($F781,#REF!,6,0)*J781/1000),0,VLOOKUP($F781,#REF!,6,0)*J781/1000)</f>
        <v>0</v>
      </c>
      <c r="P781" s="21">
        <f>IF(ISERROR(VLOOKUP(F781,#REF!,6,0)*K781/1000),0,VLOOKUP(F781,#REF!,6,0)*K781/1000)</f>
        <v>0</v>
      </c>
      <c r="Q781" s="6">
        <f>IF(ISERROR(VLOOKUP(F781,#REF!,3,0)),0,VLOOKUP(F781,#REF!,3,0))</f>
        <v>0</v>
      </c>
      <c r="R781" s="6">
        <f>IF(ISERROR(VLOOKUP(F781,#REF!,4,0)),0,VLOOKUP(F781,#REF!,4,0))</f>
        <v>0</v>
      </c>
      <c r="S781" s="8">
        <f>IF(ISERROR(VLOOKUP(F781,#REF!,4,0)),0,VLOOKUP(F781,#REF!,10,0)/60*K781)</f>
        <v>0</v>
      </c>
      <c r="T781" s="3"/>
      <c r="U781" s="3"/>
      <c r="V781" s="4"/>
    </row>
    <row r="782" spans="1:22" x14ac:dyDescent="0.3">
      <c r="A782" s="5">
        <f t="shared" si="37"/>
        <v>0</v>
      </c>
      <c r="B782" s="6">
        <f t="shared" si="38"/>
        <v>0</v>
      </c>
      <c r="K782" s="18">
        <f t="shared" si="36"/>
        <v>0</v>
      </c>
      <c r="L782" s="21">
        <f>IF(ISERROR(VLOOKUP($F782,#REF!,6,0)*G782/1000),0,VLOOKUP($F782,#REF!,6,0)*G782/1000)</f>
        <v>0</v>
      </c>
      <c r="M782" s="21">
        <f>IF(ISERROR(VLOOKUP($F782,#REF!,6,0)*H782/1000),0,VLOOKUP($F782,#REF!,6,0)*H782/1000)</f>
        <v>0</v>
      </c>
      <c r="N782" s="21">
        <f>IF(ISERROR(VLOOKUP($F782,#REF!,6,0)*I782/1000),0,VLOOKUP($F782,#REF!,6,0)*I782/1000)</f>
        <v>0</v>
      </c>
      <c r="O782" s="21">
        <f>IF(ISERROR(VLOOKUP($F782,#REF!,6,0)*J782/1000),0,VLOOKUP($F782,#REF!,6,0)*J782/1000)</f>
        <v>0</v>
      </c>
      <c r="P782" s="21">
        <f>IF(ISERROR(VLOOKUP(F782,#REF!,6,0)*K782/1000),0,VLOOKUP(F782,#REF!,6,0)*K782/1000)</f>
        <v>0</v>
      </c>
      <c r="Q782" s="6">
        <f>IF(ISERROR(VLOOKUP(F782,#REF!,3,0)),0,VLOOKUP(F782,#REF!,3,0))</f>
        <v>0</v>
      </c>
      <c r="R782" s="6">
        <f>IF(ISERROR(VLOOKUP(F782,#REF!,4,0)),0,VLOOKUP(F782,#REF!,4,0))</f>
        <v>0</v>
      </c>
      <c r="S782" s="8">
        <f>IF(ISERROR(VLOOKUP(F782,#REF!,4,0)),0,VLOOKUP(F782,#REF!,10,0)/60*K782)</f>
        <v>0</v>
      </c>
      <c r="T782" s="3"/>
      <c r="U782" s="3"/>
      <c r="V782" s="4"/>
    </row>
    <row r="783" spans="1:22" x14ac:dyDescent="0.3">
      <c r="A783" s="5">
        <f t="shared" si="37"/>
        <v>0</v>
      </c>
      <c r="B783" s="6">
        <f t="shared" si="38"/>
        <v>0</v>
      </c>
      <c r="K783" s="18">
        <f t="shared" si="36"/>
        <v>0</v>
      </c>
      <c r="L783" s="21">
        <f>IF(ISERROR(VLOOKUP($F783,#REF!,6,0)*G783/1000),0,VLOOKUP($F783,#REF!,6,0)*G783/1000)</f>
        <v>0</v>
      </c>
      <c r="M783" s="21">
        <f>IF(ISERROR(VLOOKUP($F783,#REF!,6,0)*H783/1000),0,VLOOKUP($F783,#REF!,6,0)*H783/1000)</f>
        <v>0</v>
      </c>
      <c r="N783" s="21">
        <f>IF(ISERROR(VLOOKUP($F783,#REF!,6,0)*I783/1000),0,VLOOKUP($F783,#REF!,6,0)*I783/1000)</f>
        <v>0</v>
      </c>
      <c r="O783" s="21">
        <f>IF(ISERROR(VLOOKUP($F783,#REF!,6,0)*J783/1000),0,VLOOKUP($F783,#REF!,6,0)*J783/1000)</f>
        <v>0</v>
      </c>
      <c r="P783" s="21">
        <f>IF(ISERROR(VLOOKUP(F783,#REF!,6,0)*K783/1000),0,VLOOKUP(F783,#REF!,6,0)*K783/1000)</f>
        <v>0</v>
      </c>
      <c r="Q783" s="6">
        <f>IF(ISERROR(VLOOKUP(F783,#REF!,3,0)),0,VLOOKUP(F783,#REF!,3,0))</f>
        <v>0</v>
      </c>
      <c r="R783" s="6">
        <f>IF(ISERROR(VLOOKUP(F783,#REF!,4,0)),0,VLOOKUP(F783,#REF!,4,0))</f>
        <v>0</v>
      </c>
      <c r="S783" s="8">
        <f>IF(ISERROR(VLOOKUP(F783,#REF!,4,0)),0,VLOOKUP(F783,#REF!,10,0)/60*K783)</f>
        <v>0</v>
      </c>
      <c r="T783" s="3"/>
      <c r="U783" s="3"/>
      <c r="V783" s="4"/>
    </row>
    <row r="784" spans="1:22" x14ac:dyDescent="0.3">
      <c r="A784" s="5">
        <f t="shared" si="37"/>
        <v>0</v>
      </c>
      <c r="B784" s="6">
        <f t="shared" si="38"/>
        <v>0</v>
      </c>
      <c r="K784" s="18">
        <f t="shared" si="36"/>
        <v>0</v>
      </c>
      <c r="L784" s="21">
        <f>IF(ISERROR(VLOOKUP($F784,#REF!,6,0)*G784/1000),0,VLOOKUP($F784,#REF!,6,0)*G784/1000)</f>
        <v>0</v>
      </c>
      <c r="M784" s="21">
        <f>IF(ISERROR(VLOOKUP($F784,#REF!,6,0)*H784/1000),0,VLOOKUP($F784,#REF!,6,0)*H784/1000)</f>
        <v>0</v>
      </c>
      <c r="N784" s="21">
        <f>IF(ISERROR(VLOOKUP($F784,#REF!,6,0)*I784/1000),0,VLOOKUP($F784,#REF!,6,0)*I784/1000)</f>
        <v>0</v>
      </c>
      <c r="O784" s="21">
        <f>IF(ISERROR(VLOOKUP($F784,#REF!,6,0)*J784/1000),0,VLOOKUP($F784,#REF!,6,0)*J784/1000)</f>
        <v>0</v>
      </c>
      <c r="P784" s="21">
        <f>IF(ISERROR(VLOOKUP(F784,#REF!,6,0)*K784/1000),0,VLOOKUP(F784,#REF!,6,0)*K784/1000)</f>
        <v>0</v>
      </c>
      <c r="Q784" s="6">
        <f>IF(ISERROR(VLOOKUP(F784,#REF!,3,0)),0,VLOOKUP(F784,#REF!,3,0))</f>
        <v>0</v>
      </c>
      <c r="R784" s="6">
        <f>IF(ISERROR(VLOOKUP(F784,#REF!,4,0)),0,VLOOKUP(F784,#REF!,4,0))</f>
        <v>0</v>
      </c>
      <c r="S784" s="8">
        <f>IF(ISERROR(VLOOKUP(F784,#REF!,4,0)),0,VLOOKUP(F784,#REF!,10,0)/60*K784)</f>
        <v>0</v>
      </c>
      <c r="T784" s="3"/>
      <c r="U784" s="3"/>
      <c r="V784" s="4"/>
    </row>
    <row r="785" spans="1:22" x14ac:dyDescent="0.3">
      <c r="A785" s="5">
        <f t="shared" si="37"/>
        <v>0</v>
      </c>
      <c r="B785" s="6">
        <f t="shared" si="38"/>
        <v>0</v>
      </c>
      <c r="K785" s="18">
        <f t="shared" si="36"/>
        <v>0</v>
      </c>
      <c r="L785" s="21">
        <f>IF(ISERROR(VLOOKUP($F785,#REF!,6,0)*G785/1000),0,VLOOKUP($F785,#REF!,6,0)*G785/1000)</f>
        <v>0</v>
      </c>
      <c r="M785" s="21">
        <f>IF(ISERROR(VLOOKUP($F785,#REF!,6,0)*H785/1000),0,VLOOKUP($F785,#REF!,6,0)*H785/1000)</f>
        <v>0</v>
      </c>
      <c r="N785" s="21">
        <f>IF(ISERROR(VLOOKUP($F785,#REF!,6,0)*I785/1000),0,VLOOKUP($F785,#REF!,6,0)*I785/1000)</f>
        <v>0</v>
      </c>
      <c r="O785" s="21">
        <f>IF(ISERROR(VLOOKUP($F785,#REF!,6,0)*J785/1000),0,VLOOKUP($F785,#REF!,6,0)*J785/1000)</f>
        <v>0</v>
      </c>
      <c r="P785" s="21">
        <f>IF(ISERROR(VLOOKUP(F785,#REF!,6,0)*K785/1000),0,VLOOKUP(F785,#REF!,6,0)*K785/1000)</f>
        <v>0</v>
      </c>
      <c r="Q785" s="6">
        <f>IF(ISERROR(VLOOKUP(F785,#REF!,3,0)),0,VLOOKUP(F785,#REF!,3,0))</f>
        <v>0</v>
      </c>
      <c r="R785" s="6">
        <f>IF(ISERROR(VLOOKUP(F785,#REF!,4,0)),0,VLOOKUP(F785,#REF!,4,0))</f>
        <v>0</v>
      </c>
      <c r="S785" s="8">
        <f>IF(ISERROR(VLOOKUP(F785,#REF!,4,0)),0,VLOOKUP(F785,#REF!,10,0)/60*K785)</f>
        <v>0</v>
      </c>
      <c r="T785" s="3"/>
      <c r="U785" s="3"/>
      <c r="V785" s="4"/>
    </row>
    <row r="786" spans="1:22" x14ac:dyDescent="0.3">
      <c r="A786" s="5">
        <f t="shared" si="37"/>
        <v>0</v>
      </c>
      <c r="B786" s="6">
        <f t="shared" si="38"/>
        <v>0</v>
      </c>
      <c r="K786" s="18">
        <f t="shared" si="36"/>
        <v>0</v>
      </c>
      <c r="L786" s="21">
        <f>IF(ISERROR(VLOOKUP($F786,#REF!,6,0)*G786/1000),0,VLOOKUP($F786,#REF!,6,0)*G786/1000)</f>
        <v>0</v>
      </c>
      <c r="M786" s="21">
        <f>IF(ISERROR(VLOOKUP($F786,#REF!,6,0)*H786/1000),0,VLOOKUP($F786,#REF!,6,0)*H786/1000)</f>
        <v>0</v>
      </c>
      <c r="N786" s="21">
        <f>IF(ISERROR(VLOOKUP($F786,#REF!,6,0)*I786/1000),0,VLOOKUP($F786,#REF!,6,0)*I786/1000)</f>
        <v>0</v>
      </c>
      <c r="O786" s="21">
        <f>IF(ISERROR(VLOOKUP($F786,#REF!,6,0)*J786/1000),0,VLOOKUP($F786,#REF!,6,0)*J786/1000)</f>
        <v>0</v>
      </c>
      <c r="P786" s="21">
        <f>IF(ISERROR(VLOOKUP(F786,#REF!,6,0)*K786/1000),0,VLOOKUP(F786,#REF!,6,0)*K786/1000)</f>
        <v>0</v>
      </c>
      <c r="Q786" s="6">
        <f>IF(ISERROR(VLOOKUP(F786,#REF!,3,0)),0,VLOOKUP(F786,#REF!,3,0))</f>
        <v>0</v>
      </c>
      <c r="R786" s="6">
        <f>IF(ISERROR(VLOOKUP(F786,#REF!,4,0)),0,VLOOKUP(F786,#REF!,4,0))</f>
        <v>0</v>
      </c>
      <c r="S786" s="8">
        <f>IF(ISERROR(VLOOKUP(F786,#REF!,4,0)),0,VLOOKUP(F786,#REF!,10,0)/60*K786)</f>
        <v>0</v>
      </c>
      <c r="T786" s="3"/>
      <c r="U786" s="3"/>
      <c r="V786" s="4"/>
    </row>
    <row r="787" spans="1:22" x14ac:dyDescent="0.3">
      <c r="A787" s="5">
        <f t="shared" si="37"/>
        <v>0</v>
      </c>
      <c r="B787" s="6">
        <f t="shared" si="38"/>
        <v>0</v>
      </c>
      <c r="K787" s="18">
        <f t="shared" si="36"/>
        <v>0</v>
      </c>
      <c r="L787" s="21">
        <f>IF(ISERROR(VLOOKUP($F787,#REF!,6,0)*G787/1000),0,VLOOKUP($F787,#REF!,6,0)*G787/1000)</f>
        <v>0</v>
      </c>
      <c r="M787" s="21">
        <f>IF(ISERROR(VLOOKUP($F787,#REF!,6,0)*H787/1000),0,VLOOKUP($F787,#REF!,6,0)*H787/1000)</f>
        <v>0</v>
      </c>
      <c r="N787" s="21">
        <f>IF(ISERROR(VLOOKUP($F787,#REF!,6,0)*I787/1000),0,VLOOKUP($F787,#REF!,6,0)*I787/1000)</f>
        <v>0</v>
      </c>
      <c r="O787" s="21">
        <f>IF(ISERROR(VLOOKUP($F787,#REF!,6,0)*J787/1000),0,VLOOKUP($F787,#REF!,6,0)*J787/1000)</f>
        <v>0</v>
      </c>
      <c r="P787" s="21">
        <f>IF(ISERROR(VLOOKUP(F787,#REF!,6,0)*K787/1000),0,VLOOKUP(F787,#REF!,6,0)*K787/1000)</f>
        <v>0</v>
      </c>
      <c r="Q787" s="6">
        <f>IF(ISERROR(VLOOKUP(F787,#REF!,3,0)),0,VLOOKUP(F787,#REF!,3,0))</f>
        <v>0</v>
      </c>
      <c r="R787" s="6">
        <f>IF(ISERROR(VLOOKUP(F787,#REF!,4,0)),0,VLOOKUP(F787,#REF!,4,0))</f>
        <v>0</v>
      </c>
      <c r="S787" s="8">
        <f>IF(ISERROR(VLOOKUP(F787,#REF!,4,0)),0,VLOOKUP(F787,#REF!,10,0)/60*K787)</f>
        <v>0</v>
      </c>
      <c r="T787" s="3"/>
      <c r="U787" s="3"/>
      <c r="V787" s="4"/>
    </row>
    <row r="788" spans="1:22" x14ac:dyDescent="0.3">
      <c r="A788" s="5">
        <f t="shared" si="37"/>
        <v>0</v>
      </c>
      <c r="B788" s="6">
        <f t="shared" si="38"/>
        <v>0</v>
      </c>
      <c r="K788" s="18">
        <f t="shared" si="36"/>
        <v>0</v>
      </c>
      <c r="L788" s="21">
        <f>IF(ISERROR(VLOOKUP($F788,#REF!,6,0)*G788/1000),0,VLOOKUP($F788,#REF!,6,0)*G788/1000)</f>
        <v>0</v>
      </c>
      <c r="M788" s="21">
        <f>IF(ISERROR(VLOOKUP($F788,#REF!,6,0)*H788/1000),0,VLOOKUP($F788,#REF!,6,0)*H788/1000)</f>
        <v>0</v>
      </c>
      <c r="N788" s="21">
        <f>IF(ISERROR(VLOOKUP($F788,#REF!,6,0)*I788/1000),0,VLOOKUP($F788,#REF!,6,0)*I788/1000)</f>
        <v>0</v>
      </c>
      <c r="O788" s="21">
        <f>IF(ISERROR(VLOOKUP($F788,#REF!,6,0)*J788/1000),0,VLOOKUP($F788,#REF!,6,0)*J788/1000)</f>
        <v>0</v>
      </c>
      <c r="P788" s="21">
        <f>IF(ISERROR(VLOOKUP(F788,#REF!,6,0)*K788/1000),0,VLOOKUP(F788,#REF!,6,0)*K788/1000)</f>
        <v>0</v>
      </c>
      <c r="Q788" s="6">
        <f>IF(ISERROR(VLOOKUP(F788,#REF!,3,0)),0,VLOOKUP(F788,#REF!,3,0))</f>
        <v>0</v>
      </c>
      <c r="R788" s="6">
        <f>IF(ISERROR(VLOOKUP(F788,#REF!,4,0)),0,VLOOKUP(F788,#REF!,4,0))</f>
        <v>0</v>
      </c>
      <c r="S788" s="8">
        <f>IF(ISERROR(VLOOKUP(F788,#REF!,4,0)),0,VLOOKUP(F788,#REF!,10,0)/60*K788)</f>
        <v>0</v>
      </c>
      <c r="T788" s="3"/>
      <c r="U788" s="3"/>
      <c r="V788" s="4"/>
    </row>
    <row r="789" spans="1:22" x14ac:dyDescent="0.3">
      <c r="A789" s="5">
        <f t="shared" si="37"/>
        <v>0</v>
      </c>
      <c r="B789" s="6">
        <f t="shared" si="38"/>
        <v>0</v>
      </c>
      <c r="K789" s="18">
        <f t="shared" si="36"/>
        <v>0</v>
      </c>
      <c r="L789" s="21">
        <f>IF(ISERROR(VLOOKUP($F789,#REF!,6,0)*G789/1000),0,VLOOKUP($F789,#REF!,6,0)*G789/1000)</f>
        <v>0</v>
      </c>
      <c r="M789" s="21">
        <f>IF(ISERROR(VLOOKUP($F789,#REF!,6,0)*H789/1000),0,VLOOKUP($F789,#REF!,6,0)*H789/1000)</f>
        <v>0</v>
      </c>
      <c r="N789" s="21">
        <f>IF(ISERROR(VLOOKUP($F789,#REF!,6,0)*I789/1000),0,VLOOKUP($F789,#REF!,6,0)*I789/1000)</f>
        <v>0</v>
      </c>
      <c r="O789" s="21">
        <f>IF(ISERROR(VLOOKUP($F789,#REF!,6,0)*J789/1000),0,VLOOKUP($F789,#REF!,6,0)*J789/1000)</f>
        <v>0</v>
      </c>
      <c r="P789" s="21">
        <f>IF(ISERROR(VLOOKUP(F789,#REF!,6,0)*K789/1000),0,VLOOKUP(F789,#REF!,6,0)*K789/1000)</f>
        <v>0</v>
      </c>
      <c r="Q789" s="6">
        <f>IF(ISERROR(VLOOKUP(F789,#REF!,3,0)),0,VLOOKUP(F789,#REF!,3,0))</f>
        <v>0</v>
      </c>
      <c r="R789" s="6">
        <f>IF(ISERROR(VLOOKUP(F789,#REF!,4,0)),0,VLOOKUP(F789,#REF!,4,0))</f>
        <v>0</v>
      </c>
      <c r="S789" s="8">
        <f>IF(ISERROR(VLOOKUP(F789,#REF!,4,0)),0,VLOOKUP(F789,#REF!,10,0)/60*K789)</f>
        <v>0</v>
      </c>
      <c r="T789" s="3"/>
      <c r="U789" s="3"/>
      <c r="V789" s="4"/>
    </row>
    <row r="790" spans="1:22" x14ac:dyDescent="0.3">
      <c r="A790" s="5">
        <f t="shared" si="37"/>
        <v>0</v>
      </c>
      <c r="B790" s="6">
        <f t="shared" si="38"/>
        <v>0</v>
      </c>
      <c r="K790" s="18">
        <f t="shared" si="36"/>
        <v>0</v>
      </c>
      <c r="L790" s="21">
        <f>IF(ISERROR(VLOOKUP($F790,#REF!,6,0)*G790/1000),0,VLOOKUP($F790,#REF!,6,0)*G790/1000)</f>
        <v>0</v>
      </c>
      <c r="M790" s="21">
        <f>IF(ISERROR(VLOOKUP($F790,#REF!,6,0)*H790/1000),0,VLOOKUP($F790,#REF!,6,0)*H790/1000)</f>
        <v>0</v>
      </c>
      <c r="N790" s="21">
        <f>IF(ISERROR(VLOOKUP($F790,#REF!,6,0)*I790/1000),0,VLOOKUP($F790,#REF!,6,0)*I790/1000)</f>
        <v>0</v>
      </c>
      <c r="O790" s="21">
        <f>IF(ISERROR(VLOOKUP($F790,#REF!,6,0)*J790/1000),0,VLOOKUP($F790,#REF!,6,0)*J790/1000)</f>
        <v>0</v>
      </c>
      <c r="P790" s="21">
        <f>IF(ISERROR(VLOOKUP(F790,#REF!,6,0)*K790/1000),0,VLOOKUP(F790,#REF!,6,0)*K790/1000)</f>
        <v>0</v>
      </c>
      <c r="Q790" s="6">
        <f>IF(ISERROR(VLOOKUP(F790,#REF!,3,0)),0,VLOOKUP(F790,#REF!,3,0))</f>
        <v>0</v>
      </c>
      <c r="R790" s="6">
        <f>IF(ISERROR(VLOOKUP(F790,#REF!,4,0)),0,VLOOKUP(F790,#REF!,4,0))</f>
        <v>0</v>
      </c>
      <c r="S790" s="8">
        <f>IF(ISERROR(VLOOKUP(F790,#REF!,4,0)),0,VLOOKUP(F790,#REF!,10,0)/60*K790)</f>
        <v>0</v>
      </c>
      <c r="T790" s="3"/>
      <c r="U790" s="3"/>
      <c r="V790" s="4"/>
    </row>
    <row r="791" spans="1:22" x14ac:dyDescent="0.3">
      <c r="A791" s="5">
        <f t="shared" si="37"/>
        <v>0</v>
      </c>
      <c r="B791" s="6">
        <f t="shared" si="38"/>
        <v>0</v>
      </c>
      <c r="K791" s="18">
        <f t="shared" si="36"/>
        <v>0</v>
      </c>
      <c r="L791" s="21">
        <f>IF(ISERROR(VLOOKUP($F791,#REF!,6,0)*G791/1000),0,VLOOKUP($F791,#REF!,6,0)*G791/1000)</f>
        <v>0</v>
      </c>
      <c r="M791" s="21">
        <f>IF(ISERROR(VLOOKUP($F791,#REF!,6,0)*H791/1000),0,VLOOKUP($F791,#REF!,6,0)*H791/1000)</f>
        <v>0</v>
      </c>
      <c r="N791" s="21">
        <f>IF(ISERROR(VLOOKUP($F791,#REF!,6,0)*I791/1000),0,VLOOKUP($F791,#REF!,6,0)*I791/1000)</f>
        <v>0</v>
      </c>
      <c r="O791" s="21">
        <f>IF(ISERROR(VLOOKUP($F791,#REF!,6,0)*J791/1000),0,VLOOKUP($F791,#REF!,6,0)*J791/1000)</f>
        <v>0</v>
      </c>
      <c r="P791" s="21">
        <f>IF(ISERROR(VLOOKUP(F791,#REF!,6,0)*K791/1000),0,VLOOKUP(F791,#REF!,6,0)*K791/1000)</f>
        <v>0</v>
      </c>
      <c r="Q791" s="6">
        <f>IF(ISERROR(VLOOKUP(F791,#REF!,3,0)),0,VLOOKUP(F791,#REF!,3,0))</f>
        <v>0</v>
      </c>
      <c r="R791" s="6">
        <f>IF(ISERROR(VLOOKUP(F791,#REF!,4,0)),0,VLOOKUP(F791,#REF!,4,0))</f>
        <v>0</v>
      </c>
      <c r="S791" s="8">
        <f>IF(ISERROR(VLOOKUP(F791,#REF!,4,0)),0,VLOOKUP(F791,#REF!,10,0)/60*K791)</f>
        <v>0</v>
      </c>
      <c r="T791" s="3"/>
      <c r="U791" s="3"/>
      <c r="V791" s="4"/>
    </row>
    <row r="792" spans="1:22" x14ac:dyDescent="0.3">
      <c r="A792" s="5">
        <f t="shared" si="37"/>
        <v>0</v>
      </c>
      <c r="B792" s="6">
        <f t="shared" si="38"/>
        <v>0</v>
      </c>
      <c r="K792" s="18">
        <f t="shared" si="36"/>
        <v>0</v>
      </c>
      <c r="L792" s="21">
        <f>IF(ISERROR(VLOOKUP($F792,#REF!,6,0)*G792/1000),0,VLOOKUP($F792,#REF!,6,0)*G792/1000)</f>
        <v>0</v>
      </c>
      <c r="M792" s="21">
        <f>IF(ISERROR(VLOOKUP($F792,#REF!,6,0)*H792/1000),0,VLOOKUP($F792,#REF!,6,0)*H792/1000)</f>
        <v>0</v>
      </c>
      <c r="N792" s="21">
        <f>IF(ISERROR(VLOOKUP($F792,#REF!,6,0)*I792/1000),0,VLOOKUP($F792,#REF!,6,0)*I792/1000)</f>
        <v>0</v>
      </c>
      <c r="O792" s="21">
        <f>IF(ISERROR(VLOOKUP($F792,#REF!,6,0)*J792/1000),0,VLOOKUP($F792,#REF!,6,0)*J792/1000)</f>
        <v>0</v>
      </c>
      <c r="P792" s="21">
        <f>IF(ISERROR(VLOOKUP(F792,#REF!,6,0)*K792/1000),0,VLOOKUP(F792,#REF!,6,0)*K792/1000)</f>
        <v>0</v>
      </c>
      <c r="Q792" s="6">
        <f>IF(ISERROR(VLOOKUP(F792,#REF!,3,0)),0,VLOOKUP(F792,#REF!,3,0))</f>
        <v>0</v>
      </c>
      <c r="R792" s="6">
        <f>IF(ISERROR(VLOOKUP(F792,#REF!,4,0)),0,VLOOKUP(F792,#REF!,4,0))</f>
        <v>0</v>
      </c>
      <c r="S792" s="8">
        <f>IF(ISERROR(VLOOKUP(F792,#REF!,4,0)),0,VLOOKUP(F792,#REF!,10,0)/60*K792)</f>
        <v>0</v>
      </c>
      <c r="T792" s="3"/>
      <c r="U792" s="3"/>
      <c r="V792" s="4"/>
    </row>
    <row r="793" spans="1:22" x14ac:dyDescent="0.3">
      <c r="A793" s="5">
        <f t="shared" si="37"/>
        <v>0</v>
      </c>
      <c r="B793" s="6">
        <f t="shared" si="38"/>
        <v>0</v>
      </c>
      <c r="K793" s="18">
        <f t="shared" si="36"/>
        <v>0</v>
      </c>
      <c r="L793" s="21">
        <f>IF(ISERROR(VLOOKUP($F793,#REF!,6,0)*G793/1000),0,VLOOKUP($F793,#REF!,6,0)*G793/1000)</f>
        <v>0</v>
      </c>
      <c r="M793" s="21">
        <f>IF(ISERROR(VLOOKUP($F793,#REF!,6,0)*H793/1000),0,VLOOKUP($F793,#REF!,6,0)*H793/1000)</f>
        <v>0</v>
      </c>
      <c r="N793" s="21">
        <f>IF(ISERROR(VLOOKUP($F793,#REF!,6,0)*I793/1000),0,VLOOKUP($F793,#REF!,6,0)*I793/1000)</f>
        <v>0</v>
      </c>
      <c r="O793" s="21">
        <f>IF(ISERROR(VLOOKUP($F793,#REF!,6,0)*J793/1000),0,VLOOKUP($F793,#REF!,6,0)*J793/1000)</f>
        <v>0</v>
      </c>
      <c r="P793" s="21">
        <f>IF(ISERROR(VLOOKUP(F793,#REF!,6,0)*K793/1000),0,VLOOKUP(F793,#REF!,6,0)*K793/1000)</f>
        <v>0</v>
      </c>
      <c r="Q793" s="6">
        <f>IF(ISERROR(VLOOKUP(F793,#REF!,3,0)),0,VLOOKUP(F793,#REF!,3,0))</f>
        <v>0</v>
      </c>
      <c r="R793" s="6">
        <f>IF(ISERROR(VLOOKUP(F793,#REF!,4,0)),0,VLOOKUP(F793,#REF!,4,0))</f>
        <v>0</v>
      </c>
      <c r="S793" s="8">
        <f>IF(ISERROR(VLOOKUP(F793,#REF!,4,0)),0,VLOOKUP(F793,#REF!,10,0)/60*K793)</f>
        <v>0</v>
      </c>
      <c r="T793" s="3"/>
      <c r="U793" s="3"/>
      <c r="V793" s="4"/>
    </row>
    <row r="794" spans="1:22" x14ac:dyDescent="0.3">
      <c r="A794" s="5">
        <f t="shared" si="37"/>
        <v>0</v>
      </c>
      <c r="B794" s="6">
        <f t="shared" si="38"/>
        <v>0</v>
      </c>
      <c r="K794" s="18">
        <f t="shared" si="36"/>
        <v>0</v>
      </c>
      <c r="L794" s="21">
        <f>IF(ISERROR(VLOOKUP($F794,#REF!,6,0)*G794/1000),0,VLOOKUP($F794,#REF!,6,0)*G794/1000)</f>
        <v>0</v>
      </c>
      <c r="M794" s="21">
        <f>IF(ISERROR(VLOOKUP($F794,#REF!,6,0)*H794/1000),0,VLOOKUP($F794,#REF!,6,0)*H794/1000)</f>
        <v>0</v>
      </c>
      <c r="N794" s="21">
        <f>IF(ISERROR(VLOOKUP($F794,#REF!,6,0)*I794/1000),0,VLOOKUP($F794,#REF!,6,0)*I794/1000)</f>
        <v>0</v>
      </c>
      <c r="O794" s="21">
        <f>IF(ISERROR(VLOOKUP($F794,#REF!,6,0)*J794/1000),0,VLOOKUP($F794,#REF!,6,0)*J794/1000)</f>
        <v>0</v>
      </c>
      <c r="P794" s="21">
        <f>IF(ISERROR(VLOOKUP(F794,#REF!,6,0)*K794/1000),0,VLOOKUP(F794,#REF!,6,0)*K794/1000)</f>
        <v>0</v>
      </c>
      <c r="Q794" s="6">
        <f>IF(ISERROR(VLOOKUP(F794,#REF!,3,0)),0,VLOOKUP(F794,#REF!,3,0))</f>
        <v>0</v>
      </c>
      <c r="R794" s="6">
        <f>IF(ISERROR(VLOOKUP(F794,#REF!,4,0)),0,VLOOKUP(F794,#REF!,4,0))</f>
        <v>0</v>
      </c>
      <c r="S794" s="8">
        <f>IF(ISERROR(VLOOKUP(F794,#REF!,4,0)),0,VLOOKUP(F794,#REF!,10,0)/60*K794)</f>
        <v>0</v>
      </c>
      <c r="T794" s="3"/>
      <c r="U794" s="3"/>
      <c r="V794" s="4"/>
    </row>
    <row r="795" spans="1:22" x14ac:dyDescent="0.3">
      <c r="A795" s="5">
        <f t="shared" si="37"/>
        <v>0</v>
      </c>
      <c r="B795" s="6">
        <f t="shared" si="38"/>
        <v>0</v>
      </c>
      <c r="K795" s="18">
        <f t="shared" si="36"/>
        <v>0</v>
      </c>
      <c r="L795" s="21">
        <f>IF(ISERROR(VLOOKUP($F795,#REF!,6,0)*G795/1000),0,VLOOKUP($F795,#REF!,6,0)*G795/1000)</f>
        <v>0</v>
      </c>
      <c r="M795" s="21">
        <f>IF(ISERROR(VLOOKUP($F795,#REF!,6,0)*H795/1000),0,VLOOKUP($F795,#REF!,6,0)*H795/1000)</f>
        <v>0</v>
      </c>
      <c r="N795" s="21">
        <f>IF(ISERROR(VLOOKUP($F795,#REF!,6,0)*I795/1000),0,VLOOKUP($F795,#REF!,6,0)*I795/1000)</f>
        <v>0</v>
      </c>
      <c r="O795" s="21">
        <f>IF(ISERROR(VLOOKUP($F795,#REF!,6,0)*J795/1000),0,VLOOKUP($F795,#REF!,6,0)*J795/1000)</f>
        <v>0</v>
      </c>
      <c r="P795" s="21">
        <f>IF(ISERROR(VLOOKUP(F795,#REF!,6,0)*K795/1000),0,VLOOKUP(F795,#REF!,6,0)*K795/1000)</f>
        <v>0</v>
      </c>
      <c r="Q795" s="6">
        <f>IF(ISERROR(VLOOKUP(F795,#REF!,3,0)),0,VLOOKUP(F795,#REF!,3,0))</f>
        <v>0</v>
      </c>
      <c r="R795" s="6">
        <f>IF(ISERROR(VLOOKUP(F795,#REF!,4,0)),0,VLOOKUP(F795,#REF!,4,0))</f>
        <v>0</v>
      </c>
      <c r="S795" s="8">
        <f>IF(ISERROR(VLOOKUP(F795,#REF!,4,0)),0,VLOOKUP(F795,#REF!,10,0)/60*K795)</f>
        <v>0</v>
      </c>
      <c r="T795" s="3"/>
      <c r="U795" s="3"/>
      <c r="V795" s="4"/>
    </row>
    <row r="796" spans="1:22" x14ac:dyDescent="0.3">
      <c r="A796" s="5">
        <f t="shared" si="37"/>
        <v>0</v>
      </c>
      <c r="B796" s="6">
        <f t="shared" si="38"/>
        <v>0</v>
      </c>
      <c r="K796" s="18">
        <f t="shared" si="36"/>
        <v>0</v>
      </c>
      <c r="L796" s="21">
        <f>IF(ISERROR(VLOOKUP($F796,#REF!,6,0)*G796/1000),0,VLOOKUP($F796,#REF!,6,0)*G796/1000)</f>
        <v>0</v>
      </c>
      <c r="M796" s="21">
        <f>IF(ISERROR(VLOOKUP($F796,#REF!,6,0)*H796/1000),0,VLOOKUP($F796,#REF!,6,0)*H796/1000)</f>
        <v>0</v>
      </c>
      <c r="N796" s="21">
        <f>IF(ISERROR(VLOOKUP($F796,#REF!,6,0)*I796/1000),0,VLOOKUP($F796,#REF!,6,0)*I796/1000)</f>
        <v>0</v>
      </c>
      <c r="O796" s="21">
        <f>IF(ISERROR(VLOOKUP($F796,#REF!,6,0)*J796/1000),0,VLOOKUP($F796,#REF!,6,0)*J796/1000)</f>
        <v>0</v>
      </c>
      <c r="P796" s="21">
        <f>IF(ISERROR(VLOOKUP(F796,#REF!,6,0)*K796/1000),0,VLOOKUP(F796,#REF!,6,0)*K796/1000)</f>
        <v>0</v>
      </c>
      <c r="Q796" s="6">
        <f>IF(ISERROR(VLOOKUP(F796,#REF!,3,0)),0,VLOOKUP(F796,#REF!,3,0))</f>
        <v>0</v>
      </c>
      <c r="R796" s="6">
        <f>IF(ISERROR(VLOOKUP(F796,#REF!,4,0)),0,VLOOKUP(F796,#REF!,4,0))</f>
        <v>0</v>
      </c>
      <c r="S796" s="8">
        <f>IF(ISERROR(VLOOKUP(F796,#REF!,4,0)),0,VLOOKUP(F796,#REF!,10,0)/60*K796)</f>
        <v>0</v>
      </c>
      <c r="T796" s="3"/>
      <c r="U796" s="3"/>
      <c r="V796" s="4"/>
    </row>
    <row r="797" spans="1:22" x14ac:dyDescent="0.3">
      <c r="A797" s="5">
        <f t="shared" si="37"/>
        <v>0</v>
      </c>
      <c r="B797" s="6">
        <f t="shared" si="38"/>
        <v>0</v>
      </c>
      <c r="K797" s="18">
        <f t="shared" si="36"/>
        <v>0</v>
      </c>
      <c r="L797" s="21">
        <f>IF(ISERROR(VLOOKUP($F797,#REF!,6,0)*G797/1000),0,VLOOKUP($F797,#REF!,6,0)*G797/1000)</f>
        <v>0</v>
      </c>
      <c r="M797" s="21">
        <f>IF(ISERROR(VLOOKUP($F797,#REF!,6,0)*H797/1000),0,VLOOKUP($F797,#REF!,6,0)*H797/1000)</f>
        <v>0</v>
      </c>
      <c r="N797" s="21">
        <f>IF(ISERROR(VLOOKUP($F797,#REF!,6,0)*I797/1000),0,VLOOKUP($F797,#REF!,6,0)*I797/1000)</f>
        <v>0</v>
      </c>
      <c r="O797" s="21">
        <f>IF(ISERROR(VLOOKUP($F797,#REF!,6,0)*J797/1000),0,VLOOKUP($F797,#REF!,6,0)*J797/1000)</f>
        <v>0</v>
      </c>
      <c r="P797" s="21">
        <f>IF(ISERROR(VLOOKUP(F797,#REF!,6,0)*K797/1000),0,VLOOKUP(F797,#REF!,6,0)*K797/1000)</f>
        <v>0</v>
      </c>
      <c r="Q797" s="6">
        <f>IF(ISERROR(VLOOKUP(F797,#REF!,3,0)),0,VLOOKUP(F797,#REF!,3,0))</f>
        <v>0</v>
      </c>
      <c r="R797" s="6">
        <f>IF(ISERROR(VLOOKUP(F797,#REF!,4,0)),0,VLOOKUP(F797,#REF!,4,0))</f>
        <v>0</v>
      </c>
      <c r="S797" s="8">
        <f>IF(ISERROR(VLOOKUP(F797,#REF!,4,0)),0,VLOOKUP(F797,#REF!,10,0)/60*K797)</f>
        <v>0</v>
      </c>
      <c r="T797" s="3"/>
      <c r="U797" s="3"/>
      <c r="V797" s="4"/>
    </row>
    <row r="798" spans="1:22" x14ac:dyDescent="0.3">
      <c r="A798" s="5">
        <f t="shared" si="37"/>
        <v>0</v>
      </c>
      <c r="B798" s="6">
        <f t="shared" si="38"/>
        <v>0</v>
      </c>
      <c r="K798" s="18">
        <f t="shared" si="36"/>
        <v>0</v>
      </c>
      <c r="L798" s="21">
        <f>IF(ISERROR(VLOOKUP($F798,#REF!,6,0)*G798/1000),0,VLOOKUP($F798,#REF!,6,0)*G798/1000)</f>
        <v>0</v>
      </c>
      <c r="M798" s="21">
        <f>IF(ISERROR(VLOOKUP($F798,#REF!,6,0)*H798/1000),0,VLOOKUP($F798,#REF!,6,0)*H798/1000)</f>
        <v>0</v>
      </c>
      <c r="N798" s="21">
        <f>IF(ISERROR(VLOOKUP($F798,#REF!,6,0)*I798/1000),0,VLOOKUP($F798,#REF!,6,0)*I798/1000)</f>
        <v>0</v>
      </c>
      <c r="O798" s="21">
        <f>IF(ISERROR(VLOOKUP($F798,#REF!,6,0)*J798/1000),0,VLOOKUP($F798,#REF!,6,0)*J798/1000)</f>
        <v>0</v>
      </c>
      <c r="P798" s="21">
        <f>IF(ISERROR(VLOOKUP(F798,#REF!,6,0)*K798/1000),0,VLOOKUP(F798,#REF!,6,0)*K798/1000)</f>
        <v>0</v>
      </c>
      <c r="Q798" s="6">
        <f>IF(ISERROR(VLOOKUP(F798,#REF!,3,0)),0,VLOOKUP(F798,#REF!,3,0))</f>
        <v>0</v>
      </c>
      <c r="R798" s="6">
        <f>IF(ISERROR(VLOOKUP(F798,#REF!,4,0)),0,VLOOKUP(F798,#REF!,4,0))</f>
        <v>0</v>
      </c>
      <c r="S798" s="8">
        <f>IF(ISERROR(VLOOKUP(F798,#REF!,4,0)),0,VLOOKUP(F798,#REF!,10,0)/60*K798)</f>
        <v>0</v>
      </c>
      <c r="T798" s="3"/>
      <c r="U798" s="3"/>
      <c r="V798" s="4"/>
    </row>
    <row r="799" spans="1:22" x14ac:dyDescent="0.3">
      <c r="A799" s="5">
        <f t="shared" si="37"/>
        <v>0</v>
      </c>
      <c r="B799" s="6">
        <f t="shared" si="38"/>
        <v>0</v>
      </c>
      <c r="K799" s="18">
        <f t="shared" si="36"/>
        <v>0</v>
      </c>
      <c r="L799" s="21">
        <f>IF(ISERROR(VLOOKUP($F799,#REF!,6,0)*G799/1000),0,VLOOKUP($F799,#REF!,6,0)*G799/1000)</f>
        <v>0</v>
      </c>
      <c r="M799" s="21">
        <f>IF(ISERROR(VLOOKUP($F799,#REF!,6,0)*H799/1000),0,VLOOKUP($F799,#REF!,6,0)*H799/1000)</f>
        <v>0</v>
      </c>
      <c r="N799" s="21">
        <f>IF(ISERROR(VLOOKUP($F799,#REF!,6,0)*I799/1000),0,VLOOKUP($F799,#REF!,6,0)*I799/1000)</f>
        <v>0</v>
      </c>
      <c r="O799" s="21">
        <f>IF(ISERROR(VLOOKUP($F799,#REF!,6,0)*J799/1000),0,VLOOKUP($F799,#REF!,6,0)*J799/1000)</f>
        <v>0</v>
      </c>
      <c r="P799" s="21">
        <f>IF(ISERROR(VLOOKUP(F799,#REF!,6,0)*K799/1000),0,VLOOKUP(F799,#REF!,6,0)*K799/1000)</f>
        <v>0</v>
      </c>
      <c r="Q799" s="6">
        <f>IF(ISERROR(VLOOKUP(F799,#REF!,3,0)),0,VLOOKUP(F799,#REF!,3,0))</f>
        <v>0</v>
      </c>
      <c r="R799" s="6">
        <f>IF(ISERROR(VLOOKUP(F799,#REF!,4,0)),0,VLOOKUP(F799,#REF!,4,0))</f>
        <v>0</v>
      </c>
      <c r="S799" s="8">
        <f>IF(ISERROR(VLOOKUP(F799,#REF!,4,0)),0,VLOOKUP(F799,#REF!,10,0)/60*K799)</f>
        <v>0</v>
      </c>
      <c r="T799" s="3"/>
      <c r="U799" s="3"/>
      <c r="V799" s="4"/>
    </row>
    <row r="800" spans="1:22" x14ac:dyDescent="0.3">
      <c r="A800" s="5">
        <f t="shared" si="37"/>
        <v>0</v>
      </c>
      <c r="B800" s="6">
        <f t="shared" si="38"/>
        <v>0</v>
      </c>
      <c r="K800" s="18">
        <f t="shared" si="36"/>
        <v>0</v>
      </c>
      <c r="L800" s="21">
        <f>IF(ISERROR(VLOOKUP($F800,#REF!,6,0)*G800/1000),0,VLOOKUP($F800,#REF!,6,0)*G800/1000)</f>
        <v>0</v>
      </c>
      <c r="M800" s="21">
        <f>IF(ISERROR(VLOOKUP($F800,#REF!,6,0)*H800/1000),0,VLOOKUP($F800,#REF!,6,0)*H800/1000)</f>
        <v>0</v>
      </c>
      <c r="N800" s="21">
        <f>IF(ISERROR(VLOOKUP($F800,#REF!,6,0)*I800/1000),0,VLOOKUP($F800,#REF!,6,0)*I800/1000)</f>
        <v>0</v>
      </c>
      <c r="O800" s="21">
        <f>IF(ISERROR(VLOOKUP($F800,#REF!,6,0)*J800/1000),0,VLOOKUP($F800,#REF!,6,0)*J800/1000)</f>
        <v>0</v>
      </c>
      <c r="P800" s="21">
        <f>IF(ISERROR(VLOOKUP(F800,#REF!,6,0)*K800/1000),0,VLOOKUP(F800,#REF!,6,0)*K800/1000)</f>
        <v>0</v>
      </c>
      <c r="Q800" s="6">
        <f>IF(ISERROR(VLOOKUP(F800,#REF!,3,0)),0,VLOOKUP(F800,#REF!,3,0))</f>
        <v>0</v>
      </c>
      <c r="R800" s="6">
        <f>IF(ISERROR(VLOOKUP(F800,#REF!,4,0)),0,VLOOKUP(F800,#REF!,4,0))</f>
        <v>0</v>
      </c>
      <c r="S800" s="8">
        <f>IF(ISERROR(VLOOKUP(F800,#REF!,4,0)),0,VLOOKUP(F800,#REF!,10,0)/60*K800)</f>
        <v>0</v>
      </c>
      <c r="T800" s="3"/>
      <c r="U800" s="3"/>
      <c r="V800" s="4"/>
    </row>
    <row r="801" spans="1:22" x14ac:dyDescent="0.3">
      <c r="A801" s="5">
        <f t="shared" si="37"/>
        <v>0</v>
      </c>
      <c r="B801" s="6">
        <f t="shared" si="38"/>
        <v>0</v>
      </c>
      <c r="K801" s="18">
        <f t="shared" si="36"/>
        <v>0</v>
      </c>
      <c r="L801" s="21">
        <f>IF(ISERROR(VLOOKUP($F801,#REF!,6,0)*G801/1000),0,VLOOKUP($F801,#REF!,6,0)*G801/1000)</f>
        <v>0</v>
      </c>
      <c r="M801" s="21">
        <f>IF(ISERROR(VLOOKUP($F801,#REF!,6,0)*H801/1000),0,VLOOKUP($F801,#REF!,6,0)*H801/1000)</f>
        <v>0</v>
      </c>
      <c r="N801" s="21">
        <f>IF(ISERROR(VLOOKUP($F801,#REF!,6,0)*I801/1000),0,VLOOKUP($F801,#REF!,6,0)*I801/1000)</f>
        <v>0</v>
      </c>
      <c r="O801" s="21">
        <f>IF(ISERROR(VLOOKUP($F801,#REF!,6,0)*J801/1000),0,VLOOKUP($F801,#REF!,6,0)*J801/1000)</f>
        <v>0</v>
      </c>
      <c r="P801" s="21">
        <f>IF(ISERROR(VLOOKUP(F801,#REF!,6,0)*K801/1000),0,VLOOKUP(F801,#REF!,6,0)*K801/1000)</f>
        <v>0</v>
      </c>
      <c r="Q801" s="6">
        <f>IF(ISERROR(VLOOKUP(F801,#REF!,3,0)),0,VLOOKUP(F801,#REF!,3,0))</f>
        <v>0</v>
      </c>
      <c r="R801" s="6">
        <f>IF(ISERROR(VLOOKUP(F801,#REF!,4,0)),0,VLOOKUP(F801,#REF!,4,0))</f>
        <v>0</v>
      </c>
      <c r="S801" s="8">
        <f>IF(ISERROR(VLOOKUP(F801,#REF!,4,0)),0,VLOOKUP(F801,#REF!,10,0)/60*K801)</f>
        <v>0</v>
      </c>
      <c r="T801" s="3"/>
      <c r="U801" s="3"/>
      <c r="V801" s="4"/>
    </row>
    <row r="802" spans="1:22" x14ac:dyDescent="0.3">
      <c r="A802" s="5">
        <f t="shared" si="37"/>
        <v>0</v>
      </c>
      <c r="B802" s="6">
        <f t="shared" si="38"/>
        <v>0</v>
      </c>
      <c r="K802" s="18">
        <f t="shared" si="36"/>
        <v>0</v>
      </c>
      <c r="L802" s="21">
        <f>IF(ISERROR(VLOOKUP($F802,#REF!,6,0)*G802/1000),0,VLOOKUP($F802,#REF!,6,0)*G802/1000)</f>
        <v>0</v>
      </c>
      <c r="M802" s="21">
        <f>IF(ISERROR(VLOOKUP($F802,#REF!,6,0)*H802/1000),0,VLOOKUP($F802,#REF!,6,0)*H802/1000)</f>
        <v>0</v>
      </c>
      <c r="N802" s="21">
        <f>IF(ISERROR(VLOOKUP($F802,#REF!,6,0)*I802/1000),0,VLOOKUP($F802,#REF!,6,0)*I802/1000)</f>
        <v>0</v>
      </c>
      <c r="O802" s="21">
        <f>IF(ISERROR(VLOOKUP($F802,#REF!,6,0)*J802/1000),0,VLOOKUP($F802,#REF!,6,0)*J802/1000)</f>
        <v>0</v>
      </c>
      <c r="P802" s="21">
        <f>IF(ISERROR(VLOOKUP(F802,#REF!,6,0)*K802/1000),0,VLOOKUP(F802,#REF!,6,0)*K802/1000)</f>
        <v>0</v>
      </c>
      <c r="Q802" s="6">
        <f>IF(ISERROR(VLOOKUP(F802,#REF!,3,0)),0,VLOOKUP(F802,#REF!,3,0))</f>
        <v>0</v>
      </c>
      <c r="R802" s="6">
        <f>IF(ISERROR(VLOOKUP(F802,#REF!,4,0)),0,VLOOKUP(F802,#REF!,4,0))</f>
        <v>0</v>
      </c>
      <c r="S802" s="8">
        <f>IF(ISERROR(VLOOKUP(F802,#REF!,4,0)),0,VLOOKUP(F802,#REF!,10,0)/60*K802)</f>
        <v>0</v>
      </c>
      <c r="T802" s="3"/>
      <c r="U802" s="3"/>
      <c r="V802" s="4"/>
    </row>
    <row r="803" spans="1:22" x14ac:dyDescent="0.3">
      <c r="A803" s="5">
        <f t="shared" si="37"/>
        <v>0</v>
      </c>
      <c r="B803" s="6">
        <f t="shared" si="38"/>
        <v>0</v>
      </c>
      <c r="K803" s="18">
        <f t="shared" si="36"/>
        <v>0</v>
      </c>
      <c r="L803" s="21">
        <f>IF(ISERROR(VLOOKUP($F803,#REF!,6,0)*G803/1000),0,VLOOKUP($F803,#REF!,6,0)*G803/1000)</f>
        <v>0</v>
      </c>
      <c r="M803" s="21">
        <f>IF(ISERROR(VLOOKUP($F803,#REF!,6,0)*H803/1000),0,VLOOKUP($F803,#REF!,6,0)*H803/1000)</f>
        <v>0</v>
      </c>
      <c r="N803" s="21">
        <f>IF(ISERROR(VLOOKUP($F803,#REF!,6,0)*I803/1000),0,VLOOKUP($F803,#REF!,6,0)*I803/1000)</f>
        <v>0</v>
      </c>
      <c r="O803" s="21">
        <f>IF(ISERROR(VLOOKUP($F803,#REF!,6,0)*J803/1000),0,VLOOKUP($F803,#REF!,6,0)*J803/1000)</f>
        <v>0</v>
      </c>
      <c r="P803" s="21">
        <f>IF(ISERROR(VLOOKUP(F803,#REF!,6,0)*K803/1000),0,VLOOKUP(F803,#REF!,6,0)*K803/1000)</f>
        <v>0</v>
      </c>
      <c r="Q803" s="6">
        <f>IF(ISERROR(VLOOKUP(F803,#REF!,3,0)),0,VLOOKUP(F803,#REF!,3,0))</f>
        <v>0</v>
      </c>
      <c r="R803" s="6">
        <f>IF(ISERROR(VLOOKUP(F803,#REF!,4,0)),0,VLOOKUP(F803,#REF!,4,0))</f>
        <v>0</v>
      </c>
      <c r="S803" s="8">
        <f>IF(ISERROR(VLOOKUP(F803,#REF!,4,0)),0,VLOOKUP(F803,#REF!,10,0)/60*K803)</f>
        <v>0</v>
      </c>
      <c r="T803" s="3"/>
      <c r="U803" s="3"/>
      <c r="V803" s="4"/>
    </row>
    <row r="804" spans="1:22" x14ac:dyDescent="0.3">
      <c r="A804" s="5">
        <f t="shared" si="37"/>
        <v>0</v>
      </c>
      <c r="B804" s="6">
        <f t="shared" si="38"/>
        <v>0</v>
      </c>
      <c r="K804" s="18">
        <f t="shared" si="36"/>
        <v>0</v>
      </c>
      <c r="L804" s="21">
        <f>IF(ISERROR(VLOOKUP($F804,#REF!,6,0)*G804/1000),0,VLOOKUP($F804,#REF!,6,0)*G804/1000)</f>
        <v>0</v>
      </c>
      <c r="M804" s="21">
        <f>IF(ISERROR(VLOOKUP($F804,#REF!,6,0)*H804/1000),0,VLOOKUP($F804,#REF!,6,0)*H804/1000)</f>
        <v>0</v>
      </c>
      <c r="N804" s="21">
        <f>IF(ISERROR(VLOOKUP($F804,#REF!,6,0)*I804/1000),0,VLOOKUP($F804,#REF!,6,0)*I804/1000)</f>
        <v>0</v>
      </c>
      <c r="O804" s="21">
        <f>IF(ISERROR(VLOOKUP($F804,#REF!,6,0)*J804/1000),0,VLOOKUP($F804,#REF!,6,0)*J804/1000)</f>
        <v>0</v>
      </c>
      <c r="P804" s="21">
        <f>IF(ISERROR(VLOOKUP(F804,#REF!,6,0)*K804/1000),0,VLOOKUP(F804,#REF!,6,0)*K804/1000)</f>
        <v>0</v>
      </c>
      <c r="Q804" s="6">
        <f>IF(ISERROR(VLOOKUP(F804,#REF!,3,0)),0,VLOOKUP(F804,#REF!,3,0))</f>
        <v>0</v>
      </c>
      <c r="R804" s="6">
        <f>IF(ISERROR(VLOOKUP(F804,#REF!,4,0)),0,VLOOKUP(F804,#REF!,4,0))</f>
        <v>0</v>
      </c>
      <c r="S804" s="8">
        <f>IF(ISERROR(VLOOKUP(F804,#REF!,4,0)),0,VLOOKUP(F804,#REF!,10,0)/60*K804)</f>
        <v>0</v>
      </c>
      <c r="T804" s="3"/>
      <c r="U804" s="3"/>
      <c r="V804" s="4"/>
    </row>
    <row r="805" spans="1:22" x14ac:dyDescent="0.3">
      <c r="A805" s="5">
        <f t="shared" si="37"/>
        <v>0</v>
      </c>
      <c r="B805" s="6">
        <f t="shared" si="38"/>
        <v>0</v>
      </c>
      <c r="K805" s="18">
        <f t="shared" si="36"/>
        <v>0</v>
      </c>
      <c r="L805" s="21">
        <f>IF(ISERROR(VLOOKUP($F805,#REF!,6,0)*G805/1000),0,VLOOKUP($F805,#REF!,6,0)*G805/1000)</f>
        <v>0</v>
      </c>
      <c r="M805" s="21">
        <f>IF(ISERROR(VLOOKUP($F805,#REF!,6,0)*H805/1000),0,VLOOKUP($F805,#REF!,6,0)*H805/1000)</f>
        <v>0</v>
      </c>
      <c r="N805" s="21">
        <f>IF(ISERROR(VLOOKUP($F805,#REF!,6,0)*I805/1000),0,VLOOKUP($F805,#REF!,6,0)*I805/1000)</f>
        <v>0</v>
      </c>
      <c r="O805" s="21">
        <f>IF(ISERROR(VLOOKUP($F805,#REF!,6,0)*J805/1000),0,VLOOKUP($F805,#REF!,6,0)*J805/1000)</f>
        <v>0</v>
      </c>
      <c r="P805" s="21">
        <f>IF(ISERROR(VLOOKUP(F805,#REF!,6,0)*K805/1000),0,VLOOKUP(F805,#REF!,6,0)*K805/1000)</f>
        <v>0</v>
      </c>
      <c r="Q805" s="6">
        <f>IF(ISERROR(VLOOKUP(F805,#REF!,3,0)),0,VLOOKUP(F805,#REF!,3,0))</f>
        <v>0</v>
      </c>
      <c r="R805" s="6">
        <f>IF(ISERROR(VLOOKUP(F805,#REF!,4,0)),0,VLOOKUP(F805,#REF!,4,0))</f>
        <v>0</v>
      </c>
      <c r="S805" s="8">
        <f>IF(ISERROR(VLOOKUP(F805,#REF!,4,0)),0,VLOOKUP(F805,#REF!,10,0)/60*K805)</f>
        <v>0</v>
      </c>
      <c r="T805" s="3"/>
      <c r="U805" s="3"/>
      <c r="V805" s="4"/>
    </row>
    <row r="806" spans="1:22" x14ac:dyDescent="0.3">
      <c r="A806" s="5">
        <f t="shared" si="37"/>
        <v>0</v>
      </c>
      <c r="B806" s="6">
        <f t="shared" si="38"/>
        <v>0</v>
      </c>
      <c r="K806" s="18">
        <f t="shared" si="36"/>
        <v>0</v>
      </c>
      <c r="L806" s="21">
        <f>IF(ISERROR(VLOOKUP($F806,#REF!,6,0)*G806/1000),0,VLOOKUP($F806,#REF!,6,0)*G806/1000)</f>
        <v>0</v>
      </c>
      <c r="M806" s="21">
        <f>IF(ISERROR(VLOOKUP($F806,#REF!,6,0)*H806/1000),0,VLOOKUP($F806,#REF!,6,0)*H806/1000)</f>
        <v>0</v>
      </c>
      <c r="N806" s="21">
        <f>IF(ISERROR(VLOOKUP($F806,#REF!,6,0)*I806/1000),0,VLOOKUP($F806,#REF!,6,0)*I806/1000)</f>
        <v>0</v>
      </c>
      <c r="O806" s="21">
        <f>IF(ISERROR(VLOOKUP($F806,#REF!,6,0)*J806/1000),0,VLOOKUP($F806,#REF!,6,0)*J806/1000)</f>
        <v>0</v>
      </c>
      <c r="P806" s="21">
        <f>IF(ISERROR(VLOOKUP(F806,#REF!,6,0)*K806/1000),0,VLOOKUP(F806,#REF!,6,0)*K806/1000)</f>
        <v>0</v>
      </c>
      <c r="Q806" s="6">
        <f>IF(ISERROR(VLOOKUP(F806,#REF!,3,0)),0,VLOOKUP(F806,#REF!,3,0))</f>
        <v>0</v>
      </c>
      <c r="R806" s="6">
        <f>IF(ISERROR(VLOOKUP(F806,#REF!,4,0)),0,VLOOKUP(F806,#REF!,4,0))</f>
        <v>0</v>
      </c>
      <c r="S806" s="8">
        <f>IF(ISERROR(VLOOKUP(F806,#REF!,4,0)),0,VLOOKUP(F806,#REF!,10,0)/60*K806)</f>
        <v>0</v>
      </c>
      <c r="T806" s="3"/>
      <c r="U806" s="3"/>
      <c r="V806" s="4"/>
    </row>
    <row r="807" spans="1:22" x14ac:dyDescent="0.3">
      <c r="A807" s="5">
        <f t="shared" si="37"/>
        <v>0</v>
      </c>
      <c r="B807" s="6">
        <f t="shared" si="38"/>
        <v>0</v>
      </c>
      <c r="K807" s="18">
        <f t="shared" si="36"/>
        <v>0</v>
      </c>
      <c r="L807" s="21">
        <f>IF(ISERROR(VLOOKUP($F807,#REF!,6,0)*G807/1000),0,VLOOKUP($F807,#REF!,6,0)*G807/1000)</f>
        <v>0</v>
      </c>
      <c r="M807" s="21">
        <f>IF(ISERROR(VLOOKUP($F807,#REF!,6,0)*H807/1000),0,VLOOKUP($F807,#REF!,6,0)*H807/1000)</f>
        <v>0</v>
      </c>
      <c r="N807" s="21">
        <f>IF(ISERROR(VLOOKUP($F807,#REF!,6,0)*I807/1000),0,VLOOKUP($F807,#REF!,6,0)*I807/1000)</f>
        <v>0</v>
      </c>
      <c r="O807" s="21">
        <f>IF(ISERROR(VLOOKUP($F807,#REF!,6,0)*J807/1000),0,VLOOKUP($F807,#REF!,6,0)*J807/1000)</f>
        <v>0</v>
      </c>
      <c r="P807" s="21">
        <f>IF(ISERROR(VLOOKUP(F807,#REF!,6,0)*K807/1000),0,VLOOKUP(F807,#REF!,6,0)*K807/1000)</f>
        <v>0</v>
      </c>
      <c r="Q807" s="6">
        <f>IF(ISERROR(VLOOKUP(F807,#REF!,3,0)),0,VLOOKUP(F807,#REF!,3,0))</f>
        <v>0</v>
      </c>
      <c r="R807" s="6">
        <f>IF(ISERROR(VLOOKUP(F807,#REF!,4,0)),0,VLOOKUP(F807,#REF!,4,0))</f>
        <v>0</v>
      </c>
      <c r="S807" s="8">
        <f>IF(ISERROR(VLOOKUP(F807,#REF!,4,0)),0,VLOOKUP(F807,#REF!,10,0)/60*K807)</f>
        <v>0</v>
      </c>
      <c r="T807" s="3"/>
      <c r="U807" s="3"/>
      <c r="V807" s="4"/>
    </row>
    <row r="808" spans="1:22" x14ac:dyDescent="0.3">
      <c r="A808" s="5">
        <f t="shared" si="37"/>
        <v>0</v>
      </c>
      <c r="B808" s="6">
        <f t="shared" si="38"/>
        <v>0</v>
      </c>
      <c r="K808" s="18">
        <f t="shared" si="36"/>
        <v>0</v>
      </c>
      <c r="L808" s="21">
        <f>IF(ISERROR(VLOOKUP($F808,#REF!,6,0)*G808/1000),0,VLOOKUP($F808,#REF!,6,0)*G808/1000)</f>
        <v>0</v>
      </c>
      <c r="M808" s="21">
        <f>IF(ISERROR(VLOOKUP($F808,#REF!,6,0)*H808/1000),0,VLOOKUP($F808,#REF!,6,0)*H808/1000)</f>
        <v>0</v>
      </c>
      <c r="N808" s="21">
        <f>IF(ISERROR(VLOOKUP($F808,#REF!,6,0)*I808/1000),0,VLOOKUP($F808,#REF!,6,0)*I808/1000)</f>
        <v>0</v>
      </c>
      <c r="O808" s="21">
        <f>IF(ISERROR(VLOOKUP($F808,#REF!,6,0)*J808/1000),0,VLOOKUP($F808,#REF!,6,0)*J808/1000)</f>
        <v>0</v>
      </c>
      <c r="P808" s="21">
        <f>IF(ISERROR(VLOOKUP(F808,#REF!,6,0)*K808/1000),0,VLOOKUP(F808,#REF!,6,0)*K808/1000)</f>
        <v>0</v>
      </c>
      <c r="Q808" s="6">
        <f>IF(ISERROR(VLOOKUP(F808,#REF!,3,0)),0,VLOOKUP(F808,#REF!,3,0))</f>
        <v>0</v>
      </c>
      <c r="R808" s="6">
        <f>IF(ISERROR(VLOOKUP(F808,#REF!,4,0)),0,VLOOKUP(F808,#REF!,4,0))</f>
        <v>0</v>
      </c>
      <c r="S808" s="8">
        <f>IF(ISERROR(VLOOKUP(F808,#REF!,4,0)),0,VLOOKUP(F808,#REF!,10,0)/60*K808)</f>
        <v>0</v>
      </c>
      <c r="T808" s="3"/>
      <c r="U808" s="3"/>
      <c r="V808" s="4"/>
    </row>
    <row r="809" spans="1:22" x14ac:dyDescent="0.3">
      <c r="A809" s="5">
        <f t="shared" si="37"/>
        <v>0</v>
      </c>
      <c r="B809" s="6">
        <f t="shared" si="38"/>
        <v>0</v>
      </c>
      <c r="K809" s="18">
        <f t="shared" si="36"/>
        <v>0</v>
      </c>
      <c r="L809" s="21">
        <f>IF(ISERROR(VLOOKUP($F809,#REF!,6,0)*G809/1000),0,VLOOKUP($F809,#REF!,6,0)*G809/1000)</f>
        <v>0</v>
      </c>
      <c r="M809" s="21">
        <f>IF(ISERROR(VLOOKUP($F809,#REF!,6,0)*H809/1000),0,VLOOKUP($F809,#REF!,6,0)*H809/1000)</f>
        <v>0</v>
      </c>
      <c r="N809" s="21">
        <f>IF(ISERROR(VLOOKUP($F809,#REF!,6,0)*I809/1000),0,VLOOKUP($F809,#REF!,6,0)*I809/1000)</f>
        <v>0</v>
      </c>
      <c r="O809" s="21">
        <f>IF(ISERROR(VLOOKUP($F809,#REF!,6,0)*J809/1000),0,VLOOKUP($F809,#REF!,6,0)*J809/1000)</f>
        <v>0</v>
      </c>
      <c r="P809" s="21">
        <f>IF(ISERROR(VLOOKUP(F809,#REF!,6,0)*K809/1000),0,VLOOKUP(F809,#REF!,6,0)*K809/1000)</f>
        <v>0</v>
      </c>
      <c r="Q809" s="6">
        <f>IF(ISERROR(VLOOKUP(F809,#REF!,3,0)),0,VLOOKUP(F809,#REF!,3,0))</f>
        <v>0</v>
      </c>
      <c r="R809" s="6">
        <f>IF(ISERROR(VLOOKUP(F809,#REF!,4,0)),0,VLOOKUP(F809,#REF!,4,0))</f>
        <v>0</v>
      </c>
      <c r="S809" s="8">
        <f>IF(ISERROR(VLOOKUP(F809,#REF!,4,0)),0,VLOOKUP(F809,#REF!,10,0)/60*K809)</f>
        <v>0</v>
      </c>
      <c r="T809" s="3"/>
      <c r="U809" s="3"/>
      <c r="V809" s="4"/>
    </row>
    <row r="810" spans="1:22" x14ac:dyDescent="0.3">
      <c r="A810" s="5">
        <f t="shared" si="37"/>
        <v>0</v>
      </c>
      <c r="B810" s="6">
        <f t="shared" si="38"/>
        <v>0</v>
      </c>
      <c r="K810" s="18">
        <f t="shared" si="36"/>
        <v>0</v>
      </c>
      <c r="L810" s="21">
        <f>IF(ISERROR(VLOOKUP($F810,#REF!,6,0)*G810/1000),0,VLOOKUP($F810,#REF!,6,0)*G810/1000)</f>
        <v>0</v>
      </c>
      <c r="M810" s="21">
        <f>IF(ISERROR(VLOOKUP($F810,#REF!,6,0)*H810/1000),0,VLOOKUP($F810,#REF!,6,0)*H810/1000)</f>
        <v>0</v>
      </c>
      <c r="N810" s="21">
        <f>IF(ISERROR(VLOOKUP($F810,#REF!,6,0)*I810/1000),0,VLOOKUP($F810,#REF!,6,0)*I810/1000)</f>
        <v>0</v>
      </c>
      <c r="O810" s="21">
        <f>IF(ISERROR(VLOOKUP($F810,#REF!,6,0)*J810/1000),0,VLOOKUP($F810,#REF!,6,0)*J810/1000)</f>
        <v>0</v>
      </c>
      <c r="P810" s="21">
        <f>IF(ISERROR(VLOOKUP(F810,#REF!,6,0)*K810/1000),0,VLOOKUP(F810,#REF!,6,0)*K810/1000)</f>
        <v>0</v>
      </c>
      <c r="Q810" s="6">
        <f>IF(ISERROR(VLOOKUP(F810,#REF!,3,0)),0,VLOOKUP(F810,#REF!,3,0))</f>
        <v>0</v>
      </c>
      <c r="R810" s="6">
        <f>IF(ISERROR(VLOOKUP(F810,#REF!,4,0)),0,VLOOKUP(F810,#REF!,4,0))</f>
        <v>0</v>
      </c>
      <c r="S810" s="8">
        <f>IF(ISERROR(VLOOKUP(F810,#REF!,4,0)),0,VLOOKUP(F810,#REF!,10,0)/60*K810)</f>
        <v>0</v>
      </c>
      <c r="T810" s="3"/>
      <c r="U810" s="3"/>
      <c r="V810" s="4"/>
    </row>
    <row r="811" spans="1:22" x14ac:dyDescent="0.3">
      <c r="A811" s="5">
        <f t="shared" si="37"/>
        <v>0</v>
      </c>
      <c r="B811" s="6">
        <f t="shared" si="38"/>
        <v>0</v>
      </c>
      <c r="K811" s="18">
        <f t="shared" si="36"/>
        <v>0</v>
      </c>
      <c r="L811" s="21">
        <f>IF(ISERROR(VLOOKUP($F811,#REF!,6,0)*G811/1000),0,VLOOKUP($F811,#REF!,6,0)*G811/1000)</f>
        <v>0</v>
      </c>
      <c r="M811" s="21">
        <f>IF(ISERROR(VLOOKUP($F811,#REF!,6,0)*H811/1000),0,VLOOKUP($F811,#REF!,6,0)*H811/1000)</f>
        <v>0</v>
      </c>
      <c r="N811" s="21">
        <f>IF(ISERROR(VLOOKUP($F811,#REF!,6,0)*I811/1000),0,VLOOKUP($F811,#REF!,6,0)*I811/1000)</f>
        <v>0</v>
      </c>
      <c r="O811" s="21">
        <f>IF(ISERROR(VLOOKUP($F811,#REF!,6,0)*J811/1000),0,VLOOKUP($F811,#REF!,6,0)*J811/1000)</f>
        <v>0</v>
      </c>
      <c r="P811" s="21">
        <f>IF(ISERROR(VLOOKUP(F811,#REF!,6,0)*K811/1000),0,VLOOKUP(F811,#REF!,6,0)*K811/1000)</f>
        <v>0</v>
      </c>
      <c r="Q811" s="6">
        <f>IF(ISERROR(VLOOKUP(F811,#REF!,3,0)),0,VLOOKUP(F811,#REF!,3,0))</f>
        <v>0</v>
      </c>
      <c r="R811" s="6">
        <f>IF(ISERROR(VLOOKUP(F811,#REF!,4,0)),0,VLOOKUP(F811,#REF!,4,0))</f>
        <v>0</v>
      </c>
      <c r="S811" s="8">
        <f>IF(ISERROR(VLOOKUP(F811,#REF!,4,0)),0,VLOOKUP(F811,#REF!,10,0)/60*K811)</f>
        <v>0</v>
      </c>
      <c r="T811" s="3"/>
      <c r="U811" s="3"/>
      <c r="V811" s="4"/>
    </row>
    <row r="812" spans="1:22" x14ac:dyDescent="0.3">
      <c r="A812" s="5">
        <f t="shared" si="37"/>
        <v>0</v>
      </c>
      <c r="B812" s="6">
        <f t="shared" si="38"/>
        <v>0</v>
      </c>
      <c r="K812" s="18">
        <f t="shared" si="36"/>
        <v>0</v>
      </c>
      <c r="L812" s="21">
        <f>IF(ISERROR(VLOOKUP($F812,#REF!,6,0)*G812/1000),0,VLOOKUP($F812,#REF!,6,0)*G812/1000)</f>
        <v>0</v>
      </c>
      <c r="M812" s="21">
        <f>IF(ISERROR(VLOOKUP($F812,#REF!,6,0)*H812/1000),0,VLOOKUP($F812,#REF!,6,0)*H812/1000)</f>
        <v>0</v>
      </c>
      <c r="N812" s="21">
        <f>IF(ISERROR(VLOOKUP($F812,#REF!,6,0)*I812/1000),0,VLOOKUP($F812,#REF!,6,0)*I812/1000)</f>
        <v>0</v>
      </c>
      <c r="O812" s="21">
        <f>IF(ISERROR(VLOOKUP($F812,#REF!,6,0)*J812/1000),0,VLOOKUP($F812,#REF!,6,0)*J812/1000)</f>
        <v>0</v>
      </c>
      <c r="P812" s="21">
        <f>IF(ISERROR(VLOOKUP(F812,#REF!,6,0)*K812/1000),0,VLOOKUP(F812,#REF!,6,0)*K812/1000)</f>
        <v>0</v>
      </c>
      <c r="Q812" s="6">
        <f>IF(ISERROR(VLOOKUP(F812,#REF!,3,0)),0,VLOOKUP(F812,#REF!,3,0))</f>
        <v>0</v>
      </c>
      <c r="R812" s="6">
        <f>IF(ISERROR(VLOOKUP(F812,#REF!,4,0)),0,VLOOKUP(F812,#REF!,4,0))</f>
        <v>0</v>
      </c>
      <c r="S812" s="8">
        <f>IF(ISERROR(VLOOKUP(F812,#REF!,4,0)),0,VLOOKUP(F812,#REF!,10,0)/60*K812)</f>
        <v>0</v>
      </c>
      <c r="T812" s="3"/>
      <c r="U812" s="3"/>
      <c r="V812" s="4"/>
    </row>
    <row r="813" spans="1:22" x14ac:dyDescent="0.3">
      <c r="A813" s="5">
        <f t="shared" si="37"/>
        <v>0</v>
      </c>
      <c r="B813" s="6">
        <f t="shared" si="38"/>
        <v>0</v>
      </c>
      <c r="K813" s="18">
        <f t="shared" si="36"/>
        <v>0</v>
      </c>
      <c r="L813" s="21">
        <f>IF(ISERROR(VLOOKUP($F813,#REF!,6,0)*G813/1000),0,VLOOKUP($F813,#REF!,6,0)*G813/1000)</f>
        <v>0</v>
      </c>
      <c r="M813" s="21">
        <f>IF(ISERROR(VLOOKUP($F813,#REF!,6,0)*H813/1000),0,VLOOKUP($F813,#REF!,6,0)*H813/1000)</f>
        <v>0</v>
      </c>
      <c r="N813" s="21">
        <f>IF(ISERROR(VLOOKUP($F813,#REF!,6,0)*I813/1000),0,VLOOKUP($F813,#REF!,6,0)*I813/1000)</f>
        <v>0</v>
      </c>
      <c r="O813" s="21">
        <f>IF(ISERROR(VLOOKUP($F813,#REF!,6,0)*J813/1000),0,VLOOKUP($F813,#REF!,6,0)*J813/1000)</f>
        <v>0</v>
      </c>
      <c r="P813" s="21">
        <f>IF(ISERROR(VLOOKUP(F813,#REF!,6,0)*K813/1000),0,VLOOKUP(F813,#REF!,6,0)*K813/1000)</f>
        <v>0</v>
      </c>
      <c r="Q813" s="6">
        <f>IF(ISERROR(VLOOKUP(F813,#REF!,3,0)),0,VLOOKUP(F813,#REF!,3,0))</f>
        <v>0</v>
      </c>
      <c r="R813" s="6">
        <f>IF(ISERROR(VLOOKUP(F813,#REF!,4,0)),0,VLOOKUP(F813,#REF!,4,0))</f>
        <v>0</v>
      </c>
      <c r="S813" s="8">
        <f>IF(ISERROR(VLOOKUP(F813,#REF!,4,0)),0,VLOOKUP(F813,#REF!,10,0)/60*K813)</f>
        <v>0</v>
      </c>
      <c r="T813" s="3"/>
      <c r="U813" s="3"/>
      <c r="V813" s="4"/>
    </row>
    <row r="814" spans="1:22" x14ac:dyDescent="0.3">
      <c r="A814" s="5">
        <f t="shared" si="37"/>
        <v>0</v>
      </c>
      <c r="B814" s="6">
        <f t="shared" si="38"/>
        <v>0</v>
      </c>
      <c r="K814" s="18">
        <f t="shared" si="36"/>
        <v>0</v>
      </c>
      <c r="L814" s="21">
        <f>IF(ISERROR(VLOOKUP($F814,#REF!,6,0)*G814/1000),0,VLOOKUP($F814,#REF!,6,0)*G814/1000)</f>
        <v>0</v>
      </c>
      <c r="M814" s="21">
        <f>IF(ISERROR(VLOOKUP($F814,#REF!,6,0)*H814/1000),0,VLOOKUP($F814,#REF!,6,0)*H814/1000)</f>
        <v>0</v>
      </c>
      <c r="N814" s="21">
        <f>IF(ISERROR(VLOOKUP($F814,#REF!,6,0)*I814/1000),0,VLOOKUP($F814,#REF!,6,0)*I814/1000)</f>
        <v>0</v>
      </c>
      <c r="O814" s="21">
        <f>IF(ISERROR(VLOOKUP($F814,#REF!,6,0)*J814/1000),0,VLOOKUP($F814,#REF!,6,0)*J814/1000)</f>
        <v>0</v>
      </c>
      <c r="P814" s="21">
        <f>IF(ISERROR(VLOOKUP(F814,#REF!,6,0)*K814/1000),0,VLOOKUP(F814,#REF!,6,0)*K814/1000)</f>
        <v>0</v>
      </c>
      <c r="Q814" s="6">
        <f>IF(ISERROR(VLOOKUP(F814,#REF!,3,0)),0,VLOOKUP(F814,#REF!,3,0))</f>
        <v>0</v>
      </c>
      <c r="R814" s="6">
        <f>IF(ISERROR(VLOOKUP(F814,#REF!,4,0)),0,VLOOKUP(F814,#REF!,4,0))</f>
        <v>0</v>
      </c>
      <c r="S814" s="8">
        <f>IF(ISERROR(VLOOKUP(F814,#REF!,4,0)),0,VLOOKUP(F814,#REF!,10,0)/60*K814)</f>
        <v>0</v>
      </c>
      <c r="T814" s="3"/>
      <c r="U814" s="3"/>
      <c r="V814" s="4"/>
    </row>
    <row r="815" spans="1:22" x14ac:dyDescent="0.3">
      <c r="A815" s="5">
        <f t="shared" si="37"/>
        <v>0</v>
      </c>
      <c r="B815" s="6">
        <f t="shared" si="38"/>
        <v>0</v>
      </c>
      <c r="K815" s="18">
        <f t="shared" si="36"/>
        <v>0</v>
      </c>
      <c r="L815" s="21">
        <f>IF(ISERROR(VLOOKUP($F815,#REF!,6,0)*G815/1000),0,VLOOKUP($F815,#REF!,6,0)*G815/1000)</f>
        <v>0</v>
      </c>
      <c r="M815" s="21">
        <f>IF(ISERROR(VLOOKUP($F815,#REF!,6,0)*H815/1000),0,VLOOKUP($F815,#REF!,6,0)*H815/1000)</f>
        <v>0</v>
      </c>
      <c r="N815" s="21">
        <f>IF(ISERROR(VLOOKUP($F815,#REF!,6,0)*I815/1000),0,VLOOKUP($F815,#REF!,6,0)*I815/1000)</f>
        <v>0</v>
      </c>
      <c r="O815" s="21">
        <f>IF(ISERROR(VLOOKUP($F815,#REF!,6,0)*J815/1000),0,VLOOKUP($F815,#REF!,6,0)*J815/1000)</f>
        <v>0</v>
      </c>
      <c r="P815" s="21">
        <f>IF(ISERROR(VLOOKUP(F815,#REF!,6,0)*K815/1000),0,VLOOKUP(F815,#REF!,6,0)*K815/1000)</f>
        <v>0</v>
      </c>
      <c r="Q815" s="6">
        <f>IF(ISERROR(VLOOKUP(F815,#REF!,3,0)),0,VLOOKUP(F815,#REF!,3,0))</f>
        <v>0</v>
      </c>
      <c r="R815" s="6">
        <f>IF(ISERROR(VLOOKUP(F815,#REF!,4,0)),0,VLOOKUP(F815,#REF!,4,0))</f>
        <v>0</v>
      </c>
      <c r="S815" s="8">
        <f>IF(ISERROR(VLOOKUP(F815,#REF!,4,0)),0,VLOOKUP(F815,#REF!,10,0)/60*K815)</f>
        <v>0</v>
      </c>
      <c r="T815" s="3"/>
      <c r="U815" s="3"/>
      <c r="V815" s="4"/>
    </row>
    <row r="816" spans="1:22" x14ac:dyDescent="0.3">
      <c r="A816" s="5">
        <f t="shared" si="37"/>
        <v>0</v>
      </c>
      <c r="B816" s="6">
        <f t="shared" si="38"/>
        <v>0</v>
      </c>
      <c r="K816" s="18">
        <f t="shared" si="36"/>
        <v>0</v>
      </c>
      <c r="L816" s="21">
        <f>IF(ISERROR(VLOOKUP($F816,#REF!,6,0)*G816/1000),0,VLOOKUP($F816,#REF!,6,0)*G816/1000)</f>
        <v>0</v>
      </c>
      <c r="M816" s="21">
        <f>IF(ISERROR(VLOOKUP($F816,#REF!,6,0)*H816/1000),0,VLOOKUP($F816,#REF!,6,0)*H816/1000)</f>
        <v>0</v>
      </c>
      <c r="N816" s="21">
        <f>IF(ISERROR(VLOOKUP($F816,#REF!,6,0)*I816/1000),0,VLOOKUP($F816,#REF!,6,0)*I816/1000)</f>
        <v>0</v>
      </c>
      <c r="O816" s="21">
        <f>IF(ISERROR(VLOOKUP($F816,#REF!,6,0)*J816/1000),0,VLOOKUP($F816,#REF!,6,0)*J816/1000)</f>
        <v>0</v>
      </c>
      <c r="P816" s="21">
        <f>IF(ISERROR(VLOOKUP(F816,#REF!,6,0)*K816/1000),0,VLOOKUP(F816,#REF!,6,0)*K816/1000)</f>
        <v>0</v>
      </c>
      <c r="Q816" s="6">
        <f>IF(ISERROR(VLOOKUP(F816,#REF!,3,0)),0,VLOOKUP(F816,#REF!,3,0))</f>
        <v>0</v>
      </c>
      <c r="R816" s="6">
        <f>IF(ISERROR(VLOOKUP(F816,#REF!,4,0)),0,VLOOKUP(F816,#REF!,4,0))</f>
        <v>0</v>
      </c>
      <c r="S816" s="8">
        <f>IF(ISERROR(VLOOKUP(F816,#REF!,4,0)),0,VLOOKUP(F816,#REF!,10,0)/60*K816)</f>
        <v>0</v>
      </c>
      <c r="T816" s="3"/>
      <c r="U816" s="3"/>
      <c r="V816" s="4"/>
    </row>
    <row r="817" spans="1:22" x14ac:dyDescent="0.3">
      <c r="A817" s="5">
        <f t="shared" si="37"/>
        <v>0</v>
      </c>
      <c r="B817" s="6">
        <f t="shared" si="38"/>
        <v>0</v>
      </c>
      <c r="K817" s="18">
        <f t="shared" si="36"/>
        <v>0</v>
      </c>
      <c r="L817" s="21">
        <f>IF(ISERROR(VLOOKUP($F817,#REF!,6,0)*G817/1000),0,VLOOKUP($F817,#REF!,6,0)*G817/1000)</f>
        <v>0</v>
      </c>
      <c r="M817" s="21">
        <f>IF(ISERROR(VLOOKUP($F817,#REF!,6,0)*H817/1000),0,VLOOKUP($F817,#REF!,6,0)*H817/1000)</f>
        <v>0</v>
      </c>
      <c r="N817" s="21">
        <f>IF(ISERROR(VLOOKUP($F817,#REF!,6,0)*I817/1000),0,VLOOKUP($F817,#REF!,6,0)*I817/1000)</f>
        <v>0</v>
      </c>
      <c r="O817" s="21">
        <f>IF(ISERROR(VLOOKUP($F817,#REF!,6,0)*J817/1000),0,VLOOKUP($F817,#REF!,6,0)*J817/1000)</f>
        <v>0</v>
      </c>
      <c r="P817" s="21">
        <f>IF(ISERROR(VLOOKUP(F817,#REF!,6,0)*K817/1000),0,VLOOKUP(F817,#REF!,6,0)*K817/1000)</f>
        <v>0</v>
      </c>
      <c r="Q817" s="6">
        <f>IF(ISERROR(VLOOKUP(F817,#REF!,3,0)),0,VLOOKUP(F817,#REF!,3,0))</f>
        <v>0</v>
      </c>
      <c r="R817" s="6">
        <f>IF(ISERROR(VLOOKUP(F817,#REF!,4,0)),0,VLOOKUP(F817,#REF!,4,0))</f>
        <v>0</v>
      </c>
      <c r="S817" s="8">
        <f>IF(ISERROR(VLOOKUP(F817,#REF!,4,0)),0,VLOOKUP(F817,#REF!,10,0)/60*K817)</f>
        <v>0</v>
      </c>
      <c r="T817" s="3"/>
      <c r="U817" s="3"/>
      <c r="V817" s="4"/>
    </row>
    <row r="818" spans="1:22" x14ac:dyDescent="0.3">
      <c r="A818" s="5">
        <f t="shared" si="37"/>
        <v>0</v>
      </c>
      <c r="B818" s="6">
        <f t="shared" si="38"/>
        <v>0</v>
      </c>
      <c r="K818" s="18">
        <f t="shared" si="36"/>
        <v>0</v>
      </c>
      <c r="L818" s="21">
        <f>IF(ISERROR(VLOOKUP($F818,#REF!,6,0)*G818/1000),0,VLOOKUP($F818,#REF!,6,0)*G818/1000)</f>
        <v>0</v>
      </c>
      <c r="M818" s="21">
        <f>IF(ISERROR(VLOOKUP($F818,#REF!,6,0)*H818/1000),0,VLOOKUP($F818,#REF!,6,0)*H818/1000)</f>
        <v>0</v>
      </c>
      <c r="N818" s="21">
        <f>IF(ISERROR(VLOOKUP($F818,#REF!,6,0)*I818/1000),0,VLOOKUP($F818,#REF!,6,0)*I818/1000)</f>
        <v>0</v>
      </c>
      <c r="O818" s="21">
        <f>IF(ISERROR(VLOOKUP($F818,#REF!,6,0)*J818/1000),0,VLOOKUP($F818,#REF!,6,0)*J818/1000)</f>
        <v>0</v>
      </c>
      <c r="P818" s="21">
        <f>IF(ISERROR(VLOOKUP(F818,#REF!,6,0)*K818/1000),0,VLOOKUP(F818,#REF!,6,0)*K818/1000)</f>
        <v>0</v>
      </c>
      <c r="Q818" s="6">
        <f>IF(ISERROR(VLOOKUP(F818,#REF!,3,0)),0,VLOOKUP(F818,#REF!,3,0))</f>
        <v>0</v>
      </c>
      <c r="R818" s="6">
        <f>IF(ISERROR(VLOOKUP(F818,#REF!,4,0)),0,VLOOKUP(F818,#REF!,4,0))</f>
        <v>0</v>
      </c>
      <c r="S818" s="8">
        <f>IF(ISERROR(VLOOKUP(F818,#REF!,4,0)),0,VLOOKUP(F818,#REF!,10,0)/60*K818)</f>
        <v>0</v>
      </c>
      <c r="T818" s="3"/>
      <c r="U818" s="3"/>
      <c r="V818" s="4"/>
    </row>
    <row r="819" spans="1:22" x14ac:dyDescent="0.3">
      <c r="A819" s="5">
        <f t="shared" si="37"/>
        <v>0</v>
      </c>
      <c r="B819" s="6">
        <f t="shared" si="38"/>
        <v>0</v>
      </c>
      <c r="K819" s="18">
        <f t="shared" si="36"/>
        <v>0</v>
      </c>
      <c r="L819" s="21">
        <f>IF(ISERROR(VLOOKUP($F819,#REF!,6,0)*G819/1000),0,VLOOKUP($F819,#REF!,6,0)*G819/1000)</f>
        <v>0</v>
      </c>
      <c r="M819" s="21">
        <f>IF(ISERROR(VLOOKUP($F819,#REF!,6,0)*H819/1000),0,VLOOKUP($F819,#REF!,6,0)*H819/1000)</f>
        <v>0</v>
      </c>
      <c r="N819" s="21">
        <f>IF(ISERROR(VLOOKUP($F819,#REF!,6,0)*I819/1000),0,VLOOKUP($F819,#REF!,6,0)*I819/1000)</f>
        <v>0</v>
      </c>
      <c r="O819" s="21">
        <f>IF(ISERROR(VLOOKUP($F819,#REF!,6,0)*J819/1000),0,VLOOKUP($F819,#REF!,6,0)*J819/1000)</f>
        <v>0</v>
      </c>
      <c r="P819" s="21">
        <f>IF(ISERROR(VLOOKUP(F819,#REF!,6,0)*K819/1000),0,VLOOKUP(F819,#REF!,6,0)*K819/1000)</f>
        <v>0</v>
      </c>
      <c r="Q819" s="6">
        <f>IF(ISERROR(VLOOKUP(F819,#REF!,3,0)),0,VLOOKUP(F819,#REF!,3,0))</f>
        <v>0</v>
      </c>
      <c r="R819" s="6">
        <f>IF(ISERROR(VLOOKUP(F819,#REF!,4,0)),0,VLOOKUP(F819,#REF!,4,0))</f>
        <v>0</v>
      </c>
      <c r="S819" s="8">
        <f>IF(ISERROR(VLOOKUP(F819,#REF!,4,0)),0,VLOOKUP(F819,#REF!,10,0)/60*K819)</f>
        <v>0</v>
      </c>
      <c r="T819" s="3"/>
      <c r="U819" s="3"/>
      <c r="V819" s="4"/>
    </row>
    <row r="820" spans="1:22" x14ac:dyDescent="0.3">
      <c r="A820" s="5">
        <f t="shared" si="37"/>
        <v>0</v>
      </c>
      <c r="B820" s="6">
        <f t="shared" si="38"/>
        <v>0</v>
      </c>
      <c r="K820" s="18">
        <f t="shared" si="36"/>
        <v>0</v>
      </c>
      <c r="L820" s="21">
        <f>IF(ISERROR(VLOOKUP($F820,#REF!,6,0)*G820/1000),0,VLOOKUP($F820,#REF!,6,0)*G820/1000)</f>
        <v>0</v>
      </c>
      <c r="M820" s="21">
        <f>IF(ISERROR(VLOOKUP($F820,#REF!,6,0)*H820/1000),0,VLOOKUP($F820,#REF!,6,0)*H820/1000)</f>
        <v>0</v>
      </c>
      <c r="N820" s="21">
        <f>IF(ISERROR(VLOOKUP($F820,#REF!,6,0)*I820/1000),0,VLOOKUP($F820,#REF!,6,0)*I820/1000)</f>
        <v>0</v>
      </c>
      <c r="O820" s="21">
        <f>IF(ISERROR(VLOOKUP($F820,#REF!,6,0)*J820/1000),0,VLOOKUP($F820,#REF!,6,0)*J820/1000)</f>
        <v>0</v>
      </c>
      <c r="P820" s="21">
        <f>IF(ISERROR(VLOOKUP(F820,#REF!,6,0)*K820/1000),0,VLOOKUP(F820,#REF!,6,0)*K820/1000)</f>
        <v>0</v>
      </c>
      <c r="Q820" s="6">
        <f>IF(ISERROR(VLOOKUP(F820,#REF!,3,0)),0,VLOOKUP(F820,#REF!,3,0))</f>
        <v>0</v>
      </c>
      <c r="R820" s="6">
        <f>IF(ISERROR(VLOOKUP(F820,#REF!,4,0)),0,VLOOKUP(F820,#REF!,4,0))</f>
        <v>0</v>
      </c>
      <c r="S820" s="8">
        <f>IF(ISERROR(VLOOKUP(F820,#REF!,4,0)),0,VLOOKUP(F820,#REF!,10,0)/60*K820)</f>
        <v>0</v>
      </c>
      <c r="T820" s="3"/>
      <c r="U820" s="3"/>
      <c r="V820" s="4"/>
    </row>
    <row r="821" spans="1:22" x14ac:dyDescent="0.3">
      <c r="A821" s="5">
        <f t="shared" si="37"/>
        <v>0</v>
      </c>
      <c r="B821" s="6">
        <f t="shared" si="38"/>
        <v>0</v>
      </c>
      <c r="K821" s="18">
        <f t="shared" si="36"/>
        <v>0</v>
      </c>
      <c r="L821" s="21">
        <f>IF(ISERROR(VLOOKUP($F821,#REF!,6,0)*G821/1000),0,VLOOKUP($F821,#REF!,6,0)*G821/1000)</f>
        <v>0</v>
      </c>
      <c r="M821" s="21">
        <f>IF(ISERROR(VLOOKUP($F821,#REF!,6,0)*H821/1000),0,VLOOKUP($F821,#REF!,6,0)*H821/1000)</f>
        <v>0</v>
      </c>
      <c r="N821" s="21">
        <f>IF(ISERROR(VLOOKUP($F821,#REF!,6,0)*I821/1000),0,VLOOKUP($F821,#REF!,6,0)*I821/1000)</f>
        <v>0</v>
      </c>
      <c r="O821" s="21">
        <f>IF(ISERROR(VLOOKUP($F821,#REF!,6,0)*J821/1000),0,VLOOKUP($F821,#REF!,6,0)*J821/1000)</f>
        <v>0</v>
      </c>
      <c r="P821" s="21">
        <f>IF(ISERROR(VLOOKUP(F821,#REF!,6,0)*K821/1000),0,VLOOKUP(F821,#REF!,6,0)*K821/1000)</f>
        <v>0</v>
      </c>
      <c r="Q821" s="6">
        <f>IF(ISERROR(VLOOKUP(F821,#REF!,3,0)),0,VLOOKUP(F821,#REF!,3,0))</f>
        <v>0</v>
      </c>
      <c r="R821" s="6">
        <f>IF(ISERROR(VLOOKUP(F821,#REF!,4,0)),0,VLOOKUP(F821,#REF!,4,0))</f>
        <v>0</v>
      </c>
      <c r="S821" s="8">
        <f>IF(ISERROR(VLOOKUP(F821,#REF!,4,0)),0,VLOOKUP(F821,#REF!,10,0)/60*K821)</f>
        <v>0</v>
      </c>
      <c r="T821" s="3"/>
      <c r="U821" s="3"/>
      <c r="V821" s="4"/>
    </row>
    <row r="822" spans="1:22" x14ac:dyDescent="0.3">
      <c r="A822" s="5">
        <f t="shared" si="37"/>
        <v>0</v>
      </c>
      <c r="B822" s="6">
        <f t="shared" si="38"/>
        <v>0</v>
      </c>
      <c r="K822" s="18">
        <f t="shared" si="36"/>
        <v>0</v>
      </c>
      <c r="L822" s="21">
        <f>IF(ISERROR(VLOOKUP($F822,#REF!,6,0)*G822/1000),0,VLOOKUP($F822,#REF!,6,0)*G822/1000)</f>
        <v>0</v>
      </c>
      <c r="M822" s="21">
        <f>IF(ISERROR(VLOOKUP($F822,#REF!,6,0)*H822/1000),0,VLOOKUP($F822,#REF!,6,0)*H822/1000)</f>
        <v>0</v>
      </c>
      <c r="N822" s="21">
        <f>IF(ISERROR(VLOOKUP($F822,#REF!,6,0)*I822/1000),0,VLOOKUP($F822,#REF!,6,0)*I822/1000)</f>
        <v>0</v>
      </c>
      <c r="O822" s="21">
        <f>IF(ISERROR(VLOOKUP($F822,#REF!,6,0)*J822/1000),0,VLOOKUP($F822,#REF!,6,0)*J822/1000)</f>
        <v>0</v>
      </c>
      <c r="P822" s="21">
        <f>IF(ISERROR(VLOOKUP(F822,#REF!,6,0)*K822/1000),0,VLOOKUP(F822,#REF!,6,0)*K822/1000)</f>
        <v>0</v>
      </c>
      <c r="Q822" s="6">
        <f>IF(ISERROR(VLOOKUP(F822,#REF!,3,0)),0,VLOOKUP(F822,#REF!,3,0))</f>
        <v>0</v>
      </c>
      <c r="R822" s="6">
        <f>IF(ISERROR(VLOOKUP(F822,#REF!,4,0)),0,VLOOKUP(F822,#REF!,4,0))</f>
        <v>0</v>
      </c>
      <c r="S822" s="8">
        <f>IF(ISERROR(VLOOKUP(F822,#REF!,4,0)),0,VLOOKUP(F822,#REF!,10,0)/60*K822)</f>
        <v>0</v>
      </c>
      <c r="T822" s="3"/>
      <c r="U822" s="3"/>
      <c r="V822" s="4"/>
    </row>
    <row r="823" spans="1:22" x14ac:dyDescent="0.3">
      <c r="A823" s="5">
        <f t="shared" si="37"/>
        <v>0</v>
      </c>
      <c r="B823" s="6">
        <f t="shared" si="38"/>
        <v>0</v>
      </c>
      <c r="K823" s="18">
        <f t="shared" si="36"/>
        <v>0</v>
      </c>
      <c r="L823" s="21">
        <f>IF(ISERROR(VLOOKUP($F823,#REF!,6,0)*G823/1000),0,VLOOKUP($F823,#REF!,6,0)*G823/1000)</f>
        <v>0</v>
      </c>
      <c r="M823" s="21">
        <f>IF(ISERROR(VLOOKUP($F823,#REF!,6,0)*H823/1000),0,VLOOKUP($F823,#REF!,6,0)*H823/1000)</f>
        <v>0</v>
      </c>
      <c r="N823" s="21">
        <f>IF(ISERROR(VLOOKUP($F823,#REF!,6,0)*I823/1000),0,VLOOKUP($F823,#REF!,6,0)*I823/1000)</f>
        <v>0</v>
      </c>
      <c r="O823" s="21">
        <f>IF(ISERROR(VLOOKUP($F823,#REF!,6,0)*J823/1000),0,VLOOKUP($F823,#REF!,6,0)*J823/1000)</f>
        <v>0</v>
      </c>
      <c r="P823" s="21">
        <f>IF(ISERROR(VLOOKUP(F823,#REF!,6,0)*K823/1000),0,VLOOKUP(F823,#REF!,6,0)*K823/1000)</f>
        <v>0</v>
      </c>
      <c r="Q823" s="6">
        <f>IF(ISERROR(VLOOKUP(F823,#REF!,3,0)),0,VLOOKUP(F823,#REF!,3,0))</f>
        <v>0</v>
      </c>
      <c r="R823" s="6">
        <f>IF(ISERROR(VLOOKUP(F823,#REF!,4,0)),0,VLOOKUP(F823,#REF!,4,0))</f>
        <v>0</v>
      </c>
      <c r="S823" s="8">
        <f>IF(ISERROR(VLOOKUP(F823,#REF!,4,0)),0,VLOOKUP(F823,#REF!,10,0)/60*K823)</f>
        <v>0</v>
      </c>
      <c r="T823" s="3"/>
      <c r="U823" s="3"/>
      <c r="V823" s="4"/>
    </row>
    <row r="824" spans="1:22" x14ac:dyDescent="0.3">
      <c r="A824" s="5">
        <f t="shared" si="37"/>
        <v>0</v>
      </c>
      <c r="B824" s="6">
        <f t="shared" si="38"/>
        <v>0</v>
      </c>
      <c r="K824" s="18">
        <f t="shared" si="36"/>
        <v>0</v>
      </c>
      <c r="L824" s="21">
        <f>IF(ISERROR(VLOOKUP($F824,#REF!,6,0)*G824/1000),0,VLOOKUP($F824,#REF!,6,0)*G824/1000)</f>
        <v>0</v>
      </c>
      <c r="M824" s="21">
        <f>IF(ISERROR(VLOOKUP($F824,#REF!,6,0)*H824/1000),0,VLOOKUP($F824,#REF!,6,0)*H824/1000)</f>
        <v>0</v>
      </c>
      <c r="N824" s="21">
        <f>IF(ISERROR(VLOOKUP($F824,#REF!,6,0)*I824/1000),0,VLOOKUP($F824,#REF!,6,0)*I824/1000)</f>
        <v>0</v>
      </c>
      <c r="O824" s="21">
        <f>IF(ISERROR(VLOOKUP($F824,#REF!,6,0)*J824/1000),0,VLOOKUP($F824,#REF!,6,0)*J824/1000)</f>
        <v>0</v>
      </c>
      <c r="P824" s="21">
        <f>IF(ISERROR(VLOOKUP(F824,#REF!,6,0)*K824/1000),0,VLOOKUP(F824,#REF!,6,0)*K824/1000)</f>
        <v>0</v>
      </c>
      <c r="Q824" s="6">
        <f>IF(ISERROR(VLOOKUP(F824,#REF!,3,0)),0,VLOOKUP(F824,#REF!,3,0))</f>
        <v>0</v>
      </c>
      <c r="R824" s="6">
        <f>IF(ISERROR(VLOOKUP(F824,#REF!,4,0)),0,VLOOKUP(F824,#REF!,4,0))</f>
        <v>0</v>
      </c>
      <c r="S824" s="8">
        <f>IF(ISERROR(VLOOKUP(F824,#REF!,4,0)),0,VLOOKUP(F824,#REF!,10,0)/60*K824)</f>
        <v>0</v>
      </c>
      <c r="T824" s="3"/>
      <c r="U824" s="3"/>
      <c r="V824" s="4"/>
    </row>
    <row r="825" spans="1:22" x14ac:dyDescent="0.3">
      <c r="A825" s="5">
        <f t="shared" si="37"/>
        <v>0</v>
      </c>
      <c r="B825" s="6">
        <f t="shared" si="38"/>
        <v>0</v>
      </c>
      <c r="K825" s="18">
        <f t="shared" si="36"/>
        <v>0</v>
      </c>
      <c r="L825" s="21">
        <f>IF(ISERROR(VLOOKUP($F825,#REF!,6,0)*G825/1000),0,VLOOKUP($F825,#REF!,6,0)*G825/1000)</f>
        <v>0</v>
      </c>
      <c r="M825" s="21">
        <f>IF(ISERROR(VLOOKUP($F825,#REF!,6,0)*H825/1000),0,VLOOKUP($F825,#REF!,6,0)*H825/1000)</f>
        <v>0</v>
      </c>
      <c r="N825" s="21">
        <f>IF(ISERROR(VLOOKUP($F825,#REF!,6,0)*I825/1000),0,VLOOKUP($F825,#REF!,6,0)*I825/1000)</f>
        <v>0</v>
      </c>
      <c r="O825" s="21">
        <f>IF(ISERROR(VLOOKUP($F825,#REF!,6,0)*J825/1000),0,VLOOKUP($F825,#REF!,6,0)*J825/1000)</f>
        <v>0</v>
      </c>
      <c r="P825" s="21">
        <f>IF(ISERROR(VLOOKUP(F825,#REF!,6,0)*K825/1000),0,VLOOKUP(F825,#REF!,6,0)*K825/1000)</f>
        <v>0</v>
      </c>
      <c r="Q825" s="6">
        <f>IF(ISERROR(VLOOKUP(F825,#REF!,3,0)),0,VLOOKUP(F825,#REF!,3,0))</f>
        <v>0</v>
      </c>
      <c r="R825" s="6">
        <f>IF(ISERROR(VLOOKUP(F825,#REF!,4,0)),0,VLOOKUP(F825,#REF!,4,0))</f>
        <v>0</v>
      </c>
      <c r="S825" s="8">
        <f>IF(ISERROR(VLOOKUP(F825,#REF!,4,0)),0,VLOOKUP(F825,#REF!,10,0)/60*K825)</f>
        <v>0</v>
      </c>
      <c r="T825" s="3"/>
      <c r="U825" s="3"/>
      <c r="V825" s="4"/>
    </row>
    <row r="826" spans="1:22" x14ac:dyDescent="0.3">
      <c r="A826" s="5">
        <f t="shared" si="37"/>
        <v>0</v>
      </c>
      <c r="B826" s="6">
        <f t="shared" si="38"/>
        <v>0</v>
      </c>
      <c r="K826" s="18">
        <f t="shared" si="36"/>
        <v>0</v>
      </c>
      <c r="L826" s="21">
        <f>IF(ISERROR(VLOOKUP($F826,#REF!,6,0)*G826/1000),0,VLOOKUP($F826,#REF!,6,0)*G826/1000)</f>
        <v>0</v>
      </c>
      <c r="M826" s="21">
        <f>IF(ISERROR(VLOOKUP($F826,#REF!,6,0)*H826/1000),0,VLOOKUP($F826,#REF!,6,0)*H826/1000)</f>
        <v>0</v>
      </c>
      <c r="N826" s="21">
        <f>IF(ISERROR(VLOOKUP($F826,#REF!,6,0)*I826/1000),0,VLOOKUP($F826,#REF!,6,0)*I826/1000)</f>
        <v>0</v>
      </c>
      <c r="O826" s="21">
        <f>IF(ISERROR(VLOOKUP($F826,#REF!,6,0)*J826/1000),0,VLOOKUP($F826,#REF!,6,0)*J826/1000)</f>
        <v>0</v>
      </c>
      <c r="P826" s="21">
        <f>IF(ISERROR(VLOOKUP(F826,#REF!,6,0)*K826/1000),0,VLOOKUP(F826,#REF!,6,0)*K826/1000)</f>
        <v>0</v>
      </c>
      <c r="Q826" s="6">
        <f>IF(ISERROR(VLOOKUP(F826,#REF!,3,0)),0,VLOOKUP(F826,#REF!,3,0))</f>
        <v>0</v>
      </c>
      <c r="R826" s="6">
        <f>IF(ISERROR(VLOOKUP(F826,#REF!,4,0)),0,VLOOKUP(F826,#REF!,4,0))</f>
        <v>0</v>
      </c>
      <c r="S826" s="8">
        <f>IF(ISERROR(VLOOKUP(F826,#REF!,4,0)),0,VLOOKUP(F826,#REF!,10,0)/60*K826)</f>
        <v>0</v>
      </c>
      <c r="T826" s="3"/>
      <c r="U826" s="3"/>
      <c r="V826" s="4"/>
    </row>
    <row r="827" spans="1:22" x14ac:dyDescent="0.3">
      <c r="A827" s="5">
        <f t="shared" si="37"/>
        <v>0</v>
      </c>
      <c r="B827" s="6">
        <f t="shared" si="38"/>
        <v>0</v>
      </c>
      <c r="K827" s="18">
        <f t="shared" si="36"/>
        <v>0</v>
      </c>
      <c r="L827" s="21">
        <f>IF(ISERROR(VLOOKUP($F827,#REF!,6,0)*G827/1000),0,VLOOKUP($F827,#REF!,6,0)*G827/1000)</f>
        <v>0</v>
      </c>
      <c r="M827" s="21">
        <f>IF(ISERROR(VLOOKUP($F827,#REF!,6,0)*H827/1000),0,VLOOKUP($F827,#REF!,6,0)*H827/1000)</f>
        <v>0</v>
      </c>
      <c r="N827" s="21">
        <f>IF(ISERROR(VLOOKUP($F827,#REF!,6,0)*I827/1000),0,VLOOKUP($F827,#REF!,6,0)*I827/1000)</f>
        <v>0</v>
      </c>
      <c r="O827" s="21">
        <f>IF(ISERROR(VLOOKUP($F827,#REF!,6,0)*J827/1000),0,VLOOKUP($F827,#REF!,6,0)*J827/1000)</f>
        <v>0</v>
      </c>
      <c r="P827" s="21">
        <f>IF(ISERROR(VLOOKUP(F827,#REF!,6,0)*K827/1000),0,VLOOKUP(F827,#REF!,6,0)*K827/1000)</f>
        <v>0</v>
      </c>
      <c r="Q827" s="6">
        <f>IF(ISERROR(VLOOKUP(F827,#REF!,3,0)),0,VLOOKUP(F827,#REF!,3,0))</f>
        <v>0</v>
      </c>
      <c r="R827" s="6">
        <f>IF(ISERROR(VLOOKUP(F827,#REF!,4,0)),0,VLOOKUP(F827,#REF!,4,0))</f>
        <v>0</v>
      </c>
      <c r="S827" s="8">
        <f>IF(ISERROR(VLOOKUP(F827,#REF!,4,0)),0,VLOOKUP(F827,#REF!,10,0)/60*K827)</f>
        <v>0</v>
      </c>
      <c r="T827" s="3"/>
      <c r="U827" s="3"/>
      <c r="V827" s="4"/>
    </row>
    <row r="828" spans="1:22" x14ac:dyDescent="0.3">
      <c r="A828" s="5">
        <f t="shared" si="37"/>
        <v>0</v>
      </c>
      <c r="B828" s="6">
        <f t="shared" si="38"/>
        <v>0</v>
      </c>
      <c r="K828" s="18">
        <f t="shared" si="36"/>
        <v>0</v>
      </c>
      <c r="L828" s="21">
        <f>IF(ISERROR(VLOOKUP($F828,#REF!,6,0)*G828/1000),0,VLOOKUP($F828,#REF!,6,0)*G828/1000)</f>
        <v>0</v>
      </c>
      <c r="M828" s="21">
        <f>IF(ISERROR(VLOOKUP($F828,#REF!,6,0)*H828/1000),0,VLOOKUP($F828,#REF!,6,0)*H828/1000)</f>
        <v>0</v>
      </c>
      <c r="N828" s="21">
        <f>IF(ISERROR(VLOOKUP($F828,#REF!,6,0)*I828/1000),0,VLOOKUP($F828,#REF!,6,0)*I828/1000)</f>
        <v>0</v>
      </c>
      <c r="O828" s="21">
        <f>IF(ISERROR(VLOOKUP($F828,#REF!,6,0)*J828/1000),0,VLOOKUP($F828,#REF!,6,0)*J828/1000)</f>
        <v>0</v>
      </c>
      <c r="P828" s="21">
        <f>IF(ISERROR(VLOOKUP(F828,#REF!,6,0)*K828/1000),0,VLOOKUP(F828,#REF!,6,0)*K828/1000)</f>
        <v>0</v>
      </c>
      <c r="Q828" s="6">
        <f>IF(ISERROR(VLOOKUP(F828,#REF!,3,0)),0,VLOOKUP(F828,#REF!,3,0))</f>
        <v>0</v>
      </c>
      <c r="R828" s="6">
        <f>IF(ISERROR(VLOOKUP(F828,#REF!,4,0)),0,VLOOKUP(F828,#REF!,4,0))</f>
        <v>0</v>
      </c>
      <c r="S828" s="8">
        <f>IF(ISERROR(VLOOKUP(F828,#REF!,4,0)),0,VLOOKUP(F828,#REF!,10,0)/60*K828)</f>
        <v>0</v>
      </c>
      <c r="T828" s="3"/>
      <c r="U828" s="3"/>
      <c r="V828" s="4"/>
    </row>
    <row r="829" spans="1:22" x14ac:dyDescent="0.3">
      <c r="A829" s="5">
        <f t="shared" si="37"/>
        <v>0</v>
      </c>
      <c r="B829" s="6">
        <f t="shared" si="38"/>
        <v>0</v>
      </c>
      <c r="K829" s="18">
        <f t="shared" si="36"/>
        <v>0</v>
      </c>
      <c r="L829" s="21">
        <f>IF(ISERROR(VLOOKUP($F829,#REF!,6,0)*G829/1000),0,VLOOKUP($F829,#REF!,6,0)*G829/1000)</f>
        <v>0</v>
      </c>
      <c r="M829" s="21">
        <f>IF(ISERROR(VLOOKUP($F829,#REF!,6,0)*H829/1000),0,VLOOKUP($F829,#REF!,6,0)*H829/1000)</f>
        <v>0</v>
      </c>
      <c r="N829" s="21">
        <f>IF(ISERROR(VLOOKUP($F829,#REF!,6,0)*I829/1000),0,VLOOKUP($F829,#REF!,6,0)*I829/1000)</f>
        <v>0</v>
      </c>
      <c r="O829" s="21">
        <f>IF(ISERROR(VLOOKUP($F829,#REF!,6,0)*J829/1000),0,VLOOKUP($F829,#REF!,6,0)*J829/1000)</f>
        <v>0</v>
      </c>
      <c r="P829" s="21">
        <f>IF(ISERROR(VLOOKUP(F829,#REF!,6,0)*K829/1000),0,VLOOKUP(F829,#REF!,6,0)*K829/1000)</f>
        <v>0</v>
      </c>
      <c r="Q829" s="6">
        <f>IF(ISERROR(VLOOKUP(F829,#REF!,3,0)),0,VLOOKUP(F829,#REF!,3,0))</f>
        <v>0</v>
      </c>
      <c r="R829" s="6">
        <f>IF(ISERROR(VLOOKUP(F829,#REF!,4,0)),0,VLOOKUP(F829,#REF!,4,0))</f>
        <v>0</v>
      </c>
      <c r="S829" s="8">
        <f>IF(ISERROR(VLOOKUP(F829,#REF!,4,0)),0,VLOOKUP(F829,#REF!,10,0)/60*K829)</f>
        <v>0</v>
      </c>
      <c r="T829" s="3"/>
      <c r="U829" s="3"/>
      <c r="V829" s="4"/>
    </row>
    <row r="830" spans="1:22" x14ac:dyDescent="0.3">
      <c r="A830" s="5">
        <f t="shared" si="37"/>
        <v>0</v>
      </c>
      <c r="B830" s="6">
        <f t="shared" si="38"/>
        <v>0</v>
      </c>
      <c r="K830" s="18">
        <f t="shared" si="36"/>
        <v>0</v>
      </c>
      <c r="L830" s="21">
        <f>IF(ISERROR(VLOOKUP($F830,#REF!,6,0)*G830/1000),0,VLOOKUP($F830,#REF!,6,0)*G830/1000)</f>
        <v>0</v>
      </c>
      <c r="M830" s="21">
        <f>IF(ISERROR(VLOOKUP($F830,#REF!,6,0)*H830/1000),0,VLOOKUP($F830,#REF!,6,0)*H830/1000)</f>
        <v>0</v>
      </c>
      <c r="N830" s="21">
        <f>IF(ISERROR(VLOOKUP($F830,#REF!,6,0)*I830/1000),0,VLOOKUP($F830,#REF!,6,0)*I830/1000)</f>
        <v>0</v>
      </c>
      <c r="O830" s="21">
        <f>IF(ISERROR(VLOOKUP($F830,#REF!,6,0)*J830/1000),0,VLOOKUP($F830,#REF!,6,0)*J830/1000)</f>
        <v>0</v>
      </c>
      <c r="P830" s="21">
        <f>IF(ISERROR(VLOOKUP(F830,#REF!,6,0)*K830/1000),0,VLOOKUP(F830,#REF!,6,0)*K830/1000)</f>
        <v>0</v>
      </c>
      <c r="Q830" s="6">
        <f>IF(ISERROR(VLOOKUP(F830,#REF!,3,0)),0,VLOOKUP(F830,#REF!,3,0))</f>
        <v>0</v>
      </c>
      <c r="R830" s="6">
        <f>IF(ISERROR(VLOOKUP(F830,#REF!,4,0)),0,VLOOKUP(F830,#REF!,4,0))</f>
        <v>0</v>
      </c>
      <c r="S830" s="8">
        <f>IF(ISERROR(VLOOKUP(F830,#REF!,4,0)),0,VLOOKUP(F830,#REF!,10,0)/60*K830)</f>
        <v>0</v>
      </c>
      <c r="T830" s="3"/>
      <c r="U830" s="3"/>
      <c r="V830" s="4"/>
    </row>
    <row r="831" spans="1:22" x14ac:dyDescent="0.3">
      <c r="A831" s="5">
        <f t="shared" si="37"/>
        <v>0</v>
      </c>
      <c r="B831" s="6">
        <f t="shared" si="38"/>
        <v>0</v>
      </c>
      <c r="K831" s="18">
        <f t="shared" si="36"/>
        <v>0</v>
      </c>
      <c r="L831" s="21">
        <f>IF(ISERROR(VLOOKUP($F831,#REF!,6,0)*G831/1000),0,VLOOKUP($F831,#REF!,6,0)*G831/1000)</f>
        <v>0</v>
      </c>
      <c r="M831" s="21">
        <f>IF(ISERROR(VLOOKUP($F831,#REF!,6,0)*H831/1000),0,VLOOKUP($F831,#REF!,6,0)*H831/1000)</f>
        <v>0</v>
      </c>
      <c r="N831" s="21">
        <f>IF(ISERROR(VLOOKUP($F831,#REF!,6,0)*I831/1000),0,VLOOKUP($F831,#REF!,6,0)*I831/1000)</f>
        <v>0</v>
      </c>
      <c r="O831" s="21">
        <f>IF(ISERROR(VLOOKUP($F831,#REF!,6,0)*J831/1000),0,VLOOKUP($F831,#REF!,6,0)*J831/1000)</f>
        <v>0</v>
      </c>
      <c r="P831" s="21">
        <f>IF(ISERROR(VLOOKUP(F831,#REF!,6,0)*K831/1000),0,VLOOKUP(F831,#REF!,6,0)*K831/1000)</f>
        <v>0</v>
      </c>
      <c r="Q831" s="6">
        <f>IF(ISERROR(VLOOKUP(F831,#REF!,3,0)),0,VLOOKUP(F831,#REF!,3,0))</f>
        <v>0</v>
      </c>
      <c r="R831" s="6">
        <f>IF(ISERROR(VLOOKUP(F831,#REF!,4,0)),0,VLOOKUP(F831,#REF!,4,0))</f>
        <v>0</v>
      </c>
      <c r="S831" s="8">
        <f>IF(ISERROR(VLOOKUP(F831,#REF!,4,0)),0,VLOOKUP(F831,#REF!,10,0)/60*K831)</f>
        <v>0</v>
      </c>
      <c r="T831" s="3"/>
      <c r="U831" s="3"/>
      <c r="V831" s="4"/>
    </row>
    <row r="832" spans="1:22" x14ac:dyDescent="0.3">
      <c r="A832" s="5">
        <f t="shared" si="37"/>
        <v>0</v>
      </c>
      <c r="B832" s="6">
        <f t="shared" si="38"/>
        <v>0</v>
      </c>
      <c r="K832" s="18">
        <f t="shared" si="36"/>
        <v>0</v>
      </c>
      <c r="L832" s="21">
        <f>IF(ISERROR(VLOOKUP($F832,#REF!,6,0)*G832/1000),0,VLOOKUP($F832,#REF!,6,0)*G832/1000)</f>
        <v>0</v>
      </c>
      <c r="M832" s="21">
        <f>IF(ISERROR(VLOOKUP($F832,#REF!,6,0)*H832/1000),0,VLOOKUP($F832,#REF!,6,0)*H832/1000)</f>
        <v>0</v>
      </c>
      <c r="N832" s="21">
        <f>IF(ISERROR(VLOOKUP($F832,#REF!,6,0)*I832/1000),0,VLOOKUP($F832,#REF!,6,0)*I832/1000)</f>
        <v>0</v>
      </c>
      <c r="O832" s="21">
        <f>IF(ISERROR(VLOOKUP($F832,#REF!,6,0)*J832/1000),0,VLOOKUP($F832,#REF!,6,0)*J832/1000)</f>
        <v>0</v>
      </c>
      <c r="P832" s="21">
        <f>IF(ISERROR(VLOOKUP(F832,#REF!,6,0)*K832/1000),0,VLOOKUP(F832,#REF!,6,0)*K832/1000)</f>
        <v>0</v>
      </c>
      <c r="Q832" s="6">
        <f>IF(ISERROR(VLOOKUP(F832,#REF!,3,0)),0,VLOOKUP(F832,#REF!,3,0))</f>
        <v>0</v>
      </c>
      <c r="R832" s="6">
        <f>IF(ISERROR(VLOOKUP(F832,#REF!,4,0)),0,VLOOKUP(F832,#REF!,4,0))</f>
        <v>0</v>
      </c>
      <c r="S832" s="8">
        <f>IF(ISERROR(VLOOKUP(F832,#REF!,4,0)),0,VLOOKUP(F832,#REF!,10,0)/60*K832)</f>
        <v>0</v>
      </c>
      <c r="T832" s="3"/>
      <c r="U832" s="3"/>
      <c r="V832" s="4"/>
    </row>
    <row r="833" spans="1:22" x14ac:dyDescent="0.3">
      <c r="A833" s="5">
        <f t="shared" si="37"/>
        <v>0</v>
      </c>
      <c r="B833" s="6">
        <f t="shared" si="38"/>
        <v>0</v>
      </c>
      <c r="K833" s="18">
        <f t="shared" si="36"/>
        <v>0</v>
      </c>
      <c r="L833" s="21">
        <f>IF(ISERROR(VLOOKUP($F833,#REF!,6,0)*G833/1000),0,VLOOKUP($F833,#REF!,6,0)*G833/1000)</f>
        <v>0</v>
      </c>
      <c r="M833" s="21">
        <f>IF(ISERROR(VLOOKUP($F833,#REF!,6,0)*H833/1000),0,VLOOKUP($F833,#REF!,6,0)*H833/1000)</f>
        <v>0</v>
      </c>
      <c r="N833" s="21">
        <f>IF(ISERROR(VLOOKUP($F833,#REF!,6,0)*I833/1000),0,VLOOKUP($F833,#REF!,6,0)*I833/1000)</f>
        <v>0</v>
      </c>
      <c r="O833" s="21">
        <f>IF(ISERROR(VLOOKUP($F833,#REF!,6,0)*J833/1000),0,VLOOKUP($F833,#REF!,6,0)*J833/1000)</f>
        <v>0</v>
      </c>
      <c r="P833" s="21">
        <f>IF(ISERROR(VLOOKUP(F833,#REF!,6,0)*K833/1000),0,VLOOKUP(F833,#REF!,6,0)*K833/1000)</f>
        <v>0</v>
      </c>
      <c r="Q833" s="6">
        <f>IF(ISERROR(VLOOKUP(F833,#REF!,3,0)),0,VLOOKUP(F833,#REF!,3,0))</f>
        <v>0</v>
      </c>
      <c r="R833" s="6">
        <f>IF(ISERROR(VLOOKUP(F833,#REF!,4,0)),0,VLOOKUP(F833,#REF!,4,0))</f>
        <v>0</v>
      </c>
      <c r="S833" s="8">
        <f>IF(ISERROR(VLOOKUP(F833,#REF!,4,0)),0,VLOOKUP(F833,#REF!,10,0)/60*K833)</f>
        <v>0</v>
      </c>
      <c r="T833" s="3"/>
      <c r="U833" s="3"/>
      <c r="V833" s="4"/>
    </row>
    <row r="834" spans="1:22" x14ac:dyDescent="0.3">
      <c r="A834" s="5">
        <f t="shared" si="37"/>
        <v>0</v>
      </c>
      <c r="B834" s="6">
        <f t="shared" si="38"/>
        <v>0</v>
      </c>
      <c r="K834" s="18">
        <f t="shared" si="36"/>
        <v>0</v>
      </c>
      <c r="L834" s="21">
        <f>IF(ISERROR(VLOOKUP($F834,#REF!,6,0)*G834/1000),0,VLOOKUP($F834,#REF!,6,0)*G834/1000)</f>
        <v>0</v>
      </c>
      <c r="M834" s="21">
        <f>IF(ISERROR(VLOOKUP($F834,#REF!,6,0)*H834/1000),0,VLOOKUP($F834,#REF!,6,0)*H834/1000)</f>
        <v>0</v>
      </c>
      <c r="N834" s="21">
        <f>IF(ISERROR(VLOOKUP($F834,#REF!,6,0)*I834/1000),0,VLOOKUP($F834,#REF!,6,0)*I834/1000)</f>
        <v>0</v>
      </c>
      <c r="O834" s="21">
        <f>IF(ISERROR(VLOOKUP($F834,#REF!,6,0)*J834/1000),0,VLOOKUP($F834,#REF!,6,0)*J834/1000)</f>
        <v>0</v>
      </c>
      <c r="P834" s="21">
        <f>IF(ISERROR(VLOOKUP(F834,#REF!,6,0)*K834/1000),0,VLOOKUP(F834,#REF!,6,0)*K834/1000)</f>
        <v>0</v>
      </c>
      <c r="Q834" s="6">
        <f>IF(ISERROR(VLOOKUP(F834,#REF!,3,0)),0,VLOOKUP(F834,#REF!,3,0))</f>
        <v>0</v>
      </c>
      <c r="R834" s="6">
        <f>IF(ISERROR(VLOOKUP(F834,#REF!,4,0)),0,VLOOKUP(F834,#REF!,4,0))</f>
        <v>0</v>
      </c>
      <c r="S834" s="8">
        <f>IF(ISERROR(VLOOKUP(F834,#REF!,4,0)),0,VLOOKUP(F834,#REF!,10,0)/60*K834)</f>
        <v>0</v>
      </c>
      <c r="T834" s="3"/>
      <c r="U834" s="3"/>
      <c r="V834" s="4"/>
    </row>
    <row r="835" spans="1:22" x14ac:dyDescent="0.3">
      <c r="A835" s="5">
        <f t="shared" si="37"/>
        <v>0</v>
      </c>
      <c r="B835" s="6">
        <f t="shared" si="38"/>
        <v>0</v>
      </c>
      <c r="K835" s="18">
        <f t="shared" si="36"/>
        <v>0</v>
      </c>
      <c r="L835" s="21">
        <f>IF(ISERROR(VLOOKUP($F835,#REF!,6,0)*G835/1000),0,VLOOKUP($F835,#REF!,6,0)*G835/1000)</f>
        <v>0</v>
      </c>
      <c r="M835" s="21">
        <f>IF(ISERROR(VLOOKUP($F835,#REF!,6,0)*H835/1000),0,VLOOKUP($F835,#REF!,6,0)*H835/1000)</f>
        <v>0</v>
      </c>
      <c r="N835" s="21">
        <f>IF(ISERROR(VLOOKUP($F835,#REF!,6,0)*I835/1000),0,VLOOKUP($F835,#REF!,6,0)*I835/1000)</f>
        <v>0</v>
      </c>
      <c r="O835" s="21">
        <f>IF(ISERROR(VLOOKUP($F835,#REF!,6,0)*J835/1000),0,VLOOKUP($F835,#REF!,6,0)*J835/1000)</f>
        <v>0</v>
      </c>
      <c r="P835" s="21">
        <f>IF(ISERROR(VLOOKUP(F835,#REF!,6,0)*K835/1000),0,VLOOKUP(F835,#REF!,6,0)*K835/1000)</f>
        <v>0</v>
      </c>
      <c r="Q835" s="6">
        <f>IF(ISERROR(VLOOKUP(F835,#REF!,3,0)),0,VLOOKUP(F835,#REF!,3,0))</f>
        <v>0</v>
      </c>
      <c r="R835" s="6">
        <f>IF(ISERROR(VLOOKUP(F835,#REF!,4,0)),0,VLOOKUP(F835,#REF!,4,0))</f>
        <v>0</v>
      </c>
      <c r="S835" s="8">
        <f>IF(ISERROR(VLOOKUP(F835,#REF!,4,0)),0,VLOOKUP(F835,#REF!,10,0)/60*K835)</f>
        <v>0</v>
      </c>
      <c r="T835" s="3"/>
      <c r="U835" s="3"/>
      <c r="V835" s="4"/>
    </row>
    <row r="836" spans="1:22" x14ac:dyDescent="0.3">
      <c r="A836" s="5">
        <f t="shared" si="37"/>
        <v>0</v>
      </c>
      <c r="B836" s="6">
        <f t="shared" si="38"/>
        <v>0</v>
      </c>
      <c r="K836" s="18">
        <f t="shared" ref="K836:K899" si="39">SUM(G836:J836)</f>
        <v>0</v>
      </c>
      <c r="L836" s="21">
        <f>IF(ISERROR(VLOOKUP($F836,#REF!,6,0)*G836/1000),0,VLOOKUP($F836,#REF!,6,0)*G836/1000)</f>
        <v>0</v>
      </c>
      <c r="M836" s="21">
        <f>IF(ISERROR(VLOOKUP($F836,#REF!,6,0)*H836/1000),0,VLOOKUP($F836,#REF!,6,0)*H836/1000)</f>
        <v>0</v>
      </c>
      <c r="N836" s="21">
        <f>IF(ISERROR(VLOOKUP($F836,#REF!,6,0)*I836/1000),0,VLOOKUP($F836,#REF!,6,0)*I836/1000)</f>
        <v>0</v>
      </c>
      <c r="O836" s="21">
        <f>IF(ISERROR(VLOOKUP($F836,#REF!,6,0)*J836/1000),0,VLOOKUP($F836,#REF!,6,0)*J836/1000)</f>
        <v>0</v>
      </c>
      <c r="P836" s="21">
        <f>IF(ISERROR(VLOOKUP(F836,#REF!,6,0)*K836/1000),0,VLOOKUP(F836,#REF!,6,0)*K836/1000)</f>
        <v>0</v>
      </c>
      <c r="Q836" s="6">
        <f>IF(ISERROR(VLOOKUP(F836,#REF!,3,0)),0,VLOOKUP(F836,#REF!,3,0))</f>
        <v>0</v>
      </c>
      <c r="R836" s="6">
        <f>IF(ISERROR(VLOOKUP(F836,#REF!,4,0)),0,VLOOKUP(F836,#REF!,4,0))</f>
        <v>0</v>
      </c>
      <c r="S836" s="8">
        <f>IF(ISERROR(VLOOKUP(F836,#REF!,4,0)),0,VLOOKUP(F836,#REF!,10,0)/60*K836)</f>
        <v>0</v>
      </c>
      <c r="T836" s="3"/>
      <c r="U836" s="3"/>
      <c r="V836" s="4"/>
    </row>
    <row r="837" spans="1:22" x14ac:dyDescent="0.3">
      <c r="A837" s="5">
        <f t="shared" ref="A837:A900" si="40">IF(C837=0,0,YEAR(C837))</f>
        <v>0</v>
      </c>
      <c r="B837" s="6">
        <f t="shared" ref="B837:B900" si="41">IF(C837&gt;0,VLOOKUP(MONTH($C837),$AJ$3:$AK$14,2,0),0)</f>
        <v>0</v>
      </c>
      <c r="K837" s="18">
        <f t="shared" si="39"/>
        <v>0</v>
      </c>
      <c r="L837" s="21">
        <f>IF(ISERROR(VLOOKUP($F837,#REF!,6,0)*G837/1000),0,VLOOKUP($F837,#REF!,6,0)*G837/1000)</f>
        <v>0</v>
      </c>
      <c r="M837" s="21">
        <f>IF(ISERROR(VLOOKUP($F837,#REF!,6,0)*H837/1000),0,VLOOKUP($F837,#REF!,6,0)*H837/1000)</f>
        <v>0</v>
      </c>
      <c r="N837" s="21">
        <f>IF(ISERROR(VLOOKUP($F837,#REF!,6,0)*I837/1000),0,VLOOKUP($F837,#REF!,6,0)*I837/1000)</f>
        <v>0</v>
      </c>
      <c r="O837" s="21">
        <f>IF(ISERROR(VLOOKUP($F837,#REF!,6,0)*J837/1000),0,VLOOKUP($F837,#REF!,6,0)*J837/1000)</f>
        <v>0</v>
      </c>
      <c r="P837" s="21">
        <f>IF(ISERROR(VLOOKUP(F837,#REF!,6,0)*K837/1000),0,VLOOKUP(F837,#REF!,6,0)*K837/1000)</f>
        <v>0</v>
      </c>
      <c r="Q837" s="6">
        <f>IF(ISERROR(VLOOKUP(F837,#REF!,3,0)),0,VLOOKUP(F837,#REF!,3,0))</f>
        <v>0</v>
      </c>
      <c r="R837" s="6">
        <f>IF(ISERROR(VLOOKUP(F837,#REF!,4,0)),0,VLOOKUP(F837,#REF!,4,0))</f>
        <v>0</v>
      </c>
      <c r="S837" s="8">
        <f>IF(ISERROR(VLOOKUP(F837,#REF!,4,0)),0,VLOOKUP(F837,#REF!,10,0)/60*K837)</f>
        <v>0</v>
      </c>
      <c r="T837" s="3"/>
      <c r="U837" s="3"/>
      <c r="V837" s="4"/>
    </row>
    <row r="838" spans="1:22" x14ac:dyDescent="0.3">
      <c r="A838" s="5">
        <f t="shared" si="40"/>
        <v>0</v>
      </c>
      <c r="B838" s="6">
        <f t="shared" si="41"/>
        <v>0</v>
      </c>
      <c r="K838" s="18">
        <f t="shared" si="39"/>
        <v>0</v>
      </c>
      <c r="L838" s="21">
        <f>IF(ISERROR(VLOOKUP($F838,#REF!,6,0)*G838/1000),0,VLOOKUP($F838,#REF!,6,0)*G838/1000)</f>
        <v>0</v>
      </c>
      <c r="M838" s="21">
        <f>IF(ISERROR(VLOOKUP($F838,#REF!,6,0)*H838/1000),0,VLOOKUP($F838,#REF!,6,0)*H838/1000)</f>
        <v>0</v>
      </c>
      <c r="N838" s="21">
        <f>IF(ISERROR(VLOOKUP($F838,#REF!,6,0)*I838/1000),0,VLOOKUP($F838,#REF!,6,0)*I838/1000)</f>
        <v>0</v>
      </c>
      <c r="O838" s="21">
        <f>IF(ISERROR(VLOOKUP($F838,#REF!,6,0)*J838/1000),0,VLOOKUP($F838,#REF!,6,0)*J838/1000)</f>
        <v>0</v>
      </c>
      <c r="P838" s="21">
        <f>IF(ISERROR(VLOOKUP(F838,#REF!,6,0)*K838/1000),0,VLOOKUP(F838,#REF!,6,0)*K838/1000)</f>
        <v>0</v>
      </c>
      <c r="Q838" s="6">
        <f>IF(ISERROR(VLOOKUP(F838,#REF!,3,0)),0,VLOOKUP(F838,#REF!,3,0))</f>
        <v>0</v>
      </c>
      <c r="R838" s="6">
        <f>IF(ISERROR(VLOOKUP(F838,#REF!,4,0)),0,VLOOKUP(F838,#REF!,4,0))</f>
        <v>0</v>
      </c>
      <c r="S838" s="8">
        <f>IF(ISERROR(VLOOKUP(F838,#REF!,4,0)),0,VLOOKUP(F838,#REF!,10,0)/60*K838)</f>
        <v>0</v>
      </c>
      <c r="T838" s="3"/>
      <c r="U838" s="3"/>
      <c r="V838" s="4"/>
    </row>
    <row r="839" spans="1:22" x14ac:dyDescent="0.3">
      <c r="A839" s="5">
        <f t="shared" si="40"/>
        <v>0</v>
      </c>
      <c r="B839" s="6">
        <f t="shared" si="41"/>
        <v>0</v>
      </c>
      <c r="K839" s="18">
        <f t="shared" si="39"/>
        <v>0</v>
      </c>
      <c r="L839" s="21">
        <f>IF(ISERROR(VLOOKUP($F839,#REF!,6,0)*G839/1000),0,VLOOKUP($F839,#REF!,6,0)*G839/1000)</f>
        <v>0</v>
      </c>
      <c r="M839" s="21">
        <f>IF(ISERROR(VLOOKUP($F839,#REF!,6,0)*H839/1000),0,VLOOKUP($F839,#REF!,6,0)*H839/1000)</f>
        <v>0</v>
      </c>
      <c r="N839" s="21">
        <f>IF(ISERROR(VLOOKUP($F839,#REF!,6,0)*I839/1000),0,VLOOKUP($F839,#REF!,6,0)*I839/1000)</f>
        <v>0</v>
      </c>
      <c r="O839" s="21">
        <f>IF(ISERROR(VLOOKUP($F839,#REF!,6,0)*J839/1000),0,VLOOKUP($F839,#REF!,6,0)*J839/1000)</f>
        <v>0</v>
      </c>
      <c r="P839" s="21">
        <f>IF(ISERROR(VLOOKUP(F839,#REF!,6,0)*K839/1000),0,VLOOKUP(F839,#REF!,6,0)*K839/1000)</f>
        <v>0</v>
      </c>
      <c r="Q839" s="6">
        <f>IF(ISERROR(VLOOKUP(F839,#REF!,3,0)),0,VLOOKUP(F839,#REF!,3,0))</f>
        <v>0</v>
      </c>
      <c r="R839" s="6">
        <f>IF(ISERROR(VLOOKUP(F839,#REF!,4,0)),0,VLOOKUP(F839,#REF!,4,0))</f>
        <v>0</v>
      </c>
      <c r="S839" s="8">
        <f>IF(ISERROR(VLOOKUP(F839,#REF!,4,0)),0,VLOOKUP(F839,#REF!,10,0)/60*K839)</f>
        <v>0</v>
      </c>
      <c r="T839" s="3"/>
      <c r="U839" s="3"/>
      <c r="V839" s="4"/>
    </row>
    <row r="840" spans="1:22" x14ac:dyDescent="0.3">
      <c r="A840" s="5">
        <f t="shared" si="40"/>
        <v>0</v>
      </c>
      <c r="B840" s="6">
        <f t="shared" si="41"/>
        <v>0</v>
      </c>
      <c r="K840" s="18">
        <f t="shared" si="39"/>
        <v>0</v>
      </c>
      <c r="L840" s="21">
        <f>IF(ISERROR(VLOOKUP($F840,#REF!,6,0)*G840/1000),0,VLOOKUP($F840,#REF!,6,0)*G840/1000)</f>
        <v>0</v>
      </c>
      <c r="M840" s="21">
        <f>IF(ISERROR(VLOOKUP($F840,#REF!,6,0)*H840/1000),0,VLOOKUP($F840,#REF!,6,0)*H840/1000)</f>
        <v>0</v>
      </c>
      <c r="N840" s="21">
        <f>IF(ISERROR(VLOOKUP($F840,#REF!,6,0)*I840/1000),0,VLOOKUP($F840,#REF!,6,0)*I840/1000)</f>
        <v>0</v>
      </c>
      <c r="O840" s="21">
        <f>IF(ISERROR(VLOOKUP($F840,#REF!,6,0)*J840/1000),0,VLOOKUP($F840,#REF!,6,0)*J840/1000)</f>
        <v>0</v>
      </c>
      <c r="P840" s="21">
        <f>IF(ISERROR(VLOOKUP(F840,#REF!,6,0)*K840/1000),0,VLOOKUP(F840,#REF!,6,0)*K840/1000)</f>
        <v>0</v>
      </c>
      <c r="Q840" s="6">
        <f>IF(ISERROR(VLOOKUP(F840,#REF!,3,0)),0,VLOOKUP(F840,#REF!,3,0))</f>
        <v>0</v>
      </c>
      <c r="R840" s="6">
        <f>IF(ISERROR(VLOOKUP(F840,#REF!,4,0)),0,VLOOKUP(F840,#REF!,4,0))</f>
        <v>0</v>
      </c>
      <c r="S840" s="8">
        <f>IF(ISERROR(VLOOKUP(F840,#REF!,4,0)),0,VLOOKUP(F840,#REF!,10,0)/60*K840)</f>
        <v>0</v>
      </c>
      <c r="T840" s="3"/>
      <c r="U840" s="3"/>
      <c r="V840" s="4"/>
    </row>
    <row r="841" spans="1:22" x14ac:dyDescent="0.3">
      <c r="A841" s="5">
        <f t="shared" si="40"/>
        <v>0</v>
      </c>
      <c r="B841" s="6">
        <f t="shared" si="41"/>
        <v>0</v>
      </c>
      <c r="K841" s="18">
        <f t="shared" si="39"/>
        <v>0</v>
      </c>
      <c r="L841" s="21">
        <f>IF(ISERROR(VLOOKUP($F841,#REF!,6,0)*G841/1000),0,VLOOKUP($F841,#REF!,6,0)*G841/1000)</f>
        <v>0</v>
      </c>
      <c r="M841" s="21">
        <f>IF(ISERROR(VLOOKUP($F841,#REF!,6,0)*H841/1000),0,VLOOKUP($F841,#REF!,6,0)*H841/1000)</f>
        <v>0</v>
      </c>
      <c r="N841" s="21">
        <f>IF(ISERROR(VLOOKUP($F841,#REF!,6,0)*I841/1000),0,VLOOKUP($F841,#REF!,6,0)*I841/1000)</f>
        <v>0</v>
      </c>
      <c r="O841" s="21">
        <f>IF(ISERROR(VLOOKUP($F841,#REF!,6,0)*J841/1000),0,VLOOKUP($F841,#REF!,6,0)*J841/1000)</f>
        <v>0</v>
      </c>
      <c r="P841" s="21">
        <f>IF(ISERROR(VLOOKUP(F841,#REF!,6,0)*K841/1000),0,VLOOKUP(F841,#REF!,6,0)*K841/1000)</f>
        <v>0</v>
      </c>
      <c r="Q841" s="6">
        <f>IF(ISERROR(VLOOKUP(F841,#REF!,3,0)),0,VLOOKUP(F841,#REF!,3,0))</f>
        <v>0</v>
      </c>
      <c r="R841" s="6">
        <f>IF(ISERROR(VLOOKUP(F841,#REF!,4,0)),0,VLOOKUP(F841,#REF!,4,0))</f>
        <v>0</v>
      </c>
      <c r="S841" s="8">
        <f>IF(ISERROR(VLOOKUP(F841,#REF!,4,0)),0,VLOOKUP(F841,#REF!,10,0)/60*K841)</f>
        <v>0</v>
      </c>
      <c r="T841" s="3"/>
      <c r="U841" s="3"/>
      <c r="V841" s="4"/>
    </row>
    <row r="842" spans="1:22" x14ac:dyDescent="0.3">
      <c r="A842" s="5">
        <f t="shared" si="40"/>
        <v>0</v>
      </c>
      <c r="B842" s="6">
        <f t="shared" si="41"/>
        <v>0</v>
      </c>
      <c r="K842" s="18">
        <f t="shared" si="39"/>
        <v>0</v>
      </c>
      <c r="L842" s="21">
        <f>IF(ISERROR(VLOOKUP($F842,#REF!,6,0)*G842/1000),0,VLOOKUP($F842,#REF!,6,0)*G842/1000)</f>
        <v>0</v>
      </c>
      <c r="M842" s="21">
        <f>IF(ISERROR(VLOOKUP($F842,#REF!,6,0)*H842/1000),0,VLOOKUP($F842,#REF!,6,0)*H842/1000)</f>
        <v>0</v>
      </c>
      <c r="N842" s="21">
        <f>IF(ISERROR(VLOOKUP($F842,#REF!,6,0)*I842/1000),0,VLOOKUP($F842,#REF!,6,0)*I842/1000)</f>
        <v>0</v>
      </c>
      <c r="O842" s="21">
        <f>IF(ISERROR(VLOOKUP($F842,#REF!,6,0)*J842/1000),0,VLOOKUP($F842,#REF!,6,0)*J842/1000)</f>
        <v>0</v>
      </c>
      <c r="P842" s="21">
        <f>IF(ISERROR(VLOOKUP(F842,#REF!,6,0)*K842/1000),0,VLOOKUP(F842,#REF!,6,0)*K842/1000)</f>
        <v>0</v>
      </c>
      <c r="Q842" s="6">
        <f>IF(ISERROR(VLOOKUP(F842,#REF!,3,0)),0,VLOOKUP(F842,#REF!,3,0))</f>
        <v>0</v>
      </c>
      <c r="R842" s="6">
        <f>IF(ISERROR(VLOOKUP(F842,#REF!,4,0)),0,VLOOKUP(F842,#REF!,4,0))</f>
        <v>0</v>
      </c>
      <c r="S842" s="8">
        <f>IF(ISERROR(VLOOKUP(F842,#REF!,4,0)),0,VLOOKUP(F842,#REF!,10,0)/60*K842)</f>
        <v>0</v>
      </c>
      <c r="T842" s="3"/>
      <c r="U842" s="3"/>
      <c r="V842" s="4"/>
    </row>
    <row r="843" spans="1:22" x14ac:dyDescent="0.3">
      <c r="A843" s="5">
        <f t="shared" si="40"/>
        <v>0</v>
      </c>
      <c r="B843" s="6">
        <f t="shared" si="41"/>
        <v>0</v>
      </c>
      <c r="K843" s="18">
        <f t="shared" si="39"/>
        <v>0</v>
      </c>
      <c r="L843" s="21">
        <f>IF(ISERROR(VLOOKUP($F843,#REF!,6,0)*G843/1000),0,VLOOKUP($F843,#REF!,6,0)*G843/1000)</f>
        <v>0</v>
      </c>
      <c r="M843" s="21">
        <f>IF(ISERROR(VLOOKUP($F843,#REF!,6,0)*H843/1000),0,VLOOKUP($F843,#REF!,6,0)*H843/1000)</f>
        <v>0</v>
      </c>
      <c r="N843" s="21">
        <f>IF(ISERROR(VLOOKUP($F843,#REF!,6,0)*I843/1000),0,VLOOKUP($F843,#REF!,6,0)*I843/1000)</f>
        <v>0</v>
      </c>
      <c r="O843" s="21">
        <f>IF(ISERROR(VLOOKUP($F843,#REF!,6,0)*J843/1000),0,VLOOKUP($F843,#REF!,6,0)*J843/1000)</f>
        <v>0</v>
      </c>
      <c r="P843" s="21">
        <f>IF(ISERROR(VLOOKUP(F843,#REF!,6,0)*K843/1000),0,VLOOKUP(F843,#REF!,6,0)*K843/1000)</f>
        <v>0</v>
      </c>
      <c r="Q843" s="6">
        <f>IF(ISERROR(VLOOKUP(F843,#REF!,3,0)),0,VLOOKUP(F843,#REF!,3,0))</f>
        <v>0</v>
      </c>
      <c r="R843" s="6">
        <f>IF(ISERROR(VLOOKUP(F843,#REF!,4,0)),0,VLOOKUP(F843,#REF!,4,0))</f>
        <v>0</v>
      </c>
      <c r="S843" s="8">
        <f>IF(ISERROR(VLOOKUP(F843,#REF!,4,0)),0,VLOOKUP(F843,#REF!,10,0)/60*K843)</f>
        <v>0</v>
      </c>
      <c r="T843" s="3"/>
      <c r="U843" s="3"/>
      <c r="V843" s="4"/>
    </row>
    <row r="844" spans="1:22" x14ac:dyDescent="0.3">
      <c r="A844" s="5">
        <f t="shared" si="40"/>
        <v>0</v>
      </c>
      <c r="B844" s="6">
        <f t="shared" si="41"/>
        <v>0</v>
      </c>
      <c r="K844" s="18">
        <f t="shared" si="39"/>
        <v>0</v>
      </c>
      <c r="L844" s="21">
        <f>IF(ISERROR(VLOOKUP($F844,#REF!,6,0)*G844/1000),0,VLOOKUP($F844,#REF!,6,0)*G844/1000)</f>
        <v>0</v>
      </c>
      <c r="M844" s="21">
        <f>IF(ISERROR(VLOOKUP($F844,#REF!,6,0)*H844/1000),0,VLOOKUP($F844,#REF!,6,0)*H844/1000)</f>
        <v>0</v>
      </c>
      <c r="N844" s="21">
        <f>IF(ISERROR(VLOOKUP($F844,#REF!,6,0)*I844/1000),0,VLOOKUP($F844,#REF!,6,0)*I844/1000)</f>
        <v>0</v>
      </c>
      <c r="O844" s="21">
        <f>IF(ISERROR(VLOOKUP($F844,#REF!,6,0)*J844/1000),0,VLOOKUP($F844,#REF!,6,0)*J844/1000)</f>
        <v>0</v>
      </c>
      <c r="P844" s="21">
        <f>IF(ISERROR(VLOOKUP(F844,#REF!,6,0)*K844/1000),0,VLOOKUP(F844,#REF!,6,0)*K844/1000)</f>
        <v>0</v>
      </c>
      <c r="Q844" s="6">
        <f>IF(ISERROR(VLOOKUP(F844,#REF!,3,0)),0,VLOOKUP(F844,#REF!,3,0))</f>
        <v>0</v>
      </c>
      <c r="R844" s="6">
        <f>IF(ISERROR(VLOOKUP(F844,#REF!,4,0)),0,VLOOKUP(F844,#REF!,4,0))</f>
        <v>0</v>
      </c>
      <c r="S844" s="8">
        <f>IF(ISERROR(VLOOKUP(F844,#REF!,4,0)),0,VLOOKUP(F844,#REF!,10,0)/60*K844)</f>
        <v>0</v>
      </c>
      <c r="T844" s="3"/>
      <c r="U844" s="3"/>
      <c r="V844" s="4"/>
    </row>
    <row r="845" spans="1:22" x14ac:dyDescent="0.3">
      <c r="A845" s="5">
        <f t="shared" si="40"/>
        <v>0</v>
      </c>
      <c r="B845" s="6">
        <f t="shared" si="41"/>
        <v>0</v>
      </c>
      <c r="K845" s="18">
        <f t="shared" si="39"/>
        <v>0</v>
      </c>
      <c r="L845" s="21">
        <f>IF(ISERROR(VLOOKUP($F845,#REF!,6,0)*G845/1000),0,VLOOKUP($F845,#REF!,6,0)*G845/1000)</f>
        <v>0</v>
      </c>
      <c r="M845" s="21">
        <f>IF(ISERROR(VLOOKUP($F845,#REF!,6,0)*H845/1000),0,VLOOKUP($F845,#REF!,6,0)*H845/1000)</f>
        <v>0</v>
      </c>
      <c r="N845" s="21">
        <f>IF(ISERROR(VLOOKUP($F845,#REF!,6,0)*I845/1000),0,VLOOKUP($F845,#REF!,6,0)*I845/1000)</f>
        <v>0</v>
      </c>
      <c r="O845" s="21">
        <f>IF(ISERROR(VLOOKUP($F845,#REF!,6,0)*J845/1000),0,VLOOKUP($F845,#REF!,6,0)*J845/1000)</f>
        <v>0</v>
      </c>
      <c r="P845" s="21">
        <f>IF(ISERROR(VLOOKUP(F845,#REF!,6,0)*K845/1000),0,VLOOKUP(F845,#REF!,6,0)*K845/1000)</f>
        <v>0</v>
      </c>
      <c r="Q845" s="6">
        <f>IF(ISERROR(VLOOKUP(F845,#REF!,3,0)),0,VLOOKUP(F845,#REF!,3,0))</f>
        <v>0</v>
      </c>
      <c r="R845" s="6">
        <f>IF(ISERROR(VLOOKUP(F845,#REF!,4,0)),0,VLOOKUP(F845,#REF!,4,0))</f>
        <v>0</v>
      </c>
      <c r="S845" s="8">
        <f>IF(ISERROR(VLOOKUP(F845,#REF!,4,0)),0,VLOOKUP(F845,#REF!,10,0)/60*K845)</f>
        <v>0</v>
      </c>
      <c r="T845" s="3"/>
      <c r="U845" s="3"/>
      <c r="V845" s="4"/>
    </row>
    <row r="846" spans="1:22" x14ac:dyDescent="0.3">
      <c r="A846" s="5">
        <f t="shared" si="40"/>
        <v>0</v>
      </c>
      <c r="B846" s="6">
        <f t="shared" si="41"/>
        <v>0</v>
      </c>
      <c r="K846" s="18">
        <f t="shared" si="39"/>
        <v>0</v>
      </c>
      <c r="L846" s="21">
        <f>IF(ISERROR(VLOOKUP($F846,#REF!,6,0)*G846/1000),0,VLOOKUP($F846,#REF!,6,0)*G846/1000)</f>
        <v>0</v>
      </c>
      <c r="M846" s="21">
        <f>IF(ISERROR(VLOOKUP($F846,#REF!,6,0)*H846/1000),0,VLOOKUP($F846,#REF!,6,0)*H846/1000)</f>
        <v>0</v>
      </c>
      <c r="N846" s="21">
        <f>IF(ISERROR(VLOOKUP($F846,#REF!,6,0)*I846/1000),0,VLOOKUP($F846,#REF!,6,0)*I846/1000)</f>
        <v>0</v>
      </c>
      <c r="O846" s="21">
        <f>IF(ISERROR(VLOOKUP($F846,#REF!,6,0)*J846/1000),0,VLOOKUP($F846,#REF!,6,0)*J846/1000)</f>
        <v>0</v>
      </c>
      <c r="P846" s="21">
        <f>IF(ISERROR(VLOOKUP(F846,#REF!,6,0)*K846/1000),0,VLOOKUP(F846,#REF!,6,0)*K846/1000)</f>
        <v>0</v>
      </c>
      <c r="Q846" s="6">
        <f>IF(ISERROR(VLOOKUP(F846,#REF!,3,0)),0,VLOOKUP(F846,#REF!,3,0))</f>
        <v>0</v>
      </c>
      <c r="R846" s="6">
        <f>IF(ISERROR(VLOOKUP(F846,#REF!,4,0)),0,VLOOKUP(F846,#REF!,4,0))</f>
        <v>0</v>
      </c>
      <c r="S846" s="8">
        <f>IF(ISERROR(VLOOKUP(F846,#REF!,4,0)),0,VLOOKUP(F846,#REF!,10,0)/60*K846)</f>
        <v>0</v>
      </c>
      <c r="T846" s="3"/>
      <c r="U846" s="3"/>
      <c r="V846" s="4"/>
    </row>
    <row r="847" spans="1:22" x14ac:dyDescent="0.3">
      <c r="A847" s="5">
        <f t="shared" si="40"/>
        <v>0</v>
      </c>
      <c r="B847" s="6">
        <f t="shared" si="41"/>
        <v>0</v>
      </c>
      <c r="K847" s="18">
        <f t="shared" si="39"/>
        <v>0</v>
      </c>
      <c r="L847" s="21">
        <f>IF(ISERROR(VLOOKUP($F847,#REF!,6,0)*G847/1000),0,VLOOKUP($F847,#REF!,6,0)*G847/1000)</f>
        <v>0</v>
      </c>
      <c r="M847" s="21">
        <f>IF(ISERROR(VLOOKUP($F847,#REF!,6,0)*H847/1000),0,VLOOKUP($F847,#REF!,6,0)*H847/1000)</f>
        <v>0</v>
      </c>
      <c r="N847" s="21">
        <f>IF(ISERROR(VLOOKUP($F847,#REF!,6,0)*I847/1000),0,VLOOKUP($F847,#REF!,6,0)*I847/1000)</f>
        <v>0</v>
      </c>
      <c r="O847" s="21">
        <f>IF(ISERROR(VLOOKUP($F847,#REF!,6,0)*J847/1000),0,VLOOKUP($F847,#REF!,6,0)*J847/1000)</f>
        <v>0</v>
      </c>
      <c r="P847" s="21">
        <f>IF(ISERROR(VLOOKUP(F847,#REF!,6,0)*K847/1000),0,VLOOKUP(F847,#REF!,6,0)*K847/1000)</f>
        <v>0</v>
      </c>
      <c r="Q847" s="6">
        <f>IF(ISERROR(VLOOKUP(F847,#REF!,3,0)),0,VLOOKUP(F847,#REF!,3,0))</f>
        <v>0</v>
      </c>
      <c r="R847" s="6">
        <f>IF(ISERROR(VLOOKUP(F847,#REF!,4,0)),0,VLOOKUP(F847,#REF!,4,0))</f>
        <v>0</v>
      </c>
      <c r="S847" s="8">
        <f>IF(ISERROR(VLOOKUP(F847,#REF!,4,0)),0,VLOOKUP(F847,#REF!,10,0)/60*K847)</f>
        <v>0</v>
      </c>
      <c r="T847" s="3"/>
      <c r="U847" s="3"/>
      <c r="V847" s="4"/>
    </row>
    <row r="848" spans="1:22" x14ac:dyDescent="0.3">
      <c r="A848" s="5">
        <f t="shared" si="40"/>
        <v>0</v>
      </c>
      <c r="B848" s="6">
        <f t="shared" si="41"/>
        <v>0</v>
      </c>
      <c r="K848" s="18">
        <f t="shared" si="39"/>
        <v>0</v>
      </c>
      <c r="L848" s="21">
        <f>IF(ISERROR(VLOOKUP($F848,#REF!,6,0)*G848/1000),0,VLOOKUP($F848,#REF!,6,0)*G848/1000)</f>
        <v>0</v>
      </c>
      <c r="M848" s="21">
        <f>IF(ISERROR(VLOOKUP($F848,#REF!,6,0)*H848/1000),0,VLOOKUP($F848,#REF!,6,0)*H848/1000)</f>
        <v>0</v>
      </c>
      <c r="N848" s="21">
        <f>IF(ISERROR(VLOOKUP($F848,#REF!,6,0)*I848/1000),0,VLOOKUP($F848,#REF!,6,0)*I848/1000)</f>
        <v>0</v>
      </c>
      <c r="O848" s="21">
        <f>IF(ISERROR(VLOOKUP($F848,#REF!,6,0)*J848/1000),0,VLOOKUP($F848,#REF!,6,0)*J848/1000)</f>
        <v>0</v>
      </c>
      <c r="P848" s="21">
        <f>IF(ISERROR(VLOOKUP(F848,#REF!,6,0)*K848/1000),0,VLOOKUP(F848,#REF!,6,0)*K848/1000)</f>
        <v>0</v>
      </c>
      <c r="Q848" s="6">
        <f>IF(ISERROR(VLOOKUP(F848,#REF!,3,0)),0,VLOOKUP(F848,#REF!,3,0))</f>
        <v>0</v>
      </c>
      <c r="R848" s="6">
        <f>IF(ISERROR(VLOOKUP(F848,#REF!,4,0)),0,VLOOKUP(F848,#REF!,4,0))</f>
        <v>0</v>
      </c>
      <c r="S848" s="8">
        <f>IF(ISERROR(VLOOKUP(F848,#REF!,4,0)),0,VLOOKUP(F848,#REF!,10,0)/60*K848)</f>
        <v>0</v>
      </c>
      <c r="T848" s="3"/>
      <c r="U848" s="3"/>
      <c r="V848" s="4"/>
    </row>
    <row r="849" spans="1:22" x14ac:dyDescent="0.3">
      <c r="A849" s="5">
        <f t="shared" si="40"/>
        <v>0</v>
      </c>
      <c r="B849" s="6">
        <f t="shared" si="41"/>
        <v>0</v>
      </c>
      <c r="K849" s="18">
        <f t="shared" si="39"/>
        <v>0</v>
      </c>
      <c r="L849" s="21">
        <f>IF(ISERROR(VLOOKUP($F849,#REF!,6,0)*G849/1000),0,VLOOKUP($F849,#REF!,6,0)*G849/1000)</f>
        <v>0</v>
      </c>
      <c r="M849" s="21">
        <f>IF(ISERROR(VLOOKUP($F849,#REF!,6,0)*H849/1000),0,VLOOKUP($F849,#REF!,6,0)*H849/1000)</f>
        <v>0</v>
      </c>
      <c r="N849" s="21">
        <f>IF(ISERROR(VLOOKUP($F849,#REF!,6,0)*I849/1000),0,VLOOKUP($F849,#REF!,6,0)*I849/1000)</f>
        <v>0</v>
      </c>
      <c r="O849" s="21">
        <f>IF(ISERROR(VLOOKUP($F849,#REF!,6,0)*J849/1000),0,VLOOKUP($F849,#REF!,6,0)*J849/1000)</f>
        <v>0</v>
      </c>
      <c r="P849" s="21">
        <f>IF(ISERROR(VLOOKUP(F849,#REF!,6,0)*K849/1000),0,VLOOKUP(F849,#REF!,6,0)*K849/1000)</f>
        <v>0</v>
      </c>
      <c r="Q849" s="6">
        <f>IF(ISERROR(VLOOKUP(F849,#REF!,3,0)),0,VLOOKUP(F849,#REF!,3,0))</f>
        <v>0</v>
      </c>
      <c r="R849" s="6">
        <f>IF(ISERROR(VLOOKUP(F849,#REF!,4,0)),0,VLOOKUP(F849,#REF!,4,0))</f>
        <v>0</v>
      </c>
      <c r="S849" s="8">
        <f>IF(ISERROR(VLOOKUP(F849,#REF!,4,0)),0,VLOOKUP(F849,#REF!,10,0)/60*K849)</f>
        <v>0</v>
      </c>
      <c r="T849" s="3"/>
      <c r="U849" s="3"/>
      <c r="V849" s="4"/>
    </row>
    <row r="850" spans="1:22" x14ac:dyDescent="0.3">
      <c r="A850" s="5">
        <f t="shared" si="40"/>
        <v>0</v>
      </c>
      <c r="B850" s="6">
        <f t="shared" si="41"/>
        <v>0</v>
      </c>
      <c r="K850" s="18">
        <f t="shared" si="39"/>
        <v>0</v>
      </c>
      <c r="L850" s="21">
        <f>IF(ISERROR(VLOOKUP($F850,#REF!,6,0)*G850/1000),0,VLOOKUP($F850,#REF!,6,0)*G850/1000)</f>
        <v>0</v>
      </c>
      <c r="M850" s="21">
        <f>IF(ISERROR(VLOOKUP($F850,#REF!,6,0)*H850/1000),0,VLOOKUP($F850,#REF!,6,0)*H850/1000)</f>
        <v>0</v>
      </c>
      <c r="N850" s="21">
        <f>IF(ISERROR(VLOOKUP($F850,#REF!,6,0)*I850/1000),0,VLOOKUP($F850,#REF!,6,0)*I850/1000)</f>
        <v>0</v>
      </c>
      <c r="O850" s="21">
        <f>IF(ISERROR(VLOOKUP($F850,#REF!,6,0)*J850/1000),0,VLOOKUP($F850,#REF!,6,0)*J850/1000)</f>
        <v>0</v>
      </c>
      <c r="P850" s="21">
        <f>IF(ISERROR(VLOOKUP(F850,#REF!,6,0)*K850/1000),0,VLOOKUP(F850,#REF!,6,0)*K850/1000)</f>
        <v>0</v>
      </c>
      <c r="Q850" s="6">
        <f>IF(ISERROR(VLOOKUP(F850,#REF!,3,0)),0,VLOOKUP(F850,#REF!,3,0))</f>
        <v>0</v>
      </c>
      <c r="R850" s="6">
        <f>IF(ISERROR(VLOOKUP(F850,#REF!,4,0)),0,VLOOKUP(F850,#REF!,4,0))</f>
        <v>0</v>
      </c>
      <c r="S850" s="8">
        <f>IF(ISERROR(VLOOKUP(F850,#REF!,4,0)),0,VLOOKUP(F850,#REF!,10,0)/60*K850)</f>
        <v>0</v>
      </c>
      <c r="T850" s="3"/>
      <c r="U850" s="3"/>
      <c r="V850" s="4"/>
    </row>
    <row r="851" spans="1:22" x14ac:dyDescent="0.3">
      <c r="A851" s="5">
        <f t="shared" si="40"/>
        <v>0</v>
      </c>
      <c r="B851" s="6">
        <f t="shared" si="41"/>
        <v>0</v>
      </c>
      <c r="K851" s="18">
        <f t="shared" si="39"/>
        <v>0</v>
      </c>
      <c r="L851" s="21">
        <f>IF(ISERROR(VLOOKUP($F851,#REF!,6,0)*G851/1000),0,VLOOKUP($F851,#REF!,6,0)*G851/1000)</f>
        <v>0</v>
      </c>
      <c r="M851" s="21">
        <f>IF(ISERROR(VLOOKUP($F851,#REF!,6,0)*H851/1000),0,VLOOKUP($F851,#REF!,6,0)*H851/1000)</f>
        <v>0</v>
      </c>
      <c r="N851" s="21">
        <f>IF(ISERROR(VLOOKUP($F851,#REF!,6,0)*I851/1000),0,VLOOKUP($F851,#REF!,6,0)*I851/1000)</f>
        <v>0</v>
      </c>
      <c r="O851" s="21">
        <f>IF(ISERROR(VLOOKUP($F851,#REF!,6,0)*J851/1000),0,VLOOKUP($F851,#REF!,6,0)*J851/1000)</f>
        <v>0</v>
      </c>
      <c r="P851" s="21">
        <f>IF(ISERROR(VLOOKUP(F851,#REF!,6,0)*K851/1000),0,VLOOKUP(F851,#REF!,6,0)*K851/1000)</f>
        <v>0</v>
      </c>
      <c r="Q851" s="6">
        <f>IF(ISERROR(VLOOKUP(F851,#REF!,3,0)),0,VLOOKUP(F851,#REF!,3,0))</f>
        <v>0</v>
      </c>
      <c r="R851" s="6">
        <f>IF(ISERROR(VLOOKUP(F851,#REF!,4,0)),0,VLOOKUP(F851,#REF!,4,0))</f>
        <v>0</v>
      </c>
      <c r="S851" s="8">
        <f>IF(ISERROR(VLOOKUP(F851,#REF!,4,0)),0,VLOOKUP(F851,#REF!,10,0)/60*K851)</f>
        <v>0</v>
      </c>
      <c r="T851" s="3"/>
      <c r="U851" s="3"/>
      <c r="V851" s="4"/>
    </row>
    <row r="852" spans="1:22" x14ac:dyDescent="0.3">
      <c r="A852" s="5">
        <f t="shared" si="40"/>
        <v>0</v>
      </c>
      <c r="B852" s="6">
        <f t="shared" si="41"/>
        <v>0</v>
      </c>
      <c r="K852" s="18">
        <f t="shared" si="39"/>
        <v>0</v>
      </c>
      <c r="L852" s="21">
        <f>IF(ISERROR(VLOOKUP($F852,#REF!,6,0)*G852/1000),0,VLOOKUP($F852,#REF!,6,0)*G852/1000)</f>
        <v>0</v>
      </c>
      <c r="M852" s="21">
        <f>IF(ISERROR(VLOOKUP($F852,#REF!,6,0)*H852/1000),0,VLOOKUP($F852,#REF!,6,0)*H852/1000)</f>
        <v>0</v>
      </c>
      <c r="N852" s="21">
        <f>IF(ISERROR(VLOOKUP($F852,#REF!,6,0)*I852/1000),0,VLOOKUP($F852,#REF!,6,0)*I852/1000)</f>
        <v>0</v>
      </c>
      <c r="O852" s="21">
        <f>IF(ISERROR(VLOOKUP($F852,#REF!,6,0)*J852/1000),0,VLOOKUP($F852,#REF!,6,0)*J852/1000)</f>
        <v>0</v>
      </c>
      <c r="P852" s="21">
        <f>IF(ISERROR(VLOOKUP(F852,#REF!,6,0)*K852/1000),0,VLOOKUP(F852,#REF!,6,0)*K852/1000)</f>
        <v>0</v>
      </c>
      <c r="Q852" s="6">
        <f>IF(ISERROR(VLOOKUP(F852,#REF!,3,0)),0,VLOOKUP(F852,#REF!,3,0))</f>
        <v>0</v>
      </c>
      <c r="R852" s="6">
        <f>IF(ISERROR(VLOOKUP(F852,#REF!,4,0)),0,VLOOKUP(F852,#REF!,4,0))</f>
        <v>0</v>
      </c>
      <c r="S852" s="8">
        <f>IF(ISERROR(VLOOKUP(F852,#REF!,4,0)),0,VLOOKUP(F852,#REF!,10,0)/60*K852)</f>
        <v>0</v>
      </c>
      <c r="T852" s="3"/>
      <c r="U852" s="3"/>
      <c r="V852" s="4"/>
    </row>
    <row r="853" spans="1:22" x14ac:dyDescent="0.3">
      <c r="A853" s="5">
        <f t="shared" si="40"/>
        <v>0</v>
      </c>
      <c r="B853" s="6">
        <f t="shared" si="41"/>
        <v>0</v>
      </c>
      <c r="K853" s="18">
        <f t="shared" si="39"/>
        <v>0</v>
      </c>
      <c r="L853" s="21">
        <f>IF(ISERROR(VLOOKUP($F853,#REF!,6,0)*G853/1000),0,VLOOKUP($F853,#REF!,6,0)*G853/1000)</f>
        <v>0</v>
      </c>
      <c r="M853" s="21">
        <f>IF(ISERROR(VLOOKUP($F853,#REF!,6,0)*H853/1000),0,VLOOKUP($F853,#REF!,6,0)*H853/1000)</f>
        <v>0</v>
      </c>
      <c r="N853" s="21">
        <f>IF(ISERROR(VLOOKUP($F853,#REF!,6,0)*I853/1000),0,VLOOKUP($F853,#REF!,6,0)*I853/1000)</f>
        <v>0</v>
      </c>
      <c r="O853" s="21">
        <f>IF(ISERROR(VLOOKUP($F853,#REF!,6,0)*J853/1000),0,VLOOKUP($F853,#REF!,6,0)*J853/1000)</f>
        <v>0</v>
      </c>
      <c r="P853" s="21">
        <f>IF(ISERROR(VLOOKUP(F853,#REF!,6,0)*K853/1000),0,VLOOKUP(F853,#REF!,6,0)*K853/1000)</f>
        <v>0</v>
      </c>
      <c r="Q853" s="6">
        <f>IF(ISERROR(VLOOKUP(F853,#REF!,3,0)),0,VLOOKUP(F853,#REF!,3,0))</f>
        <v>0</v>
      </c>
      <c r="R853" s="6">
        <f>IF(ISERROR(VLOOKUP(F853,#REF!,4,0)),0,VLOOKUP(F853,#REF!,4,0))</f>
        <v>0</v>
      </c>
      <c r="S853" s="8">
        <f>IF(ISERROR(VLOOKUP(F853,#REF!,4,0)),0,VLOOKUP(F853,#REF!,10,0)/60*K853)</f>
        <v>0</v>
      </c>
      <c r="T853" s="3"/>
      <c r="U853" s="3"/>
      <c r="V853" s="4"/>
    </row>
    <row r="854" spans="1:22" x14ac:dyDescent="0.3">
      <c r="A854" s="5">
        <f t="shared" si="40"/>
        <v>0</v>
      </c>
      <c r="B854" s="6">
        <f t="shared" si="41"/>
        <v>0</v>
      </c>
      <c r="K854" s="18">
        <f t="shared" si="39"/>
        <v>0</v>
      </c>
      <c r="L854" s="21">
        <f>IF(ISERROR(VLOOKUP($F854,#REF!,6,0)*G854/1000),0,VLOOKUP($F854,#REF!,6,0)*G854/1000)</f>
        <v>0</v>
      </c>
      <c r="M854" s="21">
        <f>IF(ISERROR(VLOOKUP($F854,#REF!,6,0)*H854/1000),0,VLOOKUP($F854,#REF!,6,0)*H854/1000)</f>
        <v>0</v>
      </c>
      <c r="N854" s="21">
        <f>IF(ISERROR(VLOOKUP($F854,#REF!,6,0)*I854/1000),0,VLOOKUP($F854,#REF!,6,0)*I854/1000)</f>
        <v>0</v>
      </c>
      <c r="O854" s="21">
        <f>IF(ISERROR(VLOOKUP($F854,#REF!,6,0)*J854/1000),0,VLOOKUP($F854,#REF!,6,0)*J854/1000)</f>
        <v>0</v>
      </c>
      <c r="P854" s="21">
        <f>IF(ISERROR(VLOOKUP(F854,#REF!,6,0)*K854/1000),0,VLOOKUP(F854,#REF!,6,0)*K854/1000)</f>
        <v>0</v>
      </c>
      <c r="Q854" s="6">
        <f>IF(ISERROR(VLOOKUP(F854,#REF!,3,0)),0,VLOOKUP(F854,#REF!,3,0))</f>
        <v>0</v>
      </c>
      <c r="R854" s="6">
        <f>IF(ISERROR(VLOOKUP(F854,#REF!,4,0)),0,VLOOKUP(F854,#REF!,4,0))</f>
        <v>0</v>
      </c>
      <c r="S854" s="8">
        <f>IF(ISERROR(VLOOKUP(F854,#REF!,4,0)),0,VLOOKUP(F854,#REF!,10,0)/60*K854)</f>
        <v>0</v>
      </c>
      <c r="T854" s="3"/>
      <c r="U854" s="3"/>
      <c r="V854" s="4"/>
    </row>
    <row r="855" spans="1:22" x14ac:dyDescent="0.3">
      <c r="A855" s="5">
        <f t="shared" si="40"/>
        <v>0</v>
      </c>
      <c r="B855" s="6">
        <f t="shared" si="41"/>
        <v>0</v>
      </c>
      <c r="K855" s="18">
        <f t="shared" si="39"/>
        <v>0</v>
      </c>
      <c r="L855" s="21">
        <f>IF(ISERROR(VLOOKUP($F855,#REF!,6,0)*G855/1000),0,VLOOKUP($F855,#REF!,6,0)*G855/1000)</f>
        <v>0</v>
      </c>
      <c r="M855" s="21">
        <f>IF(ISERROR(VLOOKUP($F855,#REF!,6,0)*H855/1000),0,VLOOKUP($F855,#REF!,6,0)*H855/1000)</f>
        <v>0</v>
      </c>
      <c r="N855" s="21">
        <f>IF(ISERROR(VLOOKUP($F855,#REF!,6,0)*I855/1000),0,VLOOKUP($F855,#REF!,6,0)*I855/1000)</f>
        <v>0</v>
      </c>
      <c r="O855" s="21">
        <f>IF(ISERROR(VLOOKUP($F855,#REF!,6,0)*J855/1000),0,VLOOKUP($F855,#REF!,6,0)*J855/1000)</f>
        <v>0</v>
      </c>
      <c r="P855" s="21">
        <f>IF(ISERROR(VLOOKUP(F855,#REF!,6,0)*K855/1000),0,VLOOKUP(F855,#REF!,6,0)*K855/1000)</f>
        <v>0</v>
      </c>
      <c r="Q855" s="6">
        <f>IF(ISERROR(VLOOKUP(F855,#REF!,3,0)),0,VLOOKUP(F855,#REF!,3,0))</f>
        <v>0</v>
      </c>
      <c r="R855" s="6">
        <f>IF(ISERROR(VLOOKUP(F855,#REF!,4,0)),0,VLOOKUP(F855,#REF!,4,0))</f>
        <v>0</v>
      </c>
      <c r="S855" s="8">
        <f>IF(ISERROR(VLOOKUP(F855,#REF!,4,0)),0,VLOOKUP(F855,#REF!,10,0)/60*K855)</f>
        <v>0</v>
      </c>
      <c r="T855" s="3"/>
      <c r="U855" s="3"/>
      <c r="V855" s="4"/>
    </row>
    <row r="856" spans="1:22" x14ac:dyDescent="0.3">
      <c r="A856" s="5">
        <f t="shared" si="40"/>
        <v>0</v>
      </c>
      <c r="B856" s="6">
        <f t="shared" si="41"/>
        <v>0</v>
      </c>
      <c r="K856" s="18">
        <f t="shared" si="39"/>
        <v>0</v>
      </c>
      <c r="L856" s="21">
        <f>IF(ISERROR(VLOOKUP($F856,#REF!,6,0)*G856/1000),0,VLOOKUP($F856,#REF!,6,0)*G856/1000)</f>
        <v>0</v>
      </c>
      <c r="M856" s="21">
        <f>IF(ISERROR(VLOOKUP($F856,#REF!,6,0)*H856/1000),0,VLOOKUP($F856,#REF!,6,0)*H856/1000)</f>
        <v>0</v>
      </c>
      <c r="N856" s="21">
        <f>IF(ISERROR(VLOOKUP($F856,#REF!,6,0)*I856/1000),0,VLOOKUP($F856,#REF!,6,0)*I856/1000)</f>
        <v>0</v>
      </c>
      <c r="O856" s="21">
        <f>IF(ISERROR(VLOOKUP($F856,#REF!,6,0)*J856/1000),0,VLOOKUP($F856,#REF!,6,0)*J856/1000)</f>
        <v>0</v>
      </c>
      <c r="P856" s="21">
        <f>IF(ISERROR(VLOOKUP(F856,#REF!,6,0)*K856/1000),0,VLOOKUP(F856,#REF!,6,0)*K856/1000)</f>
        <v>0</v>
      </c>
      <c r="Q856" s="6">
        <f>IF(ISERROR(VLOOKUP(F856,#REF!,3,0)),0,VLOOKUP(F856,#REF!,3,0))</f>
        <v>0</v>
      </c>
      <c r="R856" s="6">
        <f>IF(ISERROR(VLOOKUP(F856,#REF!,4,0)),0,VLOOKUP(F856,#REF!,4,0))</f>
        <v>0</v>
      </c>
      <c r="S856" s="8">
        <f>IF(ISERROR(VLOOKUP(F856,#REF!,4,0)),0,VLOOKUP(F856,#REF!,10,0)/60*K856)</f>
        <v>0</v>
      </c>
      <c r="T856" s="3"/>
      <c r="U856" s="3"/>
      <c r="V856" s="4"/>
    </row>
    <row r="857" spans="1:22" x14ac:dyDescent="0.3">
      <c r="A857" s="5">
        <f t="shared" si="40"/>
        <v>0</v>
      </c>
      <c r="B857" s="6">
        <f t="shared" si="41"/>
        <v>0</v>
      </c>
      <c r="K857" s="18">
        <f t="shared" si="39"/>
        <v>0</v>
      </c>
      <c r="L857" s="21">
        <f>IF(ISERROR(VLOOKUP($F857,#REF!,6,0)*G857/1000),0,VLOOKUP($F857,#REF!,6,0)*G857/1000)</f>
        <v>0</v>
      </c>
      <c r="M857" s="21">
        <f>IF(ISERROR(VLOOKUP($F857,#REF!,6,0)*H857/1000),0,VLOOKUP($F857,#REF!,6,0)*H857/1000)</f>
        <v>0</v>
      </c>
      <c r="N857" s="21">
        <f>IF(ISERROR(VLOOKUP($F857,#REF!,6,0)*I857/1000),0,VLOOKUP($F857,#REF!,6,0)*I857/1000)</f>
        <v>0</v>
      </c>
      <c r="O857" s="21">
        <f>IF(ISERROR(VLOOKUP($F857,#REF!,6,0)*J857/1000),0,VLOOKUP($F857,#REF!,6,0)*J857/1000)</f>
        <v>0</v>
      </c>
      <c r="P857" s="21">
        <f>IF(ISERROR(VLOOKUP(F857,#REF!,6,0)*K857/1000),0,VLOOKUP(F857,#REF!,6,0)*K857/1000)</f>
        <v>0</v>
      </c>
      <c r="Q857" s="6">
        <f>IF(ISERROR(VLOOKUP(F857,#REF!,3,0)),0,VLOOKUP(F857,#REF!,3,0))</f>
        <v>0</v>
      </c>
      <c r="R857" s="6">
        <f>IF(ISERROR(VLOOKUP(F857,#REF!,4,0)),0,VLOOKUP(F857,#REF!,4,0))</f>
        <v>0</v>
      </c>
      <c r="S857" s="8">
        <f>IF(ISERROR(VLOOKUP(F857,#REF!,4,0)),0,VLOOKUP(F857,#REF!,10,0)/60*K857)</f>
        <v>0</v>
      </c>
      <c r="T857" s="3"/>
      <c r="U857" s="3"/>
      <c r="V857" s="4"/>
    </row>
    <row r="858" spans="1:22" x14ac:dyDescent="0.3">
      <c r="A858" s="5">
        <f t="shared" si="40"/>
        <v>0</v>
      </c>
      <c r="B858" s="6">
        <f t="shared" si="41"/>
        <v>0</v>
      </c>
      <c r="K858" s="18">
        <f t="shared" si="39"/>
        <v>0</v>
      </c>
      <c r="L858" s="21">
        <f>IF(ISERROR(VLOOKUP($F858,#REF!,6,0)*G858/1000),0,VLOOKUP($F858,#REF!,6,0)*G858/1000)</f>
        <v>0</v>
      </c>
      <c r="M858" s="21">
        <f>IF(ISERROR(VLOOKUP($F858,#REF!,6,0)*H858/1000),0,VLOOKUP($F858,#REF!,6,0)*H858/1000)</f>
        <v>0</v>
      </c>
      <c r="N858" s="21">
        <f>IF(ISERROR(VLOOKUP($F858,#REF!,6,0)*I858/1000),0,VLOOKUP($F858,#REF!,6,0)*I858/1000)</f>
        <v>0</v>
      </c>
      <c r="O858" s="21">
        <f>IF(ISERROR(VLOOKUP($F858,#REF!,6,0)*J858/1000),0,VLOOKUP($F858,#REF!,6,0)*J858/1000)</f>
        <v>0</v>
      </c>
      <c r="P858" s="21">
        <f>IF(ISERROR(VLOOKUP(F858,#REF!,6,0)*K858/1000),0,VLOOKUP(F858,#REF!,6,0)*K858/1000)</f>
        <v>0</v>
      </c>
      <c r="Q858" s="6">
        <f>IF(ISERROR(VLOOKUP(F858,#REF!,3,0)),0,VLOOKUP(F858,#REF!,3,0))</f>
        <v>0</v>
      </c>
      <c r="R858" s="6">
        <f>IF(ISERROR(VLOOKUP(F858,#REF!,4,0)),0,VLOOKUP(F858,#REF!,4,0))</f>
        <v>0</v>
      </c>
      <c r="S858" s="8">
        <f>IF(ISERROR(VLOOKUP(F858,#REF!,4,0)),0,VLOOKUP(F858,#REF!,10,0)/60*K858)</f>
        <v>0</v>
      </c>
      <c r="T858" s="3"/>
      <c r="U858" s="3"/>
      <c r="V858" s="4"/>
    </row>
    <row r="859" spans="1:22" x14ac:dyDescent="0.3">
      <c r="A859" s="5">
        <f t="shared" si="40"/>
        <v>0</v>
      </c>
      <c r="B859" s="6">
        <f t="shared" si="41"/>
        <v>0</v>
      </c>
      <c r="K859" s="18">
        <f t="shared" si="39"/>
        <v>0</v>
      </c>
      <c r="L859" s="21">
        <f>IF(ISERROR(VLOOKUP($F859,#REF!,6,0)*G859/1000),0,VLOOKUP($F859,#REF!,6,0)*G859/1000)</f>
        <v>0</v>
      </c>
      <c r="M859" s="21">
        <f>IF(ISERROR(VLOOKUP($F859,#REF!,6,0)*H859/1000),0,VLOOKUP($F859,#REF!,6,0)*H859/1000)</f>
        <v>0</v>
      </c>
      <c r="N859" s="21">
        <f>IF(ISERROR(VLOOKUP($F859,#REF!,6,0)*I859/1000),0,VLOOKUP($F859,#REF!,6,0)*I859/1000)</f>
        <v>0</v>
      </c>
      <c r="O859" s="21">
        <f>IF(ISERROR(VLOOKUP($F859,#REF!,6,0)*J859/1000),0,VLOOKUP($F859,#REF!,6,0)*J859/1000)</f>
        <v>0</v>
      </c>
      <c r="P859" s="21">
        <f>IF(ISERROR(VLOOKUP(F859,#REF!,6,0)*K859/1000),0,VLOOKUP(F859,#REF!,6,0)*K859/1000)</f>
        <v>0</v>
      </c>
      <c r="Q859" s="6">
        <f>IF(ISERROR(VLOOKUP(F859,#REF!,3,0)),0,VLOOKUP(F859,#REF!,3,0))</f>
        <v>0</v>
      </c>
      <c r="R859" s="6">
        <f>IF(ISERROR(VLOOKUP(F859,#REF!,4,0)),0,VLOOKUP(F859,#REF!,4,0))</f>
        <v>0</v>
      </c>
      <c r="S859" s="8">
        <f>IF(ISERROR(VLOOKUP(F859,#REF!,4,0)),0,VLOOKUP(F859,#REF!,10,0)/60*K859)</f>
        <v>0</v>
      </c>
      <c r="T859" s="3"/>
      <c r="U859" s="3"/>
      <c r="V859" s="4"/>
    </row>
    <row r="860" spans="1:22" x14ac:dyDescent="0.3">
      <c r="A860" s="5">
        <f t="shared" si="40"/>
        <v>0</v>
      </c>
      <c r="B860" s="6">
        <f t="shared" si="41"/>
        <v>0</v>
      </c>
      <c r="K860" s="18">
        <f t="shared" si="39"/>
        <v>0</v>
      </c>
      <c r="L860" s="21">
        <f>IF(ISERROR(VLOOKUP($F860,#REF!,6,0)*G860/1000),0,VLOOKUP($F860,#REF!,6,0)*G860/1000)</f>
        <v>0</v>
      </c>
      <c r="M860" s="21">
        <f>IF(ISERROR(VLOOKUP($F860,#REF!,6,0)*H860/1000),0,VLOOKUP($F860,#REF!,6,0)*H860/1000)</f>
        <v>0</v>
      </c>
      <c r="N860" s="21">
        <f>IF(ISERROR(VLOOKUP($F860,#REF!,6,0)*I860/1000),0,VLOOKUP($F860,#REF!,6,0)*I860/1000)</f>
        <v>0</v>
      </c>
      <c r="O860" s="21">
        <f>IF(ISERROR(VLOOKUP($F860,#REF!,6,0)*J860/1000),0,VLOOKUP($F860,#REF!,6,0)*J860/1000)</f>
        <v>0</v>
      </c>
      <c r="P860" s="21">
        <f>IF(ISERROR(VLOOKUP(F860,#REF!,6,0)*K860/1000),0,VLOOKUP(F860,#REF!,6,0)*K860/1000)</f>
        <v>0</v>
      </c>
      <c r="Q860" s="6">
        <f>IF(ISERROR(VLOOKUP(F860,#REF!,3,0)),0,VLOOKUP(F860,#REF!,3,0))</f>
        <v>0</v>
      </c>
      <c r="R860" s="6">
        <f>IF(ISERROR(VLOOKUP(F860,#REF!,4,0)),0,VLOOKUP(F860,#REF!,4,0))</f>
        <v>0</v>
      </c>
      <c r="S860" s="8">
        <f>IF(ISERROR(VLOOKUP(F860,#REF!,4,0)),0,VLOOKUP(F860,#REF!,10,0)/60*K860)</f>
        <v>0</v>
      </c>
      <c r="T860" s="3"/>
      <c r="U860" s="3"/>
      <c r="V860" s="4"/>
    </row>
    <row r="861" spans="1:22" x14ac:dyDescent="0.3">
      <c r="A861" s="5">
        <f t="shared" si="40"/>
        <v>0</v>
      </c>
      <c r="B861" s="6">
        <f t="shared" si="41"/>
        <v>0</v>
      </c>
      <c r="K861" s="18">
        <f t="shared" si="39"/>
        <v>0</v>
      </c>
      <c r="L861" s="21">
        <f>IF(ISERROR(VLOOKUP($F861,#REF!,6,0)*G861/1000),0,VLOOKUP($F861,#REF!,6,0)*G861/1000)</f>
        <v>0</v>
      </c>
      <c r="M861" s="21">
        <f>IF(ISERROR(VLOOKUP($F861,#REF!,6,0)*H861/1000),0,VLOOKUP($F861,#REF!,6,0)*H861/1000)</f>
        <v>0</v>
      </c>
      <c r="N861" s="21">
        <f>IF(ISERROR(VLOOKUP($F861,#REF!,6,0)*I861/1000),0,VLOOKUP($F861,#REF!,6,0)*I861/1000)</f>
        <v>0</v>
      </c>
      <c r="O861" s="21">
        <f>IF(ISERROR(VLOOKUP($F861,#REF!,6,0)*J861/1000),0,VLOOKUP($F861,#REF!,6,0)*J861/1000)</f>
        <v>0</v>
      </c>
      <c r="P861" s="21">
        <f>IF(ISERROR(VLOOKUP(F861,#REF!,6,0)*K861/1000),0,VLOOKUP(F861,#REF!,6,0)*K861/1000)</f>
        <v>0</v>
      </c>
      <c r="Q861" s="6">
        <f>IF(ISERROR(VLOOKUP(F861,#REF!,3,0)),0,VLOOKUP(F861,#REF!,3,0))</f>
        <v>0</v>
      </c>
      <c r="R861" s="6">
        <f>IF(ISERROR(VLOOKUP(F861,#REF!,4,0)),0,VLOOKUP(F861,#REF!,4,0))</f>
        <v>0</v>
      </c>
      <c r="S861" s="8">
        <f>IF(ISERROR(VLOOKUP(F861,#REF!,4,0)),0,VLOOKUP(F861,#REF!,10,0)/60*K861)</f>
        <v>0</v>
      </c>
      <c r="T861" s="3"/>
      <c r="U861" s="3"/>
      <c r="V861" s="4"/>
    </row>
    <row r="862" spans="1:22" x14ac:dyDescent="0.3">
      <c r="A862" s="5">
        <f t="shared" si="40"/>
        <v>0</v>
      </c>
      <c r="B862" s="6">
        <f t="shared" si="41"/>
        <v>0</v>
      </c>
      <c r="K862" s="18">
        <f t="shared" si="39"/>
        <v>0</v>
      </c>
      <c r="L862" s="21">
        <f>IF(ISERROR(VLOOKUP($F862,#REF!,6,0)*G862/1000),0,VLOOKUP($F862,#REF!,6,0)*G862/1000)</f>
        <v>0</v>
      </c>
      <c r="M862" s="21">
        <f>IF(ISERROR(VLOOKUP($F862,#REF!,6,0)*H862/1000),0,VLOOKUP($F862,#REF!,6,0)*H862/1000)</f>
        <v>0</v>
      </c>
      <c r="N862" s="21">
        <f>IF(ISERROR(VLOOKUP($F862,#REF!,6,0)*I862/1000),0,VLOOKUP($F862,#REF!,6,0)*I862/1000)</f>
        <v>0</v>
      </c>
      <c r="O862" s="21">
        <f>IF(ISERROR(VLOOKUP($F862,#REF!,6,0)*J862/1000),0,VLOOKUP($F862,#REF!,6,0)*J862/1000)</f>
        <v>0</v>
      </c>
      <c r="P862" s="21">
        <f>IF(ISERROR(VLOOKUP(F862,#REF!,6,0)*K862/1000),0,VLOOKUP(F862,#REF!,6,0)*K862/1000)</f>
        <v>0</v>
      </c>
      <c r="Q862" s="6">
        <f>IF(ISERROR(VLOOKUP(F862,#REF!,3,0)),0,VLOOKUP(F862,#REF!,3,0))</f>
        <v>0</v>
      </c>
      <c r="R862" s="6">
        <f>IF(ISERROR(VLOOKUP(F862,#REF!,4,0)),0,VLOOKUP(F862,#REF!,4,0))</f>
        <v>0</v>
      </c>
      <c r="S862" s="8">
        <f>IF(ISERROR(VLOOKUP(F862,#REF!,4,0)),0,VLOOKUP(F862,#REF!,10,0)/60*K862)</f>
        <v>0</v>
      </c>
      <c r="T862" s="3"/>
      <c r="U862" s="3"/>
      <c r="V862" s="4"/>
    </row>
    <row r="863" spans="1:22" x14ac:dyDescent="0.3">
      <c r="A863" s="5">
        <f t="shared" si="40"/>
        <v>0</v>
      </c>
      <c r="B863" s="6">
        <f t="shared" si="41"/>
        <v>0</v>
      </c>
      <c r="K863" s="18">
        <f t="shared" si="39"/>
        <v>0</v>
      </c>
      <c r="L863" s="21">
        <f>IF(ISERROR(VLOOKUP($F863,#REF!,6,0)*G863/1000),0,VLOOKUP($F863,#REF!,6,0)*G863/1000)</f>
        <v>0</v>
      </c>
      <c r="M863" s="21">
        <f>IF(ISERROR(VLOOKUP($F863,#REF!,6,0)*H863/1000),0,VLOOKUP($F863,#REF!,6,0)*H863/1000)</f>
        <v>0</v>
      </c>
      <c r="N863" s="21">
        <f>IF(ISERROR(VLOOKUP($F863,#REF!,6,0)*I863/1000),0,VLOOKUP($F863,#REF!,6,0)*I863/1000)</f>
        <v>0</v>
      </c>
      <c r="O863" s="21">
        <f>IF(ISERROR(VLOOKUP($F863,#REF!,6,0)*J863/1000),0,VLOOKUP($F863,#REF!,6,0)*J863/1000)</f>
        <v>0</v>
      </c>
      <c r="P863" s="21">
        <f>IF(ISERROR(VLOOKUP(F863,#REF!,6,0)*K863/1000),0,VLOOKUP(F863,#REF!,6,0)*K863/1000)</f>
        <v>0</v>
      </c>
      <c r="Q863" s="6">
        <f>IF(ISERROR(VLOOKUP(F863,#REF!,3,0)),0,VLOOKUP(F863,#REF!,3,0))</f>
        <v>0</v>
      </c>
      <c r="R863" s="6">
        <f>IF(ISERROR(VLOOKUP(F863,#REF!,4,0)),0,VLOOKUP(F863,#REF!,4,0))</f>
        <v>0</v>
      </c>
      <c r="S863" s="8">
        <f>IF(ISERROR(VLOOKUP(F863,#REF!,4,0)),0,VLOOKUP(F863,#REF!,10,0)/60*K863)</f>
        <v>0</v>
      </c>
      <c r="T863" s="3"/>
      <c r="U863" s="3"/>
      <c r="V863" s="4"/>
    </row>
    <row r="864" spans="1:22" x14ac:dyDescent="0.3">
      <c r="A864" s="5">
        <f t="shared" si="40"/>
        <v>0</v>
      </c>
      <c r="B864" s="6">
        <f t="shared" si="41"/>
        <v>0</v>
      </c>
      <c r="K864" s="18">
        <f t="shared" si="39"/>
        <v>0</v>
      </c>
      <c r="L864" s="21">
        <f>IF(ISERROR(VLOOKUP($F864,#REF!,6,0)*G864/1000),0,VLOOKUP($F864,#REF!,6,0)*G864/1000)</f>
        <v>0</v>
      </c>
      <c r="M864" s="21">
        <f>IF(ISERROR(VLOOKUP($F864,#REF!,6,0)*H864/1000),0,VLOOKUP($F864,#REF!,6,0)*H864/1000)</f>
        <v>0</v>
      </c>
      <c r="N864" s="21">
        <f>IF(ISERROR(VLOOKUP($F864,#REF!,6,0)*I864/1000),0,VLOOKUP($F864,#REF!,6,0)*I864/1000)</f>
        <v>0</v>
      </c>
      <c r="O864" s="21">
        <f>IF(ISERROR(VLOOKUP($F864,#REF!,6,0)*J864/1000),0,VLOOKUP($F864,#REF!,6,0)*J864/1000)</f>
        <v>0</v>
      </c>
      <c r="P864" s="21">
        <f>IF(ISERROR(VLOOKUP(F864,#REF!,6,0)*K864/1000),0,VLOOKUP(F864,#REF!,6,0)*K864/1000)</f>
        <v>0</v>
      </c>
      <c r="Q864" s="6">
        <f>IF(ISERROR(VLOOKUP(F864,#REF!,3,0)),0,VLOOKUP(F864,#REF!,3,0))</f>
        <v>0</v>
      </c>
      <c r="R864" s="6">
        <f>IF(ISERROR(VLOOKUP(F864,#REF!,4,0)),0,VLOOKUP(F864,#REF!,4,0))</f>
        <v>0</v>
      </c>
      <c r="S864" s="8">
        <f>IF(ISERROR(VLOOKUP(F864,#REF!,4,0)),0,VLOOKUP(F864,#REF!,10,0)/60*K864)</f>
        <v>0</v>
      </c>
      <c r="T864" s="3"/>
      <c r="U864" s="3"/>
      <c r="V864" s="4"/>
    </row>
    <row r="865" spans="1:22" x14ac:dyDescent="0.3">
      <c r="A865" s="5">
        <f t="shared" si="40"/>
        <v>0</v>
      </c>
      <c r="B865" s="6">
        <f t="shared" si="41"/>
        <v>0</v>
      </c>
      <c r="K865" s="18">
        <f t="shared" si="39"/>
        <v>0</v>
      </c>
      <c r="L865" s="21">
        <f>IF(ISERROR(VLOOKUP($F865,#REF!,6,0)*G865/1000),0,VLOOKUP($F865,#REF!,6,0)*G865/1000)</f>
        <v>0</v>
      </c>
      <c r="M865" s="21">
        <f>IF(ISERROR(VLOOKUP($F865,#REF!,6,0)*H865/1000),0,VLOOKUP($F865,#REF!,6,0)*H865/1000)</f>
        <v>0</v>
      </c>
      <c r="N865" s="21">
        <f>IF(ISERROR(VLOOKUP($F865,#REF!,6,0)*I865/1000),0,VLOOKUP($F865,#REF!,6,0)*I865/1000)</f>
        <v>0</v>
      </c>
      <c r="O865" s="21">
        <f>IF(ISERROR(VLOOKUP($F865,#REF!,6,0)*J865/1000),0,VLOOKUP($F865,#REF!,6,0)*J865/1000)</f>
        <v>0</v>
      </c>
      <c r="P865" s="21">
        <f>IF(ISERROR(VLOOKUP(F865,#REF!,6,0)*K865/1000),0,VLOOKUP(F865,#REF!,6,0)*K865/1000)</f>
        <v>0</v>
      </c>
      <c r="Q865" s="6">
        <f>IF(ISERROR(VLOOKUP(F865,#REF!,3,0)),0,VLOOKUP(F865,#REF!,3,0))</f>
        <v>0</v>
      </c>
      <c r="R865" s="6">
        <f>IF(ISERROR(VLOOKUP(F865,#REF!,4,0)),0,VLOOKUP(F865,#REF!,4,0))</f>
        <v>0</v>
      </c>
      <c r="S865" s="8">
        <f>IF(ISERROR(VLOOKUP(F865,#REF!,4,0)),0,VLOOKUP(F865,#REF!,10,0)/60*K865)</f>
        <v>0</v>
      </c>
      <c r="T865" s="3"/>
      <c r="U865" s="3"/>
      <c r="V865" s="4"/>
    </row>
    <row r="866" spans="1:22" x14ac:dyDescent="0.3">
      <c r="A866" s="5">
        <f t="shared" si="40"/>
        <v>0</v>
      </c>
      <c r="B866" s="6">
        <f t="shared" si="41"/>
        <v>0</v>
      </c>
      <c r="K866" s="18">
        <f t="shared" si="39"/>
        <v>0</v>
      </c>
      <c r="L866" s="21">
        <f>IF(ISERROR(VLOOKUP($F866,#REF!,6,0)*G866/1000),0,VLOOKUP($F866,#REF!,6,0)*G866/1000)</f>
        <v>0</v>
      </c>
      <c r="M866" s="21">
        <f>IF(ISERROR(VLOOKUP($F866,#REF!,6,0)*H866/1000),0,VLOOKUP($F866,#REF!,6,0)*H866/1000)</f>
        <v>0</v>
      </c>
      <c r="N866" s="21">
        <f>IF(ISERROR(VLOOKUP($F866,#REF!,6,0)*I866/1000),0,VLOOKUP($F866,#REF!,6,0)*I866/1000)</f>
        <v>0</v>
      </c>
      <c r="O866" s="21">
        <f>IF(ISERROR(VLOOKUP($F866,#REF!,6,0)*J866/1000),0,VLOOKUP($F866,#REF!,6,0)*J866/1000)</f>
        <v>0</v>
      </c>
      <c r="P866" s="21">
        <f>IF(ISERROR(VLOOKUP(F866,#REF!,6,0)*K866/1000),0,VLOOKUP(F866,#REF!,6,0)*K866/1000)</f>
        <v>0</v>
      </c>
      <c r="Q866" s="6">
        <f>IF(ISERROR(VLOOKUP(F866,#REF!,3,0)),0,VLOOKUP(F866,#REF!,3,0))</f>
        <v>0</v>
      </c>
      <c r="R866" s="6">
        <f>IF(ISERROR(VLOOKUP(F866,#REF!,4,0)),0,VLOOKUP(F866,#REF!,4,0))</f>
        <v>0</v>
      </c>
      <c r="S866" s="8">
        <f>IF(ISERROR(VLOOKUP(F866,#REF!,4,0)),0,VLOOKUP(F866,#REF!,10,0)/60*K866)</f>
        <v>0</v>
      </c>
      <c r="T866" s="3"/>
      <c r="U866" s="3"/>
      <c r="V866" s="4"/>
    </row>
    <row r="867" spans="1:22" x14ac:dyDescent="0.3">
      <c r="A867" s="5">
        <f t="shared" si="40"/>
        <v>0</v>
      </c>
      <c r="B867" s="6">
        <f t="shared" si="41"/>
        <v>0</v>
      </c>
      <c r="K867" s="18">
        <f t="shared" si="39"/>
        <v>0</v>
      </c>
      <c r="L867" s="21">
        <f>IF(ISERROR(VLOOKUP($F867,#REF!,6,0)*G867/1000),0,VLOOKUP($F867,#REF!,6,0)*G867/1000)</f>
        <v>0</v>
      </c>
      <c r="M867" s="21">
        <f>IF(ISERROR(VLOOKUP($F867,#REF!,6,0)*H867/1000),0,VLOOKUP($F867,#REF!,6,0)*H867/1000)</f>
        <v>0</v>
      </c>
      <c r="N867" s="21">
        <f>IF(ISERROR(VLOOKUP($F867,#REF!,6,0)*I867/1000),0,VLOOKUP($F867,#REF!,6,0)*I867/1000)</f>
        <v>0</v>
      </c>
      <c r="O867" s="21">
        <f>IF(ISERROR(VLOOKUP($F867,#REF!,6,0)*J867/1000),0,VLOOKUP($F867,#REF!,6,0)*J867/1000)</f>
        <v>0</v>
      </c>
      <c r="P867" s="21">
        <f>IF(ISERROR(VLOOKUP(F867,#REF!,6,0)*K867/1000),0,VLOOKUP(F867,#REF!,6,0)*K867/1000)</f>
        <v>0</v>
      </c>
      <c r="Q867" s="6">
        <f>IF(ISERROR(VLOOKUP(F867,#REF!,3,0)),0,VLOOKUP(F867,#REF!,3,0))</f>
        <v>0</v>
      </c>
      <c r="R867" s="6">
        <f>IF(ISERROR(VLOOKUP(F867,#REF!,4,0)),0,VLOOKUP(F867,#REF!,4,0))</f>
        <v>0</v>
      </c>
      <c r="S867" s="8">
        <f>IF(ISERROR(VLOOKUP(F867,#REF!,4,0)),0,VLOOKUP(F867,#REF!,10,0)/60*K867)</f>
        <v>0</v>
      </c>
      <c r="T867" s="3"/>
      <c r="U867" s="3"/>
      <c r="V867" s="4"/>
    </row>
    <row r="868" spans="1:22" x14ac:dyDescent="0.3">
      <c r="A868" s="5">
        <f t="shared" si="40"/>
        <v>0</v>
      </c>
      <c r="B868" s="6">
        <f t="shared" si="41"/>
        <v>0</v>
      </c>
      <c r="K868" s="18">
        <f t="shared" si="39"/>
        <v>0</v>
      </c>
      <c r="L868" s="21">
        <f>IF(ISERROR(VLOOKUP($F868,#REF!,6,0)*G868/1000),0,VLOOKUP($F868,#REF!,6,0)*G868/1000)</f>
        <v>0</v>
      </c>
      <c r="M868" s="21">
        <f>IF(ISERROR(VLOOKUP($F868,#REF!,6,0)*H868/1000),0,VLOOKUP($F868,#REF!,6,0)*H868/1000)</f>
        <v>0</v>
      </c>
      <c r="N868" s="21">
        <f>IF(ISERROR(VLOOKUP($F868,#REF!,6,0)*I868/1000),0,VLOOKUP($F868,#REF!,6,0)*I868/1000)</f>
        <v>0</v>
      </c>
      <c r="O868" s="21">
        <f>IF(ISERROR(VLOOKUP($F868,#REF!,6,0)*J868/1000),0,VLOOKUP($F868,#REF!,6,0)*J868/1000)</f>
        <v>0</v>
      </c>
      <c r="P868" s="21">
        <f>IF(ISERROR(VLOOKUP(F868,#REF!,6,0)*K868/1000),0,VLOOKUP(F868,#REF!,6,0)*K868/1000)</f>
        <v>0</v>
      </c>
      <c r="Q868" s="6">
        <f>IF(ISERROR(VLOOKUP(F868,#REF!,3,0)),0,VLOOKUP(F868,#REF!,3,0))</f>
        <v>0</v>
      </c>
      <c r="R868" s="6">
        <f>IF(ISERROR(VLOOKUP(F868,#REF!,4,0)),0,VLOOKUP(F868,#REF!,4,0))</f>
        <v>0</v>
      </c>
      <c r="S868" s="8">
        <f>IF(ISERROR(VLOOKUP(F868,#REF!,4,0)),0,VLOOKUP(F868,#REF!,10,0)/60*K868)</f>
        <v>0</v>
      </c>
      <c r="T868" s="3"/>
      <c r="U868" s="3"/>
      <c r="V868" s="4"/>
    </row>
    <row r="869" spans="1:22" x14ac:dyDescent="0.3">
      <c r="A869" s="5">
        <f t="shared" si="40"/>
        <v>0</v>
      </c>
      <c r="B869" s="6">
        <f t="shared" si="41"/>
        <v>0</v>
      </c>
      <c r="K869" s="18">
        <f t="shared" si="39"/>
        <v>0</v>
      </c>
      <c r="L869" s="21">
        <f>IF(ISERROR(VLOOKUP($F869,#REF!,6,0)*G869/1000),0,VLOOKUP($F869,#REF!,6,0)*G869/1000)</f>
        <v>0</v>
      </c>
      <c r="M869" s="21">
        <f>IF(ISERROR(VLOOKUP($F869,#REF!,6,0)*H869/1000),0,VLOOKUP($F869,#REF!,6,0)*H869/1000)</f>
        <v>0</v>
      </c>
      <c r="N869" s="21">
        <f>IF(ISERROR(VLOOKUP($F869,#REF!,6,0)*I869/1000),0,VLOOKUP($F869,#REF!,6,0)*I869/1000)</f>
        <v>0</v>
      </c>
      <c r="O869" s="21">
        <f>IF(ISERROR(VLOOKUP($F869,#REF!,6,0)*J869/1000),0,VLOOKUP($F869,#REF!,6,0)*J869/1000)</f>
        <v>0</v>
      </c>
      <c r="P869" s="21">
        <f>IF(ISERROR(VLOOKUP(F869,#REF!,6,0)*K869/1000),0,VLOOKUP(F869,#REF!,6,0)*K869/1000)</f>
        <v>0</v>
      </c>
      <c r="Q869" s="6">
        <f>IF(ISERROR(VLOOKUP(F869,#REF!,3,0)),0,VLOOKUP(F869,#REF!,3,0))</f>
        <v>0</v>
      </c>
      <c r="R869" s="6">
        <f>IF(ISERROR(VLOOKUP(F869,#REF!,4,0)),0,VLOOKUP(F869,#REF!,4,0))</f>
        <v>0</v>
      </c>
      <c r="S869" s="8">
        <f>IF(ISERROR(VLOOKUP(F869,#REF!,4,0)),0,VLOOKUP(F869,#REF!,10,0)/60*K869)</f>
        <v>0</v>
      </c>
      <c r="T869" s="3"/>
      <c r="U869" s="3"/>
      <c r="V869" s="4"/>
    </row>
    <row r="870" spans="1:22" x14ac:dyDescent="0.3">
      <c r="A870" s="5">
        <f t="shared" si="40"/>
        <v>0</v>
      </c>
      <c r="B870" s="6">
        <f t="shared" si="41"/>
        <v>0</v>
      </c>
      <c r="K870" s="18">
        <f t="shared" si="39"/>
        <v>0</v>
      </c>
      <c r="L870" s="21">
        <f>IF(ISERROR(VLOOKUP($F870,#REF!,6,0)*G870/1000),0,VLOOKUP($F870,#REF!,6,0)*G870/1000)</f>
        <v>0</v>
      </c>
      <c r="M870" s="21">
        <f>IF(ISERROR(VLOOKUP($F870,#REF!,6,0)*H870/1000),0,VLOOKUP($F870,#REF!,6,0)*H870/1000)</f>
        <v>0</v>
      </c>
      <c r="N870" s="21">
        <f>IF(ISERROR(VLOOKUP($F870,#REF!,6,0)*I870/1000),0,VLOOKUP($F870,#REF!,6,0)*I870/1000)</f>
        <v>0</v>
      </c>
      <c r="O870" s="21">
        <f>IF(ISERROR(VLOOKUP($F870,#REF!,6,0)*J870/1000),0,VLOOKUP($F870,#REF!,6,0)*J870/1000)</f>
        <v>0</v>
      </c>
      <c r="P870" s="21">
        <f>IF(ISERROR(VLOOKUP(F870,#REF!,6,0)*K870/1000),0,VLOOKUP(F870,#REF!,6,0)*K870/1000)</f>
        <v>0</v>
      </c>
      <c r="Q870" s="6">
        <f>IF(ISERROR(VLOOKUP(F870,#REF!,3,0)),0,VLOOKUP(F870,#REF!,3,0))</f>
        <v>0</v>
      </c>
      <c r="R870" s="6">
        <f>IF(ISERROR(VLOOKUP(F870,#REF!,4,0)),0,VLOOKUP(F870,#REF!,4,0))</f>
        <v>0</v>
      </c>
      <c r="S870" s="8">
        <f>IF(ISERROR(VLOOKUP(F870,#REF!,4,0)),0,VLOOKUP(F870,#REF!,10,0)/60*K870)</f>
        <v>0</v>
      </c>
      <c r="T870" s="3"/>
      <c r="U870" s="3"/>
      <c r="V870" s="4"/>
    </row>
    <row r="871" spans="1:22" x14ac:dyDescent="0.3">
      <c r="A871" s="5">
        <f t="shared" si="40"/>
        <v>0</v>
      </c>
      <c r="B871" s="6">
        <f t="shared" si="41"/>
        <v>0</v>
      </c>
      <c r="K871" s="18">
        <f t="shared" si="39"/>
        <v>0</v>
      </c>
      <c r="L871" s="21">
        <f>IF(ISERROR(VLOOKUP($F871,#REF!,6,0)*G871/1000),0,VLOOKUP($F871,#REF!,6,0)*G871/1000)</f>
        <v>0</v>
      </c>
      <c r="M871" s="21">
        <f>IF(ISERROR(VLOOKUP($F871,#REF!,6,0)*H871/1000),0,VLOOKUP($F871,#REF!,6,0)*H871/1000)</f>
        <v>0</v>
      </c>
      <c r="N871" s="21">
        <f>IF(ISERROR(VLOOKUP($F871,#REF!,6,0)*I871/1000),0,VLOOKUP($F871,#REF!,6,0)*I871/1000)</f>
        <v>0</v>
      </c>
      <c r="O871" s="21">
        <f>IF(ISERROR(VLOOKUP($F871,#REF!,6,0)*J871/1000),0,VLOOKUP($F871,#REF!,6,0)*J871/1000)</f>
        <v>0</v>
      </c>
      <c r="P871" s="21">
        <f>IF(ISERROR(VLOOKUP(F871,#REF!,6,0)*K871/1000),0,VLOOKUP(F871,#REF!,6,0)*K871/1000)</f>
        <v>0</v>
      </c>
      <c r="Q871" s="6">
        <f>IF(ISERROR(VLOOKUP(F871,#REF!,3,0)),0,VLOOKUP(F871,#REF!,3,0))</f>
        <v>0</v>
      </c>
      <c r="R871" s="6">
        <f>IF(ISERROR(VLOOKUP(F871,#REF!,4,0)),0,VLOOKUP(F871,#REF!,4,0))</f>
        <v>0</v>
      </c>
      <c r="S871" s="8">
        <f>IF(ISERROR(VLOOKUP(F871,#REF!,4,0)),0,VLOOKUP(F871,#REF!,10,0)/60*K871)</f>
        <v>0</v>
      </c>
      <c r="T871" s="3"/>
      <c r="U871" s="3"/>
      <c r="V871" s="4"/>
    </row>
    <row r="872" spans="1:22" x14ac:dyDescent="0.3">
      <c r="A872" s="5">
        <f t="shared" si="40"/>
        <v>0</v>
      </c>
      <c r="B872" s="6">
        <f t="shared" si="41"/>
        <v>0</v>
      </c>
      <c r="K872" s="18">
        <f t="shared" si="39"/>
        <v>0</v>
      </c>
      <c r="L872" s="21">
        <f>IF(ISERROR(VLOOKUP($F872,#REF!,6,0)*G872/1000),0,VLOOKUP($F872,#REF!,6,0)*G872/1000)</f>
        <v>0</v>
      </c>
      <c r="M872" s="21">
        <f>IF(ISERROR(VLOOKUP($F872,#REF!,6,0)*H872/1000),0,VLOOKUP($F872,#REF!,6,0)*H872/1000)</f>
        <v>0</v>
      </c>
      <c r="N872" s="21">
        <f>IF(ISERROR(VLOOKUP($F872,#REF!,6,0)*I872/1000),0,VLOOKUP($F872,#REF!,6,0)*I872/1000)</f>
        <v>0</v>
      </c>
      <c r="O872" s="21">
        <f>IF(ISERROR(VLOOKUP($F872,#REF!,6,0)*J872/1000),0,VLOOKUP($F872,#REF!,6,0)*J872/1000)</f>
        <v>0</v>
      </c>
      <c r="P872" s="21">
        <f>IF(ISERROR(VLOOKUP(F872,#REF!,6,0)*K872/1000),0,VLOOKUP(F872,#REF!,6,0)*K872/1000)</f>
        <v>0</v>
      </c>
      <c r="Q872" s="6">
        <f>IF(ISERROR(VLOOKUP(F872,#REF!,3,0)),0,VLOOKUP(F872,#REF!,3,0))</f>
        <v>0</v>
      </c>
      <c r="R872" s="6">
        <f>IF(ISERROR(VLOOKUP(F872,#REF!,4,0)),0,VLOOKUP(F872,#REF!,4,0))</f>
        <v>0</v>
      </c>
      <c r="S872" s="8">
        <f>IF(ISERROR(VLOOKUP(F872,#REF!,4,0)),0,VLOOKUP(F872,#REF!,10,0)/60*K872)</f>
        <v>0</v>
      </c>
      <c r="T872" s="3"/>
      <c r="U872" s="3"/>
      <c r="V872" s="4"/>
    </row>
    <row r="873" spans="1:22" x14ac:dyDescent="0.3">
      <c r="A873" s="5">
        <f t="shared" si="40"/>
        <v>0</v>
      </c>
      <c r="B873" s="6">
        <f t="shared" si="41"/>
        <v>0</v>
      </c>
      <c r="K873" s="18">
        <f t="shared" si="39"/>
        <v>0</v>
      </c>
      <c r="L873" s="21">
        <f>IF(ISERROR(VLOOKUP($F873,#REF!,6,0)*G873/1000),0,VLOOKUP($F873,#REF!,6,0)*G873/1000)</f>
        <v>0</v>
      </c>
      <c r="M873" s="21">
        <f>IF(ISERROR(VLOOKUP($F873,#REF!,6,0)*H873/1000),0,VLOOKUP($F873,#REF!,6,0)*H873/1000)</f>
        <v>0</v>
      </c>
      <c r="N873" s="21">
        <f>IF(ISERROR(VLOOKUP($F873,#REF!,6,0)*I873/1000),0,VLOOKUP($F873,#REF!,6,0)*I873/1000)</f>
        <v>0</v>
      </c>
      <c r="O873" s="21">
        <f>IF(ISERROR(VLOOKUP($F873,#REF!,6,0)*J873/1000),0,VLOOKUP($F873,#REF!,6,0)*J873/1000)</f>
        <v>0</v>
      </c>
      <c r="P873" s="21">
        <f>IF(ISERROR(VLOOKUP(F873,#REF!,6,0)*K873/1000),0,VLOOKUP(F873,#REF!,6,0)*K873/1000)</f>
        <v>0</v>
      </c>
      <c r="Q873" s="6">
        <f>IF(ISERROR(VLOOKUP(F873,#REF!,3,0)),0,VLOOKUP(F873,#REF!,3,0))</f>
        <v>0</v>
      </c>
      <c r="R873" s="6">
        <f>IF(ISERROR(VLOOKUP(F873,#REF!,4,0)),0,VLOOKUP(F873,#REF!,4,0))</f>
        <v>0</v>
      </c>
      <c r="S873" s="8">
        <f>IF(ISERROR(VLOOKUP(F873,#REF!,4,0)),0,VLOOKUP(F873,#REF!,10,0)/60*K873)</f>
        <v>0</v>
      </c>
      <c r="T873" s="3"/>
      <c r="U873" s="3"/>
      <c r="V873" s="4"/>
    </row>
    <row r="874" spans="1:22" x14ac:dyDescent="0.3">
      <c r="A874" s="5">
        <f t="shared" si="40"/>
        <v>0</v>
      </c>
      <c r="B874" s="6">
        <f t="shared" si="41"/>
        <v>0</v>
      </c>
      <c r="K874" s="18">
        <f t="shared" si="39"/>
        <v>0</v>
      </c>
      <c r="L874" s="21">
        <f>IF(ISERROR(VLOOKUP($F874,#REF!,6,0)*G874/1000),0,VLOOKUP($F874,#REF!,6,0)*G874/1000)</f>
        <v>0</v>
      </c>
      <c r="M874" s="21">
        <f>IF(ISERROR(VLOOKUP($F874,#REF!,6,0)*H874/1000),0,VLOOKUP($F874,#REF!,6,0)*H874/1000)</f>
        <v>0</v>
      </c>
      <c r="N874" s="21">
        <f>IF(ISERROR(VLOOKUP($F874,#REF!,6,0)*I874/1000),0,VLOOKUP($F874,#REF!,6,0)*I874/1000)</f>
        <v>0</v>
      </c>
      <c r="O874" s="21">
        <f>IF(ISERROR(VLOOKUP($F874,#REF!,6,0)*J874/1000),0,VLOOKUP($F874,#REF!,6,0)*J874/1000)</f>
        <v>0</v>
      </c>
      <c r="P874" s="21">
        <f>IF(ISERROR(VLOOKUP(F874,#REF!,6,0)*K874/1000),0,VLOOKUP(F874,#REF!,6,0)*K874/1000)</f>
        <v>0</v>
      </c>
      <c r="Q874" s="6">
        <f>IF(ISERROR(VLOOKUP(F874,#REF!,3,0)),0,VLOOKUP(F874,#REF!,3,0))</f>
        <v>0</v>
      </c>
      <c r="R874" s="6">
        <f>IF(ISERROR(VLOOKUP(F874,#REF!,4,0)),0,VLOOKUP(F874,#REF!,4,0))</f>
        <v>0</v>
      </c>
      <c r="S874" s="8">
        <f>IF(ISERROR(VLOOKUP(F874,#REF!,4,0)),0,VLOOKUP(F874,#REF!,10,0)/60*K874)</f>
        <v>0</v>
      </c>
      <c r="T874" s="3"/>
      <c r="U874" s="3"/>
      <c r="V874" s="4"/>
    </row>
    <row r="875" spans="1:22" x14ac:dyDescent="0.3">
      <c r="A875" s="5">
        <f t="shared" si="40"/>
        <v>0</v>
      </c>
      <c r="B875" s="6">
        <f t="shared" si="41"/>
        <v>0</v>
      </c>
      <c r="K875" s="18">
        <f t="shared" si="39"/>
        <v>0</v>
      </c>
      <c r="L875" s="21">
        <f>IF(ISERROR(VLOOKUP($F875,#REF!,6,0)*G875/1000),0,VLOOKUP($F875,#REF!,6,0)*G875/1000)</f>
        <v>0</v>
      </c>
      <c r="M875" s="21">
        <f>IF(ISERROR(VLOOKUP($F875,#REF!,6,0)*H875/1000),0,VLOOKUP($F875,#REF!,6,0)*H875/1000)</f>
        <v>0</v>
      </c>
      <c r="N875" s="21">
        <f>IF(ISERROR(VLOOKUP($F875,#REF!,6,0)*I875/1000),0,VLOOKUP($F875,#REF!,6,0)*I875/1000)</f>
        <v>0</v>
      </c>
      <c r="O875" s="21">
        <f>IF(ISERROR(VLOOKUP($F875,#REF!,6,0)*J875/1000),0,VLOOKUP($F875,#REF!,6,0)*J875/1000)</f>
        <v>0</v>
      </c>
      <c r="P875" s="21">
        <f>IF(ISERROR(VLOOKUP(F875,#REF!,6,0)*K875/1000),0,VLOOKUP(F875,#REF!,6,0)*K875/1000)</f>
        <v>0</v>
      </c>
      <c r="Q875" s="6">
        <f>IF(ISERROR(VLOOKUP(F875,#REF!,3,0)),0,VLOOKUP(F875,#REF!,3,0))</f>
        <v>0</v>
      </c>
      <c r="R875" s="6">
        <f>IF(ISERROR(VLOOKUP(F875,#REF!,4,0)),0,VLOOKUP(F875,#REF!,4,0))</f>
        <v>0</v>
      </c>
      <c r="S875" s="8">
        <f>IF(ISERROR(VLOOKUP(F875,#REF!,4,0)),0,VLOOKUP(F875,#REF!,10,0)/60*K875)</f>
        <v>0</v>
      </c>
      <c r="T875" s="3"/>
      <c r="U875" s="3"/>
      <c r="V875" s="4"/>
    </row>
    <row r="876" spans="1:22" x14ac:dyDescent="0.3">
      <c r="A876" s="5">
        <f t="shared" si="40"/>
        <v>0</v>
      </c>
      <c r="B876" s="6">
        <f t="shared" si="41"/>
        <v>0</v>
      </c>
      <c r="K876" s="18">
        <f t="shared" si="39"/>
        <v>0</v>
      </c>
      <c r="L876" s="21">
        <f>IF(ISERROR(VLOOKUP($F876,#REF!,6,0)*G876/1000),0,VLOOKUP($F876,#REF!,6,0)*G876/1000)</f>
        <v>0</v>
      </c>
      <c r="M876" s="21">
        <f>IF(ISERROR(VLOOKUP($F876,#REF!,6,0)*H876/1000),0,VLOOKUP($F876,#REF!,6,0)*H876/1000)</f>
        <v>0</v>
      </c>
      <c r="N876" s="21">
        <f>IF(ISERROR(VLOOKUP($F876,#REF!,6,0)*I876/1000),0,VLOOKUP($F876,#REF!,6,0)*I876/1000)</f>
        <v>0</v>
      </c>
      <c r="O876" s="21">
        <f>IF(ISERROR(VLOOKUP($F876,#REF!,6,0)*J876/1000),0,VLOOKUP($F876,#REF!,6,0)*J876/1000)</f>
        <v>0</v>
      </c>
      <c r="P876" s="21">
        <f>IF(ISERROR(VLOOKUP(F876,#REF!,6,0)*K876/1000),0,VLOOKUP(F876,#REF!,6,0)*K876/1000)</f>
        <v>0</v>
      </c>
      <c r="Q876" s="6">
        <f>IF(ISERROR(VLOOKUP(F876,#REF!,3,0)),0,VLOOKUP(F876,#REF!,3,0))</f>
        <v>0</v>
      </c>
      <c r="R876" s="6">
        <f>IF(ISERROR(VLOOKUP(F876,#REF!,4,0)),0,VLOOKUP(F876,#REF!,4,0))</f>
        <v>0</v>
      </c>
      <c r="S876" s="8">
        <f>IF(ISERROR(VLOOKUP(F876,#REF!,4,0)),0,VLOOKUP(F876,#REF!,10,0)/60*K876)</f>
        <v>0</v>
      </c>
      <c r="T876" s="3"/>
      <c r="U876" s="3"/>
      <c r="V876" s="4"/>
    </row>
    <row r="877" spans="1:22" x14ac:dyDescent="0.3">
      <c r="A877" s="5">
        <f t="shared" si="40"/>
        <v>0</v>
      </c>
      <c r="B877" s="6">
        <f t="shared" si="41"/>
        <v>0</v>
      </c>
      <c r="K877" s="18">
        <f t="shared" si="39"/>
        <v>0</v>
      </c>
      <c r="L877" s="21">
        <f>IF(ISERROR(VLOOKUP($F877,#REF!,6,0)*G877/1000),0,VLOOKUP($F877,#REF!,6,0)*G877/1000)</f>
        <v>0</v>
      </c>
      <c r="M877" s="21">
        <f>IF(ISERROR(VLOOKUP($F877,#REF!,6,0)*H877/1000),0,VLOOKUP($F877,#REF!,6,0)*H877/1000)</f>
        <v>0</v>
      </c>
      <c r="N877" s="21">
        <f>IF(ISERROR(VLOOKUP($F877,#REF!,6,0)*I877/1000),0,VLOOKUP($F877,#REF!,6,0)*I877/1000)</f>
        <v>0</v>
      </c>
      <c r="O877" s="21">
        <f>IF(ISERROR(VLOOKUP($F877,#REF!,6,0)*J877/1000),0,VLOOKUP($F877,#REF!,6,0)*J877/1000)</f>
        <v>0</v>
      </c>
      <c r="P877" s="21">
        <f>IF(ISERROR(VLOOKUP(F877,#REF!,6,0)*K877/1000),0,VLOOKUP(F877,#REF!,6,0)*K877/1000)</f>
        <v>0</v>
      </c>
      <c r="Q877" s="6">
        <f>IF(ISERROR(VLOOKUP(F877,#REF!,3,0)),0,VLOOKUP(F877,#REF!,3,0))</f>
        <v>0</v>
      </c>
      <c r="R877" s="6">
        <f>IF(ISERROR(VLOOKUP(F877,#REF!,4,0)),0,VLOOKUP(F877,#REF!,4,0))</f>
        <v>0</v>
      </c>
      <c r="S877" s="8">
        <f>IF(ISERROR(VLOOKUP(F877,#REF!,4,0)),0,VLOOKUP(F877,#REF!,10,0)/60*K877)</f>
        <v>0</v>
      </c>
      <c r="T877" s="3"/>
      <c r="U877" s="3"/>
      <c r="V877" s="4"/>
    </row>
    <row r="878" spans="1:22" x14ac:dyDescent="0.3">
      <c r="A878" s="5">
        <f t="shared" si="40"/>
        <v>0</v>
      </c>
      <c r="B878" s="6">
        <f t="shared" si="41"/>
        <v>0</v>
      </c>
      <c r="K878" s="18">
        <f t="shared" si="39"/>
        <v>0</v>
      </c>
      <c r="L878" s="21">
        <f>IF(ISERROR(VLOOKUP($F878,#REF!,6,0)*G878/1000),0,VLOOKUP($F878,#REF!,6,0)*G878/1000)</f>
        <v>0</v>
      </c>
      <c r="M878" s="21">
        <f>IF(ISERROR(VLOOKUP($F878,#REF!,6,0)*H878/1000),0,VLOOKUP($F878,#REF!,6,0)*H878/1000)</f>
        <v>0</v>
      </c>
      <c r="N878" s="21">
        <f>IF(ISERROR(VLOOKUP($F878,#REF!,6,0)*I878/1000),0,VLOOKUP($F878,#REF!,6,0)*I878/1000)</f>
        <v>0</v>
      </c>
      <c r="O878" s="21">
        <f>IF(ISERROR(VLOOKUP($F878,#REF!,6,0)*J878/1000),0,VLOOKUP($F878,#REF!,6,0)*J878/1000)</f>
        <v>0</v>
      </c>
      <c r="P878" s="21">
        <f>IF(ISERROR(VLOOKUP(F878,#REF!,6,0)*K878/1000),0,VLOOKUP(F878,#REF!,6,0)*K878/1000)</f>
        <v>0</v>
      </c>
      <c r="Q878" s="6">
        <f>IF(ISERROR(VLOOKUP(F878,#REF!,3,0)),0,VLOOKUP(F878,#REF!,3,0))</f>
        <v>0</v>
      </c>
      <c r="R878" s="6">
        <f>IF(ISERROR(VLOOKUP(F878,#REF!,4,0)),0,VLOOKUP(F878,#REF!,4,0))</f>
        <v>0</v>
      </c>
      <c r="S878" s="8">
        <f>IF(ISERROR(VLOOKUP(F878,#REF!,4,0)),0,VLOOKUP(F878,#REF!,10,0)/60*K878)</f>
        <v>0</v>
      </c>
      <c r="T878" s="3"/>
      <c r="U878" s="3"/>
      <c r="V878" s="4"/>
    </row>
    <row r="879" spans="1:22" x14ac:dyDescent="0.3">
      <c r="A879" s="5">
        <f t="shared" si="40"/>
        <v>0</v>
      </c>
      <c r="B879" s="6">
        <f t="shared" si="41"/>
        <v>0</v>
      </c>
      <c r="K879" s="18">
        <f t="shared" si="39"/>
        <v>0</v>
      </c>
      <c r="L879" s="21">
        <f>IF(ISERROR(VLOOKUP($F879,#REF!,6,0)*G879/1000),0,VLOOKUP($F879,#REF!,6,0)*G879/1000)</f>
        <v>0</v>
      </c>
      <c r="M879" s="21">
        <f>IF(ISERROR(VLOOKUP($F879,#REF!,6,0)*H879/1000),0,VLOOKUP($F879,#REF!,6,0)*H879/1000)</f>
        <v>0</v>
      </c>
      <c r="N879" s="21">
        <f>IF(ISERROR(VLOOKUP($F879,#REF!,6,0)*I879/1000),0,VLOOKUP($F879,#REF!,6,0)*I879/1000)</f>
        <v>0</v>
      </c>
      <c r="O879" s="21">
        <f>IF(ISERROR(VLOOKUP($F879,#REF!,6,0)*J879/1000),0,VLOOKUP($F879,#REF!,6,0)*J879/1000)</f>
        <v>0</v>
      </c>
      <c r="P879" s="21">
        <f>IF(ISERROR(VLOOKUP(F879,#REF!,6,0)*K879/1000),0,VLOOKUP(F879,#REF!,6,0)*K879/1000)</f>
        <v>0</v>
      </c>
      <c r="Q879" s="6">
        <f>IF(ISERROR(VLOOKUP(F879,#REF!,3,0)),0,VLOOKUP(F879,#REF!,3,0))</f>
        <v>0</v>
      </c>
      <c r="R879" s="6">
        <f>IF(ISERROR(VLOOKUP(F879,#REF!,4,0)),0,VLOOKUP(F879,#REF!,4,0))</f>
        <v>0</v>
      </c>
      <c r="S879" s="8">
        <f>IF(ISERROR(VLOOKUP(F879,#REF!,4,0)),0,VLOOKUP(F879,#REF!,10,0)/60*K879)</f>
        <v>0</v>
      </c>
      <c r="T879" s="3"/>
      <c r="U879" s="3"/>
      <c r="V879" s="4"/>
    </row>
    <row r="880" spans="1:22" x14ac:dyDescent="0.3">
      <c r="A880" s="5">
        <f t="shared" si="40"/>
        <v>0</v>
      </c>
      <c r="B880" s="6">
        <f t="shared" si="41"/>
        <v>0</v>
      </c>
      <c r="K880" s="18">
        <f t="shared" si="39"/>
        <v>0</v>
      </c>
      <c r="L880" s="21">
        <f>IF(ISERROR(VLOOKUP($F880,#REF!,6,0)*G880/1000),0,VLOOKUP($F880,#REF!,6,0)*G880/1000)</f>
        <v>0</v>
      </c>
      <c r="M880" s="21">
        <f>IF(ISERROR(VLOOKUP($F880,#REF!,6,0)*H880/1000),0,VLOOKUP($F880,#REF!,6,0)*H880/1000)</f>
        <v>0</v>
      </c>
      <c r="N880" s="21">
        <f>IF(ISERROR(VLOOKUP($F880,#REF!,6,0)*I880/1000),0,VLOOKUP($F880,#REF!,6,0)*I880/1000)</f>
        <v>0</v>
      </c>
      <c r="O880" s="21">
        <f>IF(ISERROR(VLOOKUP($F880,#REF!,6,0)*J880/1000),0,VLOOKUP($F880,#REF!,6,0)*J880/1000)</f>
        <v>0</v>
      </c>
      <c r="P880" s="21">
        <f>IF(ISERROR(VLOOKUP(F880,#REF!,6,0)*K880/1000),0,VLOOKUP(F880,#REF!,6,0)*K880/1000)</f>
        <v>0</v>
      </c>
      <c r="Q880" s="6">
        <f>IF(ISERROR(VLOOKUP(F880,#REF!,3,0)),0,VLOOKUP(F880,#REF!,3,0))</f>
        <v>0</v>
      </c>
      <c r="R880" s="6">
        <f>IF(ISERROR(VLOOKUP(F880,#REF!,4,0)),0,VLOOKUP(F880,#REF!,4,0))</f>
        <v>0</v>
      </c>
      <c r="S880" s="8">
        <f>IF(ISERROR(VLOOKUP(F880,#REF!,4,0)),0,VLOOKUP(F880,#REF!,10,0)/60*K880)</f>
        <v>0</v>
      </c>
      <c r="T880" s="3"/>
      <c r="U880" s="3"/>
      <c r="V880" s="4"/>
    </row>
    <row r="881" spans="1:22" x14ac:dyDescent="0.3">
      <c r="A881" s="5">
        <f t="shared" si="40"/>
        <v>0</v>
      </c>
      <c r="B881" s="6">
        <f t="shared" si="41"/>
        <v>0</v>
      </c>
      <c r="K881" s="18">
        <f t="shared" si="39"/>
        <v>0</v>
      </c>
      <c r="L881" s="21">
        <f>IF(ISERROR(VLOOKUP($F881,#REF!,6,0)*G881/1000),0,VLOOKUP($F881,#REF!,6,0)*G881/1000)</f>
        <v>0</v>
      </c>
      <c r="M881" s="21">
        <f>IF(ISERROR(VLOOKUP($F881,#REF!,6,0)*H881/1000),0,VLOOKUP($F881,#REF!,6,0)*H881/1000)</f>
        <v>0</v>
      </c>
      <c r="N881" s="21">
        <f>IF(ISERROR(VLOOKUP($F881,#REF!,6,0)*I881/1000),0,VLOOKUP($F881,#REF!,6,0)*I881/1000)</f>
        <v>0</v>
      </c>
      <c r="O881" s="21">
        <f>IF(ISERROR(VLOOKUP($F881,#REF!,6,0)*J881/1000),0,VLOOKUP($F881,#REF!,6,0)*J881/1000)</f>
        <v>0</v>
      </c>
      <c r="P881" s="21">
        <f>IF(ISERROR(VLOOKUP(F881,#REF!,6,0)*K881/1000),0,VLOOKUP(F881,#REF!,6,0)*K881/1000)</f>
        <v>0</v>
      </c>
      <c r="Q881" s="6">
        <f>IF(ISERROR(VLOOKUP(F881,#REF!,3,0)),0,VLOOKUP(F881,#REF!,3,0))</f>
        <v>0</v>
      </c>
      <c r="R881" s="6">
        <f>IF(ISERROR(VLOOKUP(F881,#REF!,4,0)),0,VLOOKUP(F881,#REF!,4,0))</f>
        <v>0</v>
      </c>
      <c r="S881" s="8">
        <f>IF(ISERROR(VLOOKUP(F881,#REF!,4,0)),0,VLOOKUP(F881,#REF!,10,0)/60*K881)</f>
        <v>0</v>
      </c>
      <c r="T881" s="3"/>
      <c r="U881" s="3"/>
      <c r="V881" s="4"/>
    </row>
    <row r="882" spans="1:22" x14ac:dyDescent="0.3">
      <c r="A882" s="5">
        <f t="shared" si="40"/>
        <v>0</v>
      </c>
      <c r="B882" s="6">
        <f t="shared" si="41"/>
        <v>0</v>
      </c>
      <c r="K882" s="18">
        <f t="shared" si="39"/>
        <v>0</v>
      </c>
      <c r="L882" s="21">
        <f>IF(ISERROR(VLOOKUP($F882,#REF!,6,0)*G882/1000),0,VLOOKUP($F882,#REF!,6,0)*G882/1000)</f>
        <v>0</v>
      </c>
      <c r="M882" s="21">
        <f>IF(ISERROR(VLOOKUP($F882,#REF!,6,0)*H882/1000),0,VLOOKUP($F882,#REF!,6,0)*H882/1000)</f>
        <v>0</v>
      </c>
      <c r="N882" s="21">
        <f>IF(ISERROR(VLOOKUP($F882,#REF!,6,0)*I882/1000),0,VLOOKUP($F882,#REF!,6,0)*I882/1000)</f>
        <v>0</v>
      </c>
      <c r="O882" s="21">
        <f>IF(ISERROR(VLOOKUP($F882,#REF!,6,0)*J882/1000),0,VLOOKUP($F882,#REF!,6,0)*J882/1000)</f>
        <v>0</v>
      </c>
      <c r="P882" s="21">
        <f>IF(ISERROR(VLOOKUP(F882,#REF!,6,0)*K882/1000),0,VLOOKUP(F882,#REF!,6,0)*K882/1000)</f>
        <v>0</v>
      </c>
      <c r="Q882" s="6">
        <f>IF(ISERROR(VLOOKUP(F882,#REF!,3,0)),0,VLOOKUP(F882,#REF!,3,0))</f>
        <v>0</v>
      </c>
      <c r="R882" s="6">
        <f>IF(ISERROR(VLOOKUP(F882,#REF!,4,0)),0,VLOOKUP(F882,#REF!,4,0))</f>
        <v>0</v>
      </c>
      <c r="S882" s="8">
        <f>IF(ISERROR(VLOOKUP(F882,#REF!,4,0)),0,VLOOKUP(F882,#REF!,10,0)/60*K882)</f>
        <v>0</v>
      </c>
      <c r="T882" s="3"/>
      <c r="U882" s="3"/>
      <c r="V882" s="4"/>
    </row>
    <row r="883" spans="1:22" x14ac:dyDescent="0.3">
      <c r="A883" s="5">
        <f t="shared" si="40"/>
        <v>0</v>
      </c>
      <c r="B883" s="6">
        <f t="shared" si="41"/>
        <v>0</v>
      </c>
      <c r="K883" s="18">
        <f t="shared" si="39"/>
        <v>0</v>
      </c>
      <c r="L883" s="21">
        <f>IF(ISERROR(VLOOKUP($F883,#REF!,6,0)*G883/1000),0,VLOOKUP($F883,#REF!,6,0)*G883/1000)</f>
        <v>0</v>
      </c>
      <c r="M883" s="21">
        <f>IF(ISERROR(VLOOKUP($F883,#REF!,6,0)*H883/1000),0,VLOOKUP($F883,#REF!,6,0)*H883/1000)</f>
        <v>0</v>
      </c>
      <c r="N883" s="21">
        <f>IF(ISERROR(VLOOKUP($F883,#REF!,6,0)*I883/1000),0,VLOOKUP($F883,#REF!,6,0)*I883/1000)</f>
        <v>0</v>
      </c>
      <c r="O883" s="21">
        <f>IF(ISERROR(VLOOKUP($F883,#REF!,6,0)*J883/1000),0,VLOOKUP($F883,#REF!,6,0)*J883/1000)</f>
        <v>0</v>
      </c>
      <c r="P883" s="21">
        <f>IF(ISERROR(VLOOKUP(F883,#REF!,6,0)*K883/1000),0,VLOOKUP(F883,#REF!,6,0)*K883/1000)</f>
        <v>0</v>
      </c>
      <c r="Q883" s="6">
        <f>IF(ISERROR(VLOOKUP(F883,#REF!,3,0)),0,VLOOKUP(F883,#REF!,3,0))</f>
        <v>0</v>
      </c>
      <c r="R883" s="6">
        <f>IF(ISERROR(VLOOKUP(F883,#REF!,4,0)),0,VLOOKUP(F883,#REF!,4,0))</f>
        <v>0</v>
      </c>
      <c r="S883" s="8">
        <f>IF(ISERROR(VLOOKUP(F883,#REF!,4,0)),0,VLOOKUP(F883,#REF!,10,0)/60*K883)</f>
        <v>0</v>
      </c>
      <c r="T883" s="3"/>
      <c r="U883" s="3"/>
      <c r="V883" s="4"/>
    </row>
    <row r="884" spans="1:22" x14ac:dyDescent="0.3">
      <c r="A884" s="5">
        <f t="shared" si="40"/>
        <v>0</v>
      </c>
      <c r="B884" s="6">
        <f t="shared" si="41"/>
        <v>0</v>
      </c>
      <c r="K884" s="18">
        <f t="shared" si="39"/>
        <v>0</v>
      </c>
      <c r="L884" s="21">
        <f>IF(ISERROR(VLOOKUP($F884,#REF!,6,0)*G884/1000),0,VLOOKUP($F884,#REF!,6,0)*G884/1000)</f>
        <v>0</v>
      </c>
      <c r="M884" s="21">
        <f>IF(ISERROR(VLOOKUP($F884,#REF!,6,0)*H884/1000),0,VLOOKUP($F884,#REF!,6,0)*H884/1000)</f>
        <v>0</v>
      </c>
      <c r="N884" s="21">
        <f>IF(ISERROR(VLOOKUP($F884,#REF!,6,0)*I884/1000),0,VLOOKUP($F884,#REF!,6,0)*I884/1000)</f>
        <v>0</v>
      </c>
      <c r="O884" s="21">
        <f>IF(ISERROR(VLOOKUP($F884,#REF!,6,0)*J884/1000),0,VLOOKUP($F884,#REF!,6,0)*J884/1000)</f>
        <v>0</v>
      </c>
      <c r="P884" s="21">
        <f>IF(ISERROR(VLOOKUP(F884,#REF!,6,0)*K884/1000),0,VLOOKUP(F884,#REF!,6,0)*K884/1000)</f>
        <v>0</v>
      </c>
      <c r="Q884" s="6">
        <f>IF(ISERROR(VLOOKUP(F884,#REF!,3,0)),0,VLOOKUP(F884,#REF!,3,0))</f>
        <v>0</v>
      </c>
      <c r="R884" s="6">
        <f>IF(ISERROR(VLOOKUP(F884,#REF!,4,0)),0,VLOOKUP(F884,#REF!,4,0))</f>
        <v>0</v>
      </c>
      <c r="S884" s="8">
        <f>IF(ISERROR(VLOOKUP(F884,#REF!,4,0)),0,VLOOKUP(F884,#REF!,10,0)/60*K884)</f>
        <v>0</v>
      </c>
      <c r="T884" s="3"/>
      <c r="U884" s="3"/>
      <c r="V884" s="4"/>
    </row>
    <row r="885" spans="1:22" x14ac:dyDescent="0.3">
      <c r="A885" s="5">
        <f t="shared" si="40"/>
        <v>0</v>
      </c>
      <c r="B885" s="6">
        <f t="shared" si="41"/>
        <v>0</v>
      </c>
      <c r="K885" s="18">
        <f t="shared" si="39"/>
        <v>0</v>
      </c>
      <c r="L885" s="21">
        <f>IF(ISERROR(VLOOKUP($F885,#REF!,6,0)*G885/1000),0,VLOOKUP($F885,#REF!,6,0)*G885/1000)</f>
        <v>0</v>
      </c>
      <c r="M885" s="21">
        <f>IF(ISERROR(VLOOKUP($F885,#REF!,6,0)*H885/1000),0,VLOOKUP($F885,#REF!,6,0)*H885/1000)</f>
        <v>0</v>
      </c>
      <c r="N885" s="21">
        <f>IF(ISERROR(VLOOKUP($F885,#REF!,6,0)*I885/1000),0,VLOOKUP($F885,#REF!,6,0)*I885/1000)</f>
        <v>0</v>
      </c>
      <c r="O885" s="21">
        <f>IF(ISERROR(VLOOKUP($F885,#REF!,6,0)*J885/1000),0,VLOOKUP($F885,#REF!,6,0)*J885/1000)</f>
        <v>0</v>
      </c>
      <c r="P885" s="21">
        <f>IF(ISERROR(VLOOKUP(F885,#REF!,6,0)*K885/1000),0,VLOOKUP(F885,#REF!,6,0)*K885/1000)</f>
        <v>0</v>
      </c>
      <c r="Q885" s="6">
        <f>IF(ISERROR(VLOOKUP(F885,#REF!,3,0)),0,VLOOKUP(F885,#REF!,3,0))</f>
        <v>0</v>
      </c>
      <c r="R885" s="6">
        <f>IF(ISERROR(VLOOKUP(F885,#REF!,4,0)),0,VLOOKUP(F885,#REF!,4,0))</f>
        <v>0</v>
      </c>
      <c r="S885" s="8">
        <f>IF(ISERROR(VLOOKUP(F885,#REF!,4,0)),0,VLOOKUP(F885,#REF!,10,0)/60*K885)</f>
        <v>0</v>
      </c>
      <c r="T885" s="3"/>
      <c r="U885" s="3"/>
      <c r="V885" s="4"/>
    </row>
    <row r="886" spans="1:22" x14ac:dyDescent="0.3">
      <c r="A886" s="5">
        <f t="shared" si="40"/>
        <v>0</v>
      </c>
      <c r="B886" s="6">
        <f t="shared" si="41"/>
        <v>0</v>
      </c>
      <c r="K886" s="18">
        <f t="shared" si="39"/>
        <v>0</v>
      </c>
      <c r="L886" s="21">
        <f>IF(ISERROR(VLOOKUP($F886,#REF!,6,0)*G886/1000),0,VLOOKUP($F886,#REF!,6,0)*G886/1000)</f>
        <v>0</v>
      </c>
      <c r="M886" s="21">
        <f>IF(ISERROR(VLOOKUP($F886,#REF!,6,0)*H886/1000),0,VLOOKUP($F886,#REF!,6,0)*H886/1000)</f>
        <v>0</v>
      </c>
      <c r="N886" s="21">
        <f>IF(ISERROR(VLOOKUP($F886,#REF!,6,0)*I886/1000),0,VLOOKUP($F886,#REF!,6,0)*I886/1000)</f>
        <v>0</v>
      </c>
      <c r="O886" s="21">
        <f>IF(ISERROR(VLOOKUP($F886,#REF!,6,0)*J886/1000),0,VLOOKUP($F886,#REF!,6,0)*J886/1000)</f>
        <v>0</v>
      </c>
      <c r="P886" s="21">
        <f>IF(ISERROR(VLOOKUP(F886,#REF!,6,0)*K886/1000),0,VLOOKUP(F886,#REF!,6,0)*K886/1000)</f>
        <v>0</v>
      </c>
      <c r="Q886" s="6">
        <f>IF(ISERROR(VLOOKUP(F886,#REF!,3,0)),0,VLOOKUP(F886,#REF!,3,0))</f>
        <v>0</v>
      </c>
      <c r="R886" s="6">
        <f>IF(ISERROR(VLOOKUP(F886,#REF!,4,0)),0,VLOOKUP(F886,#REF!,4,0))</f>
        <v>0</v>
      </c>
      <c r="S886" s="8">
        <f>IF(ISERROR(VLOOKUP(F886,#REF!,4,0)),0,VLOOKUP(F886,#REF!,10,0)/60*K886)</f>
        <v>0</v>
      </c>
      <c r="T886" s="3"/>
      <c r="U886" s="3"/>
      <c r="V886" s="4"/>
    </row>
    <row r="887" spans="1:22" x14ac:dyDescent="0.3">
      <c r="A887" s="5">
        <f t="shared" si="40"/>
        <v>0</v>
      </c>
      <c r="B887" s="6">
        <f t="shared" si="41"/>
        <v>0</v>
      </c>
      <c r="K887" s="18">
        <f t="shared" si="39"/>
        <v>0</v>
      </c>
      <c r="L887" s="21">
        <f>IF(ISERROR(VLOOKUP($F887,#REF!,6,0)*G887/1000),0,VLOOKUP($F887,#REF!,6,0)*G887/1000)</f>
        <v>0</v>
      </c>
      <c r="M887" s="21">
        <f>IF(ISERROR(VLOOKUP($F887,#REF!,6,0)*H887/1000),0,VLOOKUP($F887,#REF!,6,0)*H887/1000)</f>
        <v>0</v>
      </c>
      <c r="N887" s="21">
        <f>IF(ISERROR(VLOOKUP($F887,#REF!,6,0)*I887/1000),0,VLOOKUP($F887,#REF!,6,0)*I887/1000)</f>
        <v>0</v>
      </c>
      <c r="O887" s="21">
        <f>IF(ISERROR(VLOOKUP($F887,#REF!,6,0)*J887/1000),0,VLOOKUP($F887,#REF!,6,0)*J887/1000)</f>
        <v>0</v>
      </c>
      <c r="P887" s="21">
        <f>IF(ISERROR(VLOOKUP(F887,#REF!,6,0)*K887/1000),0,VLOOKUP(F887,#REF!,6,0)*K887/1000)</f>
        <v>0</v>
      </c>
      <c r="Q887" s="6">
        <f>IF(ISERROR(VLOOKUP(F887,#REF!,3,0)),0,VLOOKUP(F887,#REF!,3,0))</f>
        <v>0</v>
      </c>
      <c r="R887" s="6">
        <f>IF(ISERROR(VLOOKUP(F887,#REF!,4,0)),0,VLOOKUP(F887,#REF!,4,0))</f>
        <v>0</v>
      </c>
      <c r="S887" s="8">
        <f>IF(ISERROR(VLOOKUP(F887,#REF!,4,0)),0,VLOOKUP(F887,#REF!,10,0)/60*K887)</f>
        <v>0</v>
      </c>
      <c r="T887" s="3"/>
      <c r="U887" s="3"/>
      <c r="V887" s="4"/>
    </row>
    <row r="888" spans="1:22" x14ac:dyDescent="0.3">
      <c r="A888" s="5">
        <f t="shared" si="40"/>
        <v>0</v>
      </c>
      <c r="B888" s="6">
        <f t="shared" si="41"/>
        <v>0</v>
      </c>
      <c r="K888" s="18">
        <f t="shared" si="39"/>
        <v>0</v>
      </c>
      <c r="L888" s="21">
        <f>IF(ISERROR(VLOOKUP($F888,#REF!,6,0)*G888/1000),0,VLOOKUP($F888,#REF!,6,0)*G888/1000)</f>
        <v>0</v>
      </c>
      <c r="M888" s="21">
        <f>IF(ISERROR(VLOOKUP($F888,#REF!,6,0)*H888/1000),0,VLOOKUP($F888,#REF!,6,0)*H888/1000)</f>
        <v>0</v>
      </c>
      <c r="N888" s="21">
        <f>IF(ISERROR(VLOOKUP($F888,#REF!,6,0)*I888/1000),0,VLOOKUP($F888,#REF!,6,0)*I888/1000)</f>
        <v>0</v>
      </c>
      <c r="O888" s="21">
        <f>IF(ISERROR(VLOOKUP($F888,#REF!,6,0)*J888/1000),0,VLOOKUP($F888,#REF!,6,0)*J888/1000)</f>
        <v>0</v>
      </c>
      <c r="P888" s="21">
        <f>IF(ISERROR(VLOOKUP(F888,#REF!,6,0)*K888/1000),0,VLOOKUP(F888,#REF!,6,0)*K888/1000)</f>
        <v>0</v>
      </c>
      <c r="Q888" s="6">
        <f>IF(ISERROR(VLOOKUP(F888,#REF!,3,0)),0,VLOOKUP(F888,#REF!,3,0))</f>
        <v>0</v>
      </c>
      <c r="R888" s="6">
        <f>IF(ISERROR(VLOOKUP(F888,#REF!,4,0)),0,VLOOKUP(F888,#REF!,4,0))</f>
        <v>0</v>
      </c>
      <c r="S888" s="8">
        <f>IF(ISERROR(VLOOKUP(F888,#REF!,4,0)),0,VLOOKUP(F888,#REF!,10,0)/60*K888)</f>
        <v>0</v>
      </c>
      <c r="T888" s="3"/>
      <c r="U888" s="3"/>
      <c r="V888" s="4"/>
    </row>
    <row r="889" spans="1:22" x14ac:dyDescent="0.3">
      <c r="A889" s="5">
        <f t="shared" si="40"/>
        <v>0</v>
      </c>
      <c r="B889" s="6">
        <f t="shared" si="41"/>
        <v>0</v>
      </c>
      <c r="K889" s="18">
        <f t="shared" si="39"/>
        <v>0</v>
      </c>
      <c r="L889" s="21">
        <f>IF(ISERROR(VLOOKUP($F889,#REF!,6,0)*G889/1000),0,VLOOKUP($F889,#REF!,6,0)*G889/1000)</f>
        <v>0</v>
      </c>
      <c r="M889" s="21">
        <f>IF(ISERROR(VLOOKUP($F889,#REF!,6,0)*H889/1000),0,VLOOKUP($F889,#REF!,6,0)*H889/1000)</f>
        <v>0</v>
      </c>
      <c r="N889" s="21">
        <f>IF(ISERROR(VLOOKUP($F889,#REF!,6,0)*I889/1000),0,VLOOKUP($F889,#REF!,6,0)*I889/1000)</f>
        <v>0</v>
      </c>
      <c r="O889" s="21">
        <f>IF(ISERROR(VLOOKUP($F889,#REF!,6,0)*J889/1000),0,VLOOKUP($F889,#REF!,6,0)*J889/1000)</f>
        <v>0</v>
      </c>
      <c r="P889" s="21">
        <f>IF(ISERROR(VLOOKUP(F889,#REF!,6,0)*K889/1000),0,VLOOKUP(F889,#REF!,6,0)*K889/1000)</f>
        <v>0</v>
      </c>
      <c r="Q889" s="6">
        <f>IF(ISERROR(VLOOKUP(F889,#REF!,3,0)),0,VLOOKUP(F889,#REF!,3,0))</f>
        <v>0</v>
      </c>
      <c r="R889" s="6">
        <f>IF(ISERROR(VLOOKUP(F889,#REF!,4,0)),0,VLOOKUP(F889,#REF!,4,0))</f>
        <v>0</v>
      </c>
      <c r="S889" s="8">
        <f>IF(ISERROR(VLOOKUP(F889,#REF!,4,0)),0,VLOOKUP(F889,#REF!,10,0)/60*K889)</f>
        <v>0</v>
      </c>
      <c r="T889" s="3"/>
      <c r="U889" s="3"/>
      <c r="V889" s="4"/>
    </row>
    <row r="890" spans="1:22" x14ac:dyDescent="0.3">
      <c r="A890" s="5">
        <f t="shared" si="40"/>
        <v>0</v>
      </c>
      <c r="B890" s="6">
        <f t="shared" si="41"/>
        <v>0</v>
      </c>
      <c r="K890" s="18">
        <f t="shared" si="39"/>
        <v>0</v>
      </c>
      <c r="L890" s="21">
        <f>IF(ISERROR(VLOOKUP($F890,#REF!,6,0)*G890/1000),0,VLOOKUP($F890,#REF!,6,0)*G890/1000)</f>
        <v>0</v>
      </c>
      <c r="M890" s="21">
        <f>IF(ISERROR(VLOOKUP($F890,#REF!,6,0)*H890/1000),0,VLOOKUP($F890,#REF!,6,0)*H890/1000)</f>
        <v>0</v>
      </c>
      <c r="N890" s="21">
        <f>IF(ISERROR(VLOOKUP($F890,#REF!,6,0)*I890/1000),0,VLOOKUP($F890,#REF!,6,0)*I890/1000)</f>
        <v>0</v>
      </c>
      <c r="O890" s="21">
        <f>IF(ISERROR(VLOOKUP($F890,#REF!,6,0)*J890/1000),0,VLOOKUP($F890,#REF!,6,0)*J890/1000)</f>
        <v>0</v>
      </c>
      <c r="P890" s="21">
        <f>IF(ISERROR(VLOOKUP(F890,#REF!,6,0)*K890/1000),0,VLOOKUP(F890,#REF!,6,0)*K890/1000)</f>
        <v>0</v>
      </c>
      <c r="Q890" s="6">
        <f>IF(ISERROR(VLOOKUP(F890,#REF!,3,0)),0,VLOOKUP(F890,#REF!,3,0))</f>
        <v>0</v>
      </c>
      <c r="R890" s="6">
        <f>IF(ISERROR(VLOOKUP(F890,#REF!,4,0)),0,VLOOKUP(F890,#REF!,4,0))</f>
        <v>0</v>
      </c>
      <c r="S890" s="8">
        <f>IF(ISERROR(VLOOKUP(F890,#REF!,4,0)),0,VLOOKUP(F890,#REF!,10,0)/60*K890)</f>
        <v>0</v>
      </c>
      <c r="T890" s="3"/>
      <c r="U890" s="3"/>
      <c r="V890" s="4"/>
    </row>
    <row r="891" spans="1:22" x14ac:dyDescent="0.3">
      <c r="A891" s="5">
        <f t="shared" si="40"/>
        <v>0</v>
      </c>
      <c r="B891" s="6">
        <f t="shared" si="41"/>
        <v>0</v>
      </c>
      <c r="K891" s="18">
        <f t="shared" si="39"/>
        <v>0</v>
      </c>
      <c r="L891" s="21">
        <f>IF(ISERROR(VLOOKUP($F891,#REF!,6,0)*G891/1000),0,VLOOKUP($F891,#REF!,6,0)*G891/1000)</f>
        <v>0</v>
      </c>
      <c r="M891" s="21">
        <f>IF(ISERROR(VLOOKUP($F891,#REF!,6,0)*H891/1000),0,VLOOKUP($F891,#REF!,6,0)*H891/1000)</f>
        <v>0</v>
      </c>
      <c r="N891" s="21">
        <f>IF(ISERROR(VLOOKUP($F891,#REF!,6,0)*I891/1000),0,VLOOKUP($F891,#REF!,6,0)*I891/1000)</f>
        <v>0</v>
      </c>
      <c r="O891" s="21">
        <f>IF(ISERROR(VLOOKUP($F891,#REF!,6,0)*J891/1000),0,VLOOKUP($F891,#REF!,6,0)*J891/1000)</f>
        <v>0</v>
      </c>
      <c r="P891" s="21">
        <f>IF(ISERROR(VLOOKUP(F891,#REF!,6,0)*K891/1000),0,VLOOKUP(F891,#REF!,6,0)*K891/1000)</f>
        <v>0</v>
      </c>
      <c r="Q891" s="6">
        <f>IF(ISERROR(VLOOKUP(F891,#REF!,3,0)),0,VLOOKUP(F891,#REF!,3,0))</f>
        <v>0</v>
      </c>
      <c r="R891" s="6">
        <f>IF(ISERROR(VLOOKUP(F891,#REF!,4,0)),0,VLOOKUP(F891,#REF!,4,0))</f>
        <v>0</v>
      </c>
      <c r="S891" s="8">
        <f>IF(ISERROR(VLOOKUP(F891,#REF!,4,0)),0,VLOOKUP(F891,#REF!,10,0)/60*K891)</f>
        <v>0</v>
      </c>
      <c r="T891" s="3"/>
      <c r="U891" s="3"/>
      <c r="V891" s="4"/>
    </row>
    <row r="892" spans="1:22" x14ac:dyDescent="0.3">
      <c r="A892" s="5">
        <f t="shared" si="40"/>
        <v>0</v>
      </c>
      <c r="B892" s="6">
        <f t="shared" si="41"/>
        <v>0</v>
      </c>
      <c r="K892" s="18">
        <f t="shared" si="39"/>
        <v>0</v>
      </c>
      <c r="L892" s="21">
        <f>IF(ISERROR(VLOOKUP($F892,#REF!,6,0)*G892/1000),0,VLOOKUP($F892,#REF!,6,0)*G892/1000)</f>
        <v>0</v>
      </c>
      <c r="M892" s="21">
        <f>IF(ISERROR(VLOOKUP($F892,#REF!,6,0)*H892/1000),0,VLOOKUP($F892,#REF!,6,0)*H892/1000)</f>
        <v>0</v>
      </c>
      <c r="N892" s="21">
        <f>IF(ISERROR(VLOOKUP($F892,#REF!,6,0)*I892/1000),0,VLOOKUP($F892,#REF!,6,0)*I892/1000)</f>
        <v>0</v>
      </c>
      <c r="O892" s="21">
        <f>IF(ISERROR(VLOOKUP($F892,#REF!,6,0)*J892/1000),0,VLOOKUP($F892,#REF!,6,0)*J892/1000)</f>
        <v>0</v>
      </c>
      <c r="P892" s="21">
        <f>IF(ISERROR(VLOOKUP(F892,#REF!,6,0)*K892/1000),0,VLOOKUP(F892,#REF!,6,0)*K892/1000)</f>
        <v>0</v>
      </c>
      <c r="Q892" s="6">
        <f>IF(ISERROR(VLOOKUP(F892,#REF!,3,0)),0,VLOOKUP(F892,#REF!,3,0))</f>
        <v>0</v>
      </c>
      <c r="R892" s="6">
        <f>IF(ISERROR(VLOOKUP(F892,#REF!,4,0)),0,VLOOKUP(F892,#REF!,4,0))</f>
        <v>0</v>
      </c>
      <c r="S892" s="8">
        <f>IF(ISERROR(VLOOKUP(F892,#REF!,4,0)),0,VLOOKUP(F892,#REF!,10,0)/60*K892)</f>
        <v>0</v>
      </c>
      <c r="T892" s="3"/>
      <c r="U892" s="3"/>
      <c r="V892" s="4"/>
    </row>
    <row r="893" spans="1:22" x14ac:dyDescent="0.3">
      <c r="A893" s="5">
        <f t="shared" si="40"/>
        <v>0</v>
      </c>
      <c r="B893" s="6">
        <f t="shared" si="41"/>
        <v>0</v>
      </c>
      <c r="K893" s="18">
        <f t="shared" si="39"/>
        <v>0</v>
      </c>
      <c r="L893" s="21">
        <f>IF(ISERROR(VLOOKUP($F893,#REF!,6,0)*G893/1000),0,VLOOKUP($F893,#REF!,6,0)*G893/1000)</f>
        <v>0</v>
      </c>
      <c r="M893" s="21">
        <f>IF(ISERROR(VLOOKUP($F893,#REF!,6,0)*H893/1000),0,VLOOKUP($F893,#REF!,6,0)*H893/1000)</f>
        <v>0</v>
      </c>
      <c r="N893" s="21">
        <f>IF(ISERROR(VLOOKUP($F893,#REF!,6,0)*I893/1000),0,VLOOKUP($F893,#REF!,6,0)*I893/1000)</f>
        <v>0</v>
      </c>
      <c r="O893" s="21">
        <f>IF(ISERROR(VLOOKUP($F893,#REF!,6,0)*J893/1000),0,VLOOKUP($F893,#REF!,6,0)*J893/1000)</f>
        <v>0</v>
      </c>
      <c r="P893" s="21">
        <f>IF(ISERROR(VLOOKUP(F893,#REF!,6,0)*K893/1000),0,VLOOKUP(F893,#REF!,6,0)*K893/1000)</f>
        <v>0</v>
      </c>
      <c r="Q893" s="6">
        <f>IF(ISERROR(VLOOKUP(F893,#REF!,3,0)),0,VLOOKUP(F893,#REF!,3,0))</f>
        <v>0</v>
      </c>
      <c r="R893" s="6">
        <f>IF(ISERROR(VLOOKUP(F893,#REF!,4,0)),0,VLOOKUP(F893,#REF!,4,0))</f>
        <v>0</v>
      </c>
      <c r="S893" s="8">
        <f>IF(ISERROR(VLOOKUP(F893,#REF!,4,0)),0,VLOOKUP(F893,#REF!,10,0)/60*K893)</f>
        <v>0</v>
      </c>
      <c r="T893" s="3"/>
      <c r="U893" s="3"/>
      <c r="V893" s="4"/>
    </row>
    <row r="894" spans="1:22" x14ac:dyDescent="0.3">
      <c r="A894" s="5">
        <f t="shared" si="40"/>
        <v>0</v>
      </c>
      <c r="B894" s="6">
        <f t="shared" si="41"/>
        <v>0</v>
      </c>
      <c r="K894" s="18">
        <f t="shared" si="39"/>
        <v>0</v>
      </c>
      <c r="L894" s="21">
        <f>IF(ISERROR(VLOOKUP($F894,#REF!,6,0)*G894/1000),0,VLOOKUP($F894,#REF!,6,0)*G894/1000)</f>
        <v>0</v>
      </c>
      <c r="M894" s="21">
        <f>IF(ISERROR(VLOOKUP($F894,#REF!,6,0)*H894/1000),0,VLOOKUP($F894,#REF!,6,0)*H894/1000)</f>
        <v>0</v>
      </c>
      <c r="N894" s="21">
        <f>IF(ISERROR(VLOOKUP($F894,#REF!,6,0)*I894/1000),0,VLOOKUP($F894,#REF!,6,0)*I894/1000)</f>
        <v>0</v>
      </c>
      <c r="O894" s="21">
        <f>IF(ISERROR(VLOOKUP($F894,#REF!,6,0)*J894/1000),0,VLOOKUP($F894,#REF!,6,0)*J894/1000)</f>
        <v>0</v>
      </c>
      <c r="P894" s="21">
        <f>IF(ISERROR(VLOOKUP(F894,#REF!,6,0)*K894/1000),0,VLOOKUP(F894,#REF!,6,0)*K894/1000)</f>
        <v>0</v>
      </c>
      <c r="Q894" s="6">
        <f>IF(ISERROR(VLOOKUP(F894,#REF!,3,0)),0,VLOOKUP(F894,#REF!,3,0))</f>
        <v>0</v>
      </c>
      <c r="R894" s="6">
        <f>IF(ISERROR(VLOOKUP(F894,#REF!,4,0)),0,VLOOKUP(F894,#REF!,4,0))</f>
        <v>0</v>
      </c>
      <c r="S894" s="8">
        <f>IF(ISERROR(VLOOKUP(F894,#REF!,4,0)),0,VLOOKUP(F894,#REF!,10,0)/60*K894)</f>
        <v>0</v>
      </c>
      <c r="T894" s="3"/>
      <c r="U894" s="3"/>
      <c r="V894" s="4"/>
    </row>
    <row r="895" spans="1:22" x14ac:dyDescent="0.3">
      <c r="A895" s="5">
        <f t="shared" si="40"/>
        <v>0</v>
      </c>
      <c r="B895" s="6">
        <f t="shared" si="41"/>
        <v>0</v>
      </c>
      <c r="K895" s="18">
        <f t="shared" si="39"/>
        <v>0</v>
      </c>
      <c r="L895" s="21">
        <f>IF(ISERROR(VLOOKUP($F895,#REF!,6,0)*G895/1000),0,VLOOKUP($F895,#REF!,6,0)*G895/1000)</f>
        <v>0</v>
      </c>
      <c r="M895" s="21">
        <f>IF(ISERROR(VLOOKUP($F895,#REF!,6,0)*H895/1000),0,VLOOKUP($F895,#REF!,6,0)*H895/1000)</f>
        <v>0</v>
      </c>
      <c r="N895" s="21">
        <f>IF(ISERROR(VLOOKUP($F895,#REF!,6,0)*I895/1000),0,VLOOKUP($F895,#REF!,6,0)*I895/1000)</f>
        <v>0</v>
      </c>
      <c r="O895" s="21">
        <f>IF(ISERROR(VLOOKUP($F895,#REF!,6,0)*J895/1000),0,VLOOKUP($F895,#REF!,6,0)*J895/1000)</f>
        <v>0</v>
      </c>
      <c r="P895" s="21">
        <f>IF(ISERROR(VLOOKUP(F895,#REF!,6,0)*K895/1000),0,VLOOKUP(F895,#REF!,6,0)*K895/1000)</f>
        <v>0</v>
      </c>
      <c r="Q895" s="6">
        <f>IF(ISERROR(VLOOKUP(F895,#REF!,3,0)),0,VLOOKUP(F895,#REF!,3,0))</f>
        <v>0</v>
      </c>
      <c r="R895" s="6">
        <f>IF(ISERROR(VLOOKUP(F895,#REF!,4,0)),0,VLOOKUP(F895,#REF!,4,0))</f>
        <v>0</v>
      </c>
      <c r="S895" s="8">
        <f>IF(ISERROR(VLOOKUP(F895,#REF!,4,0)),0,VLOOKUP(F895,#REF!,10,0)/60*K895)</f>
        <v>0</v>
      </c>
      <c r="T895" s="3"/>
      <c r="U895" s="3"/>
      <c r="V895" s="4"/>
    </row>
    <row r="896" spans="1:22" x14ac:dyDescent="0.3">
      <c r="A896" s="5">
        <f t="shared" si="40"/>
        <v>0</v>
      </c>
      <c r="B896" s="6">
        <f t="shared" si="41"/>
        <v>0</v>
      </c>
      <c r="K896" s="18">
        <f t="shared" si="39"/>
        <v>0</v>
      </c>
      <c r="L896" s="21">
        <f>IF(ISERROR(VLOOKUP($F896,#REF!,6,0)*G896/1000),0,VLOOKUP($F896,#REF!,6,0)*G896/1000)</f>
        <v>0</v>
      </c>
      <c r="M896" s="21">
        <f>IF(ISERROR(VLOOKUP($F896,#REF!,6,0)*H896/1000),0,VLOOKUP($F896,#REF!,6,0)*H896/1000)</f>
        <v>0</v>
      </c>
      <c r="N896" s="21">
        <f>IF(ISERROR(VLOOKUP($F896,#REF!,6,0)*I896/1000),0,VLOOKUP($F896,#REF!,6,0)*I896/1000)</f>
        <v>0</v>
      </c>
      <c r="O896" s="21">
        <f>IF(ISERROR(VLOOKUP($F896,#REF!,6,0)*J896/1000),0,VLOOKUP($F896,#REF!,6,0)*J896/1000)</f>
        <v>0</v>
      </c>
      <c r="P896" s="21">
        <f>IF(ISERROR(VLOOKUP(F896,#REF!,6,0)*K896/1000),0,VLOOKUP(F896,#REF!,6,0)*K896/1000)</f>
        <v>0</v>
      </c>
      <c r="Q896" s="6">
        <f>IF(ISERROR(VLOOKUP(F896,#REF!,3,0)),0,VLOOKUP(F896,#REF!,3,0))</f>
        <v>0</v>
      </c>
      <c r="R896" s="6">
        <f>IF(ISERROR(VLOOKUP(F896,#REF!,4,0)),0,VLOOKUP(F896,#REF!,4,0))</f>
        <v>0</v>
      </c>
      <c r="S896" s="8">
        <f>IF(ISERROR(VLOOKUP(F896,#REF!,4,0)),0,VLOOKUP(F896,#REF!,10,0)/60*K896)</f>
        <v>0</v>
      </c>
      <c r="T896" s="3"/>
      <c r="U896" s="3"/>
      <c r="V896" s="4"/>
    </row>
    <row r="897" spans="1:22" x14ac:dyDescent="0.3">
      <c r="A897" s="5">
        <f t="shared" si="40"/>
        <v>0</v>
      </c>
      <c r="B897" s="6">
        <f t="shared" si="41"/>
        <v>0</v>
      </c>
      <c r="K897" s="18">
        <f t="shared" si="39"/>
        <v>0</v>
      </c>
      <c r="L897" s="21">
        <f>IF(ISERROR(VLOOKUP($F897,#REF!,6,0)*G897/1000),0,VLOOKUP($F897,#REF!,6,0)*G897/1000)</f>
        <v>0</v>
      </c>
      <c r="M897" s="21">
        <f>IF(ISERROR(VLOOKUP($F897,#REF!,6,0)*H897/1000),0,VLOOKUP($F897,#REF!,6,0)*H897/1000)</f>
        <v>0</v>
      </c>
      <c r="N897" s="21">
        <f>IF(ISERROR(VLOOKUP($F897,#REF!,6,0)*I897/1000),0,VLOOKUP($F897,#REF!,6,0)*I897/1000)</f>
        <v>0</v>
      </c>
      <c r="O897" s="21">
        <f>IF(ISERROR(VLOOKUP($F897,#REF!,6,0)*J897/1000),0,VLOOKUP($F897,#REF!,6,0)*J897/1000)</f>
        <v>0</v>
      </c>
      <c r="P897" s="21">
        <f>IF(ISERROR(VLOOKUP(F897,#REF!,6,0)*K897/1000),0,VLOOKUP(F897,#REF!,6,0)*K897/1000)</f>
        <v>0</v>
      </c>
      <c r="Q897" s="6">
        <f>IF(ISERROR(VLOOKUP(F897,#REF!,3,0)),0,VLOOKUP(F897,#REF!,3,0))</f>
        <v>0</v>
      </c>
      <c r="R897" s="6">
        <f>IF(ISERROR(VLOOKUP(F897,#REF!,4,0)),0,VLOOKUP(F897,#REF!,4,0))</f>
        <v>0</v>
      </c>
      <c r="S897" s="8">
        <f>IF(ISERROR(VLOOKUP(F897,#REF!,4,0)),0,VLOOKUP(F897,#REF!,10,0)/60*K897)</f>
        <v>0</v>
      </c>
      <c r="T897" s="3"/>
      <c r="U897" s="3"/>
      <c r="V897" s="4"/>
    </row>
    <row r="898" spans="1:22" x14ac:dyDescent="0.3">
      <c r="A898" s="5">
        <f t="shared" si="40"/>
        <v>0</v>
      </c>
      <c r="B898" s="6">
        <f t="shared" si="41"/>
        <v>0</v>
      </c>
      <c r="K898" s="18">
        <f t="shared" si="39"/>
        <v>0</v>
      </c>
      <c r="L898" s="21">
        <f>IF(ISERROR(VLOOKUP($F898,#REF!,6,0)*G898/1000),0,VLOOKUP($F898,#REF!,6,0)*G898/1000)</f>
        <v>0</v>
      </c>
      <c r="M898" s="21">
        <f>IF(ISERROR(VLOOKUP($F898,#REF!,6,0)*H898/1000),0,VLOOKUP($F898,#REF!,6,0)*H898/1000)</f>
        <v>0</v>
      </c>
      <c r="N898" s="21">
        <f>IF(ISERROR(VLOOKUP($F898,#REF!,6,0)*I898/1000),0,VLOOKUP($F898,#REF!,6,0)*I898/1000)</f>
        <v>0</v>
      </c>
      <c r="O898" s="21">
        <f>IF(ISERROR(VLOOKUP($F898,#REF!,6,0)*J898/1000),0,VLOOKUP($F898,#REF!,6,0)*J898/1000)</f>
        <v>0</v>
      </c>
      <c r="P898" s="21">
        <f>IF(ISERROR(VLOOKUP(F898,#REF!,6,0)*K898/1000),0,VLOOKUP(F898,#REF!,6,0)*K898/1000)</f>
        <v>0</v>
      </c>
      <c r="Q898" s="6">
        <f>IF(ISERROR(VLOOKUP(F898,#REF!,3,0)),0,VLOOKUP(F898,#REF!,3,0))</f>
        <v>0</v>
      </c>
      <c r="R898" s="6">
        <f>IF(ISERROR(VLOOKUP(F898,#REF!,4,0)),0,VLOOKUP(F898,#REF!,4,0))</f>
        <v>0</v>
      </c>
      <c r="S898" s="8">
        <f>IF(ISERROR(VLOOKUP(F898,#REF!,4,0)),0,VLOOKUP(F898,#REF!,10,0)/60*K898)</f>
        <v>0</v>
      </c>
      <c r="T898" s="3"/>
      <c r="U898" s="3"/>
      <c r="V898" s="4"/>
    </row>
    <row r="899" spans="1:22" x14ac:dyDescent="0.3">
      <c r="A899" s="5">
        <f t="shared" si="40"/>
        <v>0</v>
      </c>
      <c r="B899" s="6">
        <f t="shared" si="41"/>
        <v>0</v>
      </c>
      <c r="K899" s="18">
        <f t="shared" si="39"/>
        <v>0</v>
      </c>
      <c r="L899" s="21">
        <f>IF(ISERROR(VLOOKUP($F899,#REF!,6,0)*G899/1000),0,VLOOKUP($F899,#REF!,6,0)*G899/1000)</f>
        <v>0</v>
      </c>
      <c r="M899" s="21">
        <f>IF(ISERROR(VLOOKUP($F899,#REF!,6,0)*H899/1000),0,VLOOKUP($F899,#REF!,6,0)*H899/1000)</f>
        <v>0</v>
      </c>
      <c r="N899" s="21">
        <f>IF(ISERROR(VLOOKUP($F899,#REF!,6,0)*I899/1000),0,VLOOKUP($F899,#REF!,6,0)*I899/1000)</f>
        <v>0</v>
      </c>
      <c r="O899" s="21">
        <f>IF(ISERROR(VLOOKUP($F899,#REF!,6,0)*J899/1000),0,VLOOKUP($F899,#REF!,6,0)*J899/1000)</f>
        <v>0</v>
      </c>
      <c r="P899" s="21">
        <f>IF(ISERROR(VLOOKUP(F899,#REF!,6,0)*K899/1000),0,VLOOKUP(F899,#REF!,6,0)*K899/1000)</f>
        <v>0</v>
      </c>
      <c r="Q899" s="6">
        <f>IF(ISERROR(VLOOKUP(F899,#REF!,3,0)),0,VLOOKUP(F899,#REF!,3,0))</f>
        <v>0</v>
      </c>
      <c r="R899" s="6">
        <f>IF(ISERROR(VLOOKUP(F899,#REF!,4,0)),0,VLOOKUP(F899,#REF!,4,0))</f>
        <v>0</v>
      </c>
      <c r="S899" s="8">
        <f>IF(ISERROR(VLOOKUP(F899,#REF!,4,0)),0,VLOOKUP(F899,#REF!,10,0)/60*K899)</f>
        <v>0</v>
      </c>
      <c r="T899" s="3"/>
      <c r="U899" s="3"/>
      <c r="V899" s="4"/>
    </row>
    <row r="900" spans="1:22" x14ac:dyDescent="0.3">
      <c r="A900" s="5">
        <f t="shared" si="40"/>
        <v>0</v>
      </c>
      <c r="B900" s="6">
        <f t="shared" si="41"/>
        <v>0</v>
      </c>
      <c r="K900" s="18">
        <f t="shared" ref="K900:K963" si="42">SUM(G900:J900)</f>
        <v>0</v>
      </c>
      <c r="L900" s="21">
        <f>IF(ISERROR(VLOOKUP($F900,#REF!,6,0)*G900/1000),0,VLOOKUP($F900,#REF!,6,0)*G900/1000)</f>
        <v>0</v>
      </c>
      <c r="M900" s="21">
        <f>IF(ISERROR(VLOOKUP($F900,#REF!,6,0)*H900/1000),0,VLOOKUP($F900,#REF!,6,0)*H900/1000)</f>
        <v>0</v>
      </c>
      <c r="N900" s="21">
        <f>IF(ISERROR(VLOOKUP($F900,#REF!,6,0)*I900/1000),0,VLOOKUP($F900,#REF!,6,0)*I900/1000)</f>
        <v>0</v>
      </c>
      <c r="O900" s="21">
        <f>IF(ISERROR(VLOOKUP($F900,#REF!,6,0)*J900/1000),0,VLOOKUP($F900,#REF!,6,0)*J900/1000)</f>
        <v>0</v>
      </c>
      <c r="P900" s="21">
        <f>IF(ISERROR(VLOOKUP(F900,#REF!,6,0)*K900/1000),0,VLOOKUP(F900,#REF!,6,0)*K900/1000)</f>
        <v>0</v>
      </c>
      <c r="Q900" s="6">
        <f>IF(ISERROR(VLOOKUP(F900,#REF!,3,0)),0,VLOOKUP(F900,#REF!,3,0))</f>
        <v>0</v>
      </c>
      <c r="R900" s="6">
        <f>IF(ISERROR(VLOOKUP(F900,#REF!,4,0)),0,VLOOKUP(F900,#REF!,4,0))</f>
        <v>0</v>
      </c>
      <c r="S900" s="8">
        <f>IF(ISERROR(VLOOKUP(F900,#REF!,4,0)),0,VLOOKUP(F900,#REF!,10,0)/60*K900)</f>
        <v>0</v>
      </c>
      <c r="T900" s="3"/>
      <c r="U900" s="3"/>
      <c r="V900" s="4"/>
    </row>
    <row r="901" spans="1:22" x14ac:dyDescent="0.3">
      <c r="A901" s="5">
        <f t="shared" ref="A901:A964" si="43">IF(C901=0,0,YEAR(C901))</f>
        <v>0</v>
      </c>
      <c r="B901" s="6">
        <f t="shared" ref="B901:B964" si="44">IF(C901&gt;0,VLOOKUP(MONTH($C901),$AJ$3:$AK$14,2,0),0)</f>
        <v>0</v>
      </c>
      <c r="K901" s="18">
        <f t="shared" si="42"/>
        <v>0</v>
      </c>
      <c r="L901" s="21">
        <f>IF(ISERROR(VLOOKUP($F901,#REF!,6,0)*G901/1000),0,VLOOKUP($F901,#REF!,6,0)*G901/1000)</f>
        <v>0</v>
      </c>
      <c r="M901" s="21">
        <f>IF(ISERROR(VLOOKUP($F901,#REF!,6,0)*H901/1000),0,VLOOKUP($F901,#REF!,6,0)*H901/1000)</f>
        <v>0</v>
      </c>
      <c r="N901" s="21">
        <f>IF(ISERROR(VLOOKUP($F901,#REF!,6,0)*I901/1000),0,VLOOKUP($F901,#REF!,6,0)*I901/1000)</f>
        <v>0</v>
      </c>
      <c r="O901" s="21">
        <f>IF(ISERROR(VLOOKUP($F901,#REF!,6,0)*J901/1000),0,VLOOKUP($F901,#REF!,6,0)*J901/1000)</f>
        <v>0</v>
      </c>
      <c r="P901" s="21">
        <f>IF(ISERROR(VLOOKUP(F901,#REF!,6,0)*K901/1000),0,VLOOKUP(F901,#REF!,6,0)*K901/1000)</f>
        <v>0</v>
      </c>
      <c r="Q901" s="6">
        <f>IF(ISERROR(VLOOKUP(F901,#REF!,3,0)),0,VLOOKUP(F901,#REF!,3,0))</f>
        <v>0</v>
      </c>
      <c r="R901" s="6">
        <f>IF(ISERROR(VLOOKUP(F901,#REF!,4,0)),0,VLOOKUP(F901,#REF!,4,0))</f>
        <v>0</v>
      </c>
      <c r="S901" s="8">
        <f>IF(ISERROR(VLOOKUP(F901,#REF!,4,0)),0,VLOOKUP(F901,#REF!,10,0)/60*K901)</f>
        <v>0</v>
      </c>
      <c r="T901" s="3"/>
      <c r="U901" s="3"/>
      <c r="V901" s="4"/>
    </row>
    <row r="902" spans="1:22" x14ac:dyDescent="0.3">
      <c r="A902" s="5">
        <f t="shared" si="43"/>
        <v>0</v>
      </c>
      <c r="B902" s="6">
        <f t="shared" si="44"/>
        <v>0</v>
      </c>
      <c r="K902" s="18">
        <f t="shared" si="42"/>
        <v>0</v>
      </c>
      <c r="L902" s="21">
        <f>IF(ISERROR(VLOOKUP($F902,#REF!,6,0)*G902/1000),0,VLOOKUP($F902,#REF!,6,0)*G902/1000)</f>
        <v>0</v>
      </c>
      <c r="M902" s="21">
        <f>IF(ISERROR(VLOOKUP($F902,#REF!,6,0)*H902/1000),0,VLOOKUP($F902,#REF!,6,0)*H902/1000)</f>
        <v>0</v>
      </c>
      <c r="N902" s="21">
        <f>IF(ISERROR(VLOOKUP($F902,#REF!,6,0)*I902/1000),0,VLOOKUP($F902,#REF!,6,0)*I902/1000)</f>
        <v>0</v>
      </c>
      <c r="O902" s="21">
        <f>IF(ISERROR(VLOOKUP($F902,#REF!,6,0)*J902/1000),0,VLOOKUP($F902,#REF!,6,0)*J902/1000)</f>
        <v>0</v>
      </c>
      <c r="P902" s="21">
        <f>IF(ISERROR(VLOOKUP(F902,#REF!,6,0)*K902/1000),0,VLOOKUP(F902,#REF!,6,0)*K902/1000)</f>
        <v>0</v>
      </c>
      <c r="Q902" s="6">
        <f>IF(ISERROR(VLOOKUP(F902,#REF!,3,0)),0,VLOOKUP(F902,#REF!,3,0))</f>
        <v>0</v>
      </c>
      <c r="R902" s="6">
        <f>IF(ISERROR(VLOOKUP(F902,#REF!,4,0)),0,VLOOKUP(F902,#REF!,4,0))</f>
        <v>0</v>
      </c>
      <c r="S902" s="8">
        <f>IF(ISERROR(VLOOKUP(F902,#REF!,4,0)),0,VLOOKUP(F902,#REF!,10,0)/60*K902)</f>
        <v>0</v>
      </c>
      <c r="T902" s="3"/>
      <c r="U902" s="3"/>
      <c r="V902" s="4"/>
    </row>
    <row r="903" spans="1:22" x14ac:dyDescent="0.3">
      <c r="A903" s="5">
        <f t="shared" si="43"/>
        <v>0</v>
      </c>
      <c r="B903" s="6">
        <f t="shared" si="44"/>
        <v>0</v>
      </c>
      <c r="K903" s="18">
        <f t="shared" si="42"/>
        <v>0</v>
      </c>
      <c r="L903" s="21">
        <f>IF(ISERROR(VLOOKUP($F903,#REF!,6,0)*G903/1000),0,VLOOKUP($F903,#REF!,6,0)*G903/1000)</f>
        <v>0</v>
      </c>
      <c r="M903" s="21">
        <f>IF(ISERROR(VLOOKUP($F903,#REF!,6,0)*H903/1000),0,VLOOKUP($F903,#REF!,6,0)*H903/1000)</f>
        <v>0</v>
      </c>
      <c r="N903" s="21">
        <f>IF(ISERROR(VLOOKUP($F903,#REF!,6,0)*I903/1000),0,VLOOKUP($F903,#REF!,6,0)*I903/1000)</f>
        <v>0</v>
      </c>
      <c r="O903" s="21">
        <f>IF(ISERROR(VLOOKUP($F903,#REF!,6,0)*J903/1000),0,VLOOKUP($F903,#REF!,6,0)*J903/1000)</f>
        <v>0</v>
      </c>
      <c r="P903" s="21">
        <f>IF(ISERROR(VLOOKUP(F903,#REF!,6,0)*K903/1000),0,VLOOKUP(F903,#REF!,6,0)*K903/1000)</f>
        <v>0</v>
      </c>
      <c r="Q903" s="6">
        <f>IF(ISERROR(VLOOKUP(F903,#REF!,3,0)),0,VLOOKUP(F903,#REF!,3,0))</f>
        <v>0</v>
      </c>
      <c r="R903" s="6">
        <f>IF(ISERROR(VLOOKUP(F903,#REF!,4,0)),0,VLOOKUP(F903,#REF!,4,0))</f>
        <v>0</v>
      </c>
      <c r="S903" s="8">
        <f>IF(ISERROR(VLOOKUP(F903,#REF!,4,0)),0,VLOOKUP(F903,#REF!,10,0)/60*K903)</f>
        <v>0</v>
      </c>
      <c r="T903" s="3"/>
      <c r="U903" s="3"/>
      <c r="V903" s="4"/>
    </row>
    <row r="904" spans="1:22" x14ac:dyDescent="0.3">
      <c r="A904" s="5">
        <f t="shared" si="43"/>
        <v>0</v>
      </c>
      <c r="B904" s="6">
        <f t="shared" si="44"/>
        <v>0</v>
      </c>
      <c r="K904" s="18">
        <f t="shared" si="42"/>
        <v>0</v>
      </c>
      <c r="L904" s="21">
        <f>IF(ISERROR(VLOOKUP($F904,#REF!,6,0)*G904/1000),0,VLOOKUP($F904,#REF!,6,0)*G904/1000)</f>
        <v>0</v>
      </c>
      <c r="M904" s="21">
        <f>IF(ISERROR(VLOOKUP($F904,#REF!,6,0)*H904/1000),0,VLOOKUP($F904,#REF!,6,0)*H904/1000)</f>
        <v>0</v>
      </c>
      <c r="N904" s="21">
        <f>IF(ISERROR(VLOOKUP($F904,#REF!,6,0)*I904/1000),0,VLOOKUP($F904,#REF!,6,0)*I904/1000)</f>
        <v>0</v>
      </c>
      <c r="O904" s="21">
        <f>IF(ISERROR(VLOOKUP($F904,#REF!,6,0)*J904/1000),0,VLOOKUP($F904,#REF!,6,0)*J904/1000)</f>
        <v>0</v>
      </c>
      <c r="P904" s="21">
        <f>IF(ISERROR(VLOOKUP(F904,#REF!,6,0)*K904/1000),0,VLOOKUP(F904,#REF!,6,0)*K904/1000)</f>
        <v>0</v>
      </c>
      <c r="Q904" s="6">
        <f>IF(ISERROR(VLOOKUP(F904,#REF!,3,0)),0,VLOOKUP(F904,#REF!,3,0))</f>
        <v>0</v>
      </c>
      <c r="R904" s="6">
        <f>IF(ISERROR(VLOOKUP(F904,#REF!,4,0)),0,VLOOKUP(F904,#REF!,4,0))</f>
        <v>0</v>
      </c>
      <c r="S904" s="8">
        <f>IF(ISERROR(VLOOKUP(F904,#REF!,4,0)),0,VLOOKUP(F904,#REF!,10,0)/60*K904)</f>
        <v>0</v>
      </c>
      <c r="T904" s="3"/>
      <c r="U904" s="3"/>
      <c r="V904" s="4"/>
    </row>
    <row r="905" spans="1:22" x14ac:dyDescent="0.3">
      <c r="A905" s="5">
        <f t="shared" si="43"/>
        <v>0</v>
      </c>
      <c r="B905" s="6">
        <f t="shared" si="44"/>
        <v>0</v>
      </c>
      <c r="K905" s="18">
        <f t="shared" si="42"/>
        <v>0</v>
      </c>
      <c r="L905" s="21">
        <f>IF(ISERROR(VLOOKUP($F905,#REF!,6,0)*G905/1000),0,VLOOKUP($F905,#REF!,6,0)*G905/1000)</f>
        <v>0</v>
      </c>
      <c r="M905" s="21">
        <f>IF(ISERROR(VLOOKUP($F905,#REF!,6,0)*H905/1000),0,VLOOKUP($F905,#REF!,6,0)*H905/1000)</f>
        <v>0</v>
      </c>
      <c r="N905" s="21">
        <f>IF(ISERROR(VLOOKUP($F905,#REF!,6,0)*I905/1000),0,VLOOKUP($F905,#REF!,6,0)*I905/1000)</f>
        <v>0</v>
      </c>
      <c r="O905" s="21">
        <f>IF(ISERROR(VLOOKUP($F905,#REF!,6,0)*J905/1000),0,VLOOKUP($F905,#REF!,6,0)*J905/1000)</f>
        <v>0</v>
      </c>
      <c r="P905" s="21">
        <f>IF(ISERROR(VLOOKUP(F905,#REF!,6,0)*K905/1000),0,VLOOKUP(F905,#REF!,6,0)*K905/1000)</f>
        <v>0</v>
      </c>
      <c r="Q905" s="6">
        <f>IF(ISERROR(VLOOKUP(F905,#REF!,3,0)),0,VLOOKUP(F905,#REF!,3,0))</f>
        <v>0</v>
      </c>
      <c r="R905" s="6">
        <f>IF(ISERROR(VLOOKUP(F905,#REF!,4,0)),0,VLOOKUP(F905,#REF!,4,0))</f>
        <v>0</v>
      </c>
      <c r="S905" s="8">
        <f>IF(ISERROR(VLOOKUP(F905,#REF!,4,0)),0,VLOOKUP(F905,#REF!,10,0)/60*K905)</f>
        <v>0</v>
      </c>
      <c r="T905" s="3"/>
      <c r="U905" s="3"/>
      <c r="V905" s="4"/>
    </row>
    <row r="906" spans="1:22" x14ac:dyDescent="0.3">
      <c r="A906" s="5">
        <f t="shared" si="43"/>
        <v>0</v>
      </c>
      <c r="B906" s="6">
        <f t="shared" si="44"/>
        <v>0</v>
      </c>
      <c r="K906" s="18">
        <f t="shared" si="42"/>
        <v>0</v>
      </c>
      <c r="L906" s="21">
        <f>IF(ISERROR(VLOOKUP($F906,#REF!,6,0)*G906/1000),0,VLOOKUP($F906,#REF!,6,0)*G906/1000)</f>
        <v>0</v>
      </c>
      <c r="M906" s="21">
        <f>IF(ISERROR(VLOOKUP($F906,#REF!,6,0)*H906/1000),0,VLOOKUP($F906,#REF!,6,0)*H906/1000)</f>
        <v>0</v>
      </c>
      <c r="N906" s="21">
        <f>IF(ISERROR(VLOOKUP($F906,#REF!,6,0)*I906/1000),0,VLOOKUP($F906,#REF!,6,0)*I906/1000)</f>
        <v>0</v>
      </c>
      <c r="O906" s="21">
        <f>IF(ISERROR(VLOOKUP($F906,#REF!,6,0)*J906/1000),0,VLOOKUP($F906,#REF!,6,0)*J906/1000)</f>
        <v>0</v>
      </c>
      <c r="P906" s="21">
        <f>IF(ISERROR(VLOOKUP(F906,#REF!,6,0)*K906/1000),0,VLOOKUP(F906,#REF!,6,0)*K906/1000)</f>
        <v>0</v>
      </c>
      <c r="Q906" s="6">
        <f>IF(ISERROR(VLOOKUP(F906,#REF!,3,0)),0,VLOOKUP(F906,#REF!,3,0))</f>
        <v>0</v>
      </c>
      <c r="R906" s="6">
        <f>IF(ISERROR(VLOOKUP(F906,#REF!,4,0)),0,VLOOKUP(F906,#REF!,4,0))</f>
        <v>0</v>
      </c>
      <c r="S906" s="8">
        <f>IF(ISERROR(VLOOKUP(F906,#REF!,4,0)),0,VLOOKUP(F906,#REF!,10,0)/60*K906)</f>
        <v>0</v>
      </c>
      <c r="T906" s="3"/>
      <c r="U906" s="3"/>
      <c r="V906" s="4"/>
    </row>
    <row r="907" spans="1:22" x14ac:dyDescent="0.3">
      <c r="A907" s="5">
        <f t="shared" si="43"/>
        <v>0</v>
      </c>
      <c r="B907" s="6">
        <f t="shared" si="44"/>
        <v>0</v>
      </c>
      <c r="K907" s="18">
        <f t="shared" si="42"/>
        <v>0</v>
      </c>
      <c r="L907" s="21">
        <f>IF(ISERROR(VLOOKUP($F907,#REF!,6,0)*G907/1000),0,VLOOKUP($F907,#REF!,6,0)*G907/1000)</f>
        <v>0</v>
      </c>
      <c r="M907" s="21">
        <f>IF(ISERROR(VLOOKUP($F907,#REF!,6,0)*H907/1000),0,VLOOKUP($F907,#REF!,6,0)*H907/1000)</f>
        <v>0</v>
      </c>
      <c r="N907" s="21">
        <f>IF(ISERROR(VLOOKUP($F907,#REF!,6,0)*I907/1000),0,VLOOKUP($F907,#REF!,6,0)*I907/1000)</f>
        <v>0</v>
      </c>
      <c r="O907" s="21">
        <f>IF(ISERROR(VLOOKUP($F907,#REF!,6,0)*J907/1000),0,VLOOKUP($F907,#REF!,6,0)*J907/1000)</f>
        <v>0</v>
      </c>
      <c r="P907" s="21">
        <f>IF(ISERROR(VLOOKUP(F907,#REF!,6,0)*K907/1000),0,VLOOKUP(F907,#REF!,6,0)*K907/1000)</f>
        <v>0</v>
      </c>
      <c r="Q907" s="6">
        <f>IF(ISERROR(VLOOKUP(F907,#REF!,3,0)),0,VLOOKUP(F907,#REF!,3,0))</f>
        <v>0</v>
      </c>
      <c r="R907" s="6">
        <f>IF(ISERROR(VLOOKUP(F907,#REF!,4,0)),0,VLOOKUP(F907,#REF!,4,0))</f>
        <v>0</v>
      </c>
      <c r="S907" s="8">
        <f>IF(ISERROR(VLOOKUP(F907,#REF!,4,0)),0,VLOOKUP(F907,#REF!,10,0)/60*K907)</f>
        <v>0</v>
      </c>
      <c r="T907" s="3"/>
      <c r="U907" s="3"/>
      <c r="V907" s="4"/>
    </row>
    <row r="908" spans="1:22" x14ac:dyDescent="0.3">
      <c r="A908" s="5">
        <f t="shared" si="43"/>
        <v>0</v>
      </c>
      <c r="B908" s="6">
        <f t="shared" si="44"/>
        <v>0</v>
      </c>
      <c r="K908" s="18">
        <f t="shared" si="42"/>
        <v>0</v>
      </c>
      <c r="L908" s="21">
        <f>IF(ISERROR(VLOOKUP($F908,#REF!,6,0)*G908/1000),0,VLOOKUP($F908,#REF!,6,0)*G908/1000)</f>
        <v>0</v>
      </c>
      <c r="M908" s="21">
        <f>IF(ISERROR(VLOOKUP($F908,#REF!,6,0)*H908/1000),0,VLOOKUP($F908,#REF!,6,0)*H908/1000)</f>
        <v>0</v>
      </c>
      <c r="N908" s="21">
        <f>IF(ISERROR(VLOOKUP($F908,#REF!,6,0)*I908/1000),0,VLOOKUP($F908,#REF!,6,0)*I908/1000)</f>
        <v>0</v>
      </c>
      <c r="O908" s="21">
        <f>IF(ISERROR(VLOOKUP($F908,#REF!,6,0)*J908/1000),0,VLOOKUP($F908,#REF!,6,0)*J908/1000)</f>
        <v>0</v>
      </c>
      <c r="P908" s="21">
        <f>IF(ISERROR(VLOOKUP(F908,#REF!,6,0)*K908/1000),0,VLOOKUP(F908,#REF!,6,0)*K908/1000)</f>
        <v>0</v>
      </c>
      <c r="Q908" s="6">
        <f>IF(ISERROR(VLOOKUP(F908,#REF!,3,0)),0,VLOOKUP(F908,#REF!,3,0))</f>
        <v>0</v>
      </c>
      <c r="R908" s="6">
        <f>IF(ISERROR(VLOOKUP(F908,#REF!,4,0)),0,VLOOKUP(F908,#REF!,4,0))</f>
        <v>0</v>
      </c>
      <c r="S908" s="8">
        <f>IF(ISERROR(VLOOKUP(F908,#REF!,4,0)),0,VLOOKUP(F908,#REF!,10,0)/60*K908)</f>
        <v>0</v>
      </c>
      <c r="T908" s="3"/>
      <c r="U908" s="3"/>
      <c r="V908" s="4"/>
    </row>
    <row r="909" spans="1:22" x14ac:dyDescent="0.3">
      <c r="A909" s="5">
        <f t="shared" si="43"/>
        <v>0</v>
      </c>
      <c r="B909" s="6">
        <f t="shared" si="44"/>
        <v>0</v>
      </c>
      <c r="K909" s="18">
        <f t="shared" si="42"/>
        <v>0</v>
      </c>
      <c r="L909" s="21">
        <f>IF(ISERROR(VLOOKUP($F909,#REF!,6,0)*G909/1000),0,VLOOKUP($F909,#REF!,6,0)*G909/1000)</f>
        <v>0</v>
      </c>
      <c r="M909" s="21">
        <f>IF(ISERROR(VLOOKUP($F909,#REF!,6,0)*H909/1000),0,VLOOKUP($F909,#REF!,6,0)*H909/1000)</f>
        <v>0</v>
      </c>
      <c r="N909" s="21">
        <f>IF(ISERROR(VLOOKUP($F909,#REF!,6,0)*I909/1000),0,VLOOKUP($F909,#REF!,6,0)*I909/1000)</f>
        <v>0</v>
      </c>
      <c r="O909" s="21">
        <f>IF(ISERROR(VLOOKUP($F909,#REF!,6,0)*J909/1000),0,VLOOKUP($F909,#REF!,6,0)*J909/1000)</f>
        <v>0</v>
      </c>
      <c r="P909" s="21">
        <f>IF(ISERROR(VLOOKUP(F909,#REF!,6,0)*K909/1000),0,VLOOKUP(F909,#REF!,6,0)*K909/1000)</f>
        <v>0</v>
      </c>
      <c r="Q909" s="6">
        <f>IF(ISERROR(VLOOKUP(F909,#REF!,3,0)),0,VLOOKUP(F909,#REF!,3,0))</f>
        <v>0</v>
      </c>
      <c r="R909" s="6">
        <f>IF(ISERROR(VLOOKUP(F909,#REF!,4,0)),0,VLOOKUP(F909,#REF!,4,0))</f>
        <v>0</v>
      </c>
      <c r="S909" s="8">
        <f>IF(ISERROR(VLOOKUP(F909,#REF!,4,0)),0,VLOOKUP(F909,#REF!,10,0)/60*K909)</f>
        <v>0</v>
      </c>
      <c r="T909" s="3"/>
      <c r="U909" s="3"/>
      <c r="V909" s="4"/>
    </row>
    <row r="910" spans="1:22" x14ac:dyDescent="0.3">
      <c r="A910" s="5">
        <f t="shared" si="43"/>
        <v>0</v>
      </c>
      <c r="B910" s="6">
        <f t="shared" si="44"/>
        <v>0</v>
      </c>
      <c r="K910" s="18">
        <f t="shared" si="42"/>
        <v>0</v>
      </c>
      <c r="L910" s="21">
        <f>IF(ISERROR(VLOOKUP($F910,#REF!,6,0)*G910/1000),0,VLOOKUP($F910,#REF!,6,0)*G910/1000)</f>
        <v>0</v>
      </c>
      <c r="M910" s="21">
        <f>IF(ISERROR(VLOOKUP($F910,#REF!,6,0)*H910/1000),0,VLOOKUP($F910,#REF!,6,0)*H910/1000)</f>
        <v>0</v>
      </c>
      <c r="N910" s="21">
        <f>IF(ISERROR(VLOOKUP($F910,#REF!,6,0)*I910/1000),0,VLOOKUP($F910,#REF!,6,0)*I910/1000)</f>
        <v>0</v>
      </c>
      <c r="O910" s="21">
        <f>IF(ISERROR(VLOOKUP($F910,#REF!,6,0)*J910/1000),0,VLOOKUP($F910,#REF!,6,0)*J910/1000)</f>
        <v>0</v>
      </c>
      <c r="P910" s="21">
        <f>IF(ISERROR(VLOOKUP(F910,#REF!,6,0)*K910/1000),0,VLOOKUP(F910,#REF!,6,0)*K910/1000)</f>
        <v>0</v>
      </c>
      <c r="Q910" s="6">
        <f>IF(ISERROR(VLOOKUP(F910,#REF!,3,0)),0,VLOOKUP(F910,#REF!,3,0))</f>
        <v>0</v>
      </c>
      <c r="R910" s="6">
        <f>IF(ISERROR(VLOOKUP(F910,#REF!,4,0)),0,VLOOKUP(F910,#REF!,4,0))</f>
        <v>0</v>
      </c>
      <c r="S910" s="8">
        <f>IF(ISERROR(VLOOKUP(F910,#REF!,4,0)),0,VLOOKUP(F910,#REF!,10,0)/60*K910)</f>
        <v>0</v>
      </c>
      <c r="T910" s="3"/>
      <c r="U910" s="3"/>
      <c r="V910" s="4"/>
    </row>
    <row r="911" spans="1:22" x14ac:dyDescent="0.3">
      <c r="A911" s="5">
        <f t="shared" si="43"/>
        <v>0</v>
      </c>
      <c r="B911" s="6">
        <f t="shared" si="44"/>
        <v>0</v>
      </c>
      <c r="K911" s="18">
        <f t="shared" si="42"/>
        <v>0</v>
      </c>
      <c r="L911" s="21">
        <f>IF(ISERROR(VLOOKUP($F911,#REF!,6,0)*G911/1000),0,VLOOKUP($F911,#REF!,6,0)*G911/1000)</f>
        <v>0</v>
      </c>
      <c r="M911" s="21">
        <f>IF(ISERROR(VLOOKUP($F911,#REF!,6,0)*H911/1000),0,VLOOKUP($F911,#REF!,6,0)*H911/1000)</f>
        <v>0</v>
      </c>
      <c r="N911" s="21">
        <f>IF(ISERROR(VLOOKUP($F911,#REF!,6,0)*I911/1000),0,VLOOKUP($F911,#REF!,6,0)*I911/1000)</f>
        <v>0</v>
      </c>
      <c r="O911" s="21">
        <f>IF(ISERROR(VLOOKUP($F911,#REF!,6,0)*J911/1000),0,VLOOKUP($F911,#REF!,6,0)*J911/1000)</f>
        <v>0</v>
      </c>
      <c r="P911" s="21">
        <f>IF(ISERROR(VLOOKUP(F911,#REF!,6,0)*K911/1000),0,VLOOKUP(F911,#REF!,6,0)*K911/1000)</f>
        <v>0</v>
      </c>
      <c r="Q911" s="6">
        <f>IF(ISERROR(VLOOKUP(F911,#REF!,3,0)),0,VLOOKUP(F911,#REF!,3,0))</f>
        <v>0</v>
      </c>
      <c r="R911" s="6">
        <f>IF(ISERROR(VLOOKUP(F911,#REF!,4,0)),0,VLOOKUP(F911,#REF!,4,0))</f>
        <v>0</v>
      </c>
      <c r="S911" s="8">
        <f>IF(ISERROR(VLOOKUP(F911,#REF!,4,0)),0,VLOOKUP(F911,#REF!,10,0)/60*K911)</f>
        <v>0</v>
      </c>
      <c r="T911" s="3"/>
      <c r="U911" s="3"/>
      <c r="V911" s="4"/>
    </row>
    <row r="912" spans="1:22" x14ac:dyDescent="0.3">
      <c r="A912" s="5">
        <f t="shared" si="43"/>
        <v>0</v>
      </c>
      <c r="B912" s="6">
        <f t="shared" si="44"/>
        <v>0</v>
      </c>
      <c r="K912" s="18">
        <f t="shared" si="42"/>
        <v>0</v>
      </c>
      <c r="L912" s="21">
        <f>IF(ISERROR(VLOOKUP($F912,#REF!,6,0)*G912/1000),0,VLOOKUP($F912,#REF!,6,0)*G912/1000)</f>
        <v>0</v>
      </c>
      <c r="M912" s="21">
        <f>IF(ISERROR(VLOOKUP($F912,#REF!,6,0)*H912/1000),0,VLOOKUP($F912,#REF!,6,0)*H912/1000)</f>
        <v>0</v>
      </c>
      <c r="N912" s="21">
        <f>IF(ISERROR(VLOOKUP($F912,#REF!,6,0)*I912/1000),0,VLOOKUP($F912,#REF!,6,0)*I912/1000)</f>
        <v>0</v>
      </c>
      <c r="O912" s="21">
        <f>IF(ISERROR(VLOOKUP($F912,#REF!,6,0)*J912/1000),0,VLOOKUP($F912,#REF!,6,0)*J912/1000)</f>
        <v>0</v>
      </c>
      <c r="P912" s="21">
        <f>IF(ISERROR(VLOOKUP(F912,#REF!,6,0)*K912/1000),0,VLOOKUP(F912,#REF!,6,0)*K912/1000)</f>
        <v>0</v>
      </c>
      <c r="Q912" s="6">
        <f>IF(ISERROR(VLOOKUP(F912,#REF!,3,0)),0,VLOOKUP(F912,#REF!,3,0))</f>
        <v>0</v>
      </c>
      <c r="R912" s="6">
        <f>IF(ISERROR(VLOOKUP(F912,#REF!,4,0)),0,VLOOKUP(F912,#REF!,4,0))</f>
        <v>0</v>
      </c>
      <c r="S912" s="8">
        <f>IF(ISERROR(VLOOKUP(F912,#REF!,4,0)),0,VLOOKUP(F912,#REF!,10,0)/60*K912)</f>
        <v>0</v>
      </c>
      <c r="T912" s="3"/>
      <c r="U912" s="3"/>
      <c r="V912" s="4"/>
    </row>
    <row r="913" spans="1:22" x14ac:dyDescent="0.3">
      <c r="A913" s="5">
        <f t="shared" si="43"/>
        <v>0</v>
      </c>
      <c r="B913" s="6">
        <f t="shared" si="44"/>
        <v>0</v>
      </c>
      <c r="K913" s="18">
        <f t="shared" si="42"/>
        <v>0</v>
      </c>
      <c r="L913" s="21">
        <f>IF(ISERROR(VLOOKUP($F913,#REF!,6,0)*G913/1000),0,VLOOKUP($F913,#REF!,6,0)*G913/1000)</f>
        <v>0</v>
      </c>
      <c r="M913" s="21">
        <f>IF(ISERROR(VLOOKUP($F913,#REF!,6,0)*H913/1000),0,VLOOKUP($F913,#REF!,6,0)*H913/1000)</f>
        <v>0</v>
      </c>
      <c r="N913" s="21">
        <f>IF(ISERROR(VLOOKUP($F913,#REF!,6,0)*I913/1000),0,VLOOKUP($F913,#REF!,6,0)*I913/1000)</f>
        <v>0</v>
      </c>
      <c r="O913" s="21">
        <f>IF(ISERROR(VLOOKUP($F913,#REF!,6,0)*J913/1000),0,VLOOKUP($F913,#REF!,6,0)*J913/1000)</f>
        <v>0</v>
      </c>
      <c r="P913" s="21">
        <f>IF(ISERROR(VLOOKUP(F913,#REF!,6,0)*K913/1000),0,VLOOKUP(F913,#REF!,6,0)*K913/1000)</f>
        <v>0</v>
      </c>
      <c r="Q913" s="6">
        <f>IF(ISERROR(VLOOKUP(F913,#REF!,3,0)),0,VLOOKUP(F913,#REF!,3,0))</f>
        <v>0</v>
      </c>
      <c r="R913" s="6">
        <f>IF(ISERROR(VLOOKUP(F913,#REF!,4,0)),0,VLOOKUP(F913,#REF!,4,0))</f>
        <v>0</v>
      </c>
      <c r="S913" s="8">
        <f>IF(ISERROR(VLOOKUP(F913,#REF!,4,0)),0,VLOOKUP(F913,#REF!,10,0)/60*K913)</f>
        <v>0</v>
      </c>
      <c r="T913" s="3"/>
      <c r="U913" s="3"/>
      <c r="V913" s="4"/>
    </row>
    <row r="914" spans="1:22" x14ac:dyDescent="0.3">
      <c r="A914" s="5">
        <f t="shared" si="43"/>
        <v>0</v>
      </c>
      <c r="B914" s="6">
        <f t="shared" si="44"/>
        <v>0</v>
      </c>
      <c r="K914" s="18">
        <f t="shared" si="42"/>
        <v>0</v>
      </c>
      <c r="L914" s="21">
        <f>IF(ISERROR(VLOOKUP($F914,#REF!,6,0)*G914/1000),0,VLOOKUP($F914,#REF!,6,0)*G914/1000)</f>
        <v>0</v>
      </c>
      <c r="M914" s="21">
        <f>IF(ISERROR(VLOOKUP($F914,#REF!,6,0)*H914/1000),0,VLOOKUP($F914,#REF!,6,0)*H914/1000)</f>
        <v>0</v>
      </c>
      <c r="N914" s="21">
        <f>IF(ISERROR(VLOOKUP($F914,#REF!,6,0)*I914/1000),0,VLOOKUP($F914,#REF!,6,0)*I914/1000)</f>
        <v>0</v>
      </c>
      <c r="O914" s="21">
        <f>IF(ISERROR(VLOOKUP($F914,#REF!,6,0)*J914/1000),0,VLOOKUP($F914,#REF!,6,0)*J914/1000)</f>
        <v>0</v>
      </c>
      <c r="P914" s="21">
        <f>IF(ISERROR(VLOOKUP(F914,#REF!,6,0)*K914/1000),0,VLOOKUP(F914,#REF!,6,0)*K914/1000)</f>
        <v>0</v>
      </c>
      <c r="Q914" s="6">
        <f>IF(ISERROR(VLOOKUP(F914,#REF!,3,0)),0,VLOOKUP(F914,#REF!,3,0))</f>
        <v>0</v>
      </c>
      <c r="R914" s="6">
        <f>IF(ISERROR(VLOOKUP(F914,#REF!,4,0)),0,VLOOKUP(F914,#REF!,4,0))</f>
        <v>0</v>
      </c>
      <c r="S914" s="8">
        <f>IF(ISERROR(VLOOKUP(F914,#REF!,4,0)),0,VLOOKUP(F914,#REF!,10,0)/60*K914)</f>
        <v>0</v>
      </c>
      <c r="T914" s="3"/>
      <c r="U914" s="3"/>
      <c r="V914" s="4"/>
    </row>
    <row r="915" spans="1:22" x14ac:dyDescent="0.3">
      <c r="A915" s="5">
        <f t="shared" si="43"/>
        <v>0</v>
      </c>
      <c r="B915" s="6">
        <f t="shared" si="44"/>
        <v>0</v>
      </c>
      <c r="K915" s="18">
        <f t="shared" si="42"/>
        <v>0</v>
      </c>
      <c r="L915" s="21">
        <f>IF(ISERROR(VLOOKUP($F915,#REF!,6,0)*G915/1000),0,VLOOKUP($F915,#REF!,6,0)*G915/1000)</f>
        <v>0</v>
      </c>
      <c r="M915" s="21">
        <f>IF(ISERROR(VLOOKUP($F915,#REF!,6,0)*H915/1000),0,VLOOKUP($F915,#REF!,6,0)*H915/1000)</f>
        <v>0</v>
      </c>
      <c r="N915" s="21">
        <f>IF(ISERROR(VLOOKUP($F915,#REF!,6,0)*I915/1000),0,VLOOKUP($F915,#REF!,6,0)*I915/1000)</f>
        <v>0</v>
      </c>
      <c r="O915" s="21">
        <f>IF(ISERROR(VLOOKUP($F915,#REF!,6,0)*J915/1000),0,VLOOKUP($F915,#REF!,6,0)*J915/1000)</f>
        <v>0</v>
      </c>
      <c r="P915" s="21">
        <f>IF(ISERROR(VLOOKUP(F915,#REF!,6,0)*K915/1000),0,VLOOKUP(F915,#REF!,6,0)*K915/1000)</f>
        <v>0</v>
      </c>
      <c r="Q915" s="6">
        <f>IF(ISERROR(VLOOKUP(F915,#REF!,3,0)),0,VLOOKUP(F915,#REF!,3,0))</f>
        <v>0</v>
      </c>
      <c r="R915" s="6">
        <f>IF(ISERROR(VLOOKUP(F915,#REF!,4,0)),0,VLOOKUP(F915,#REF!,4,0))</f>
        <v>0</v>
      </c>
      <c r="S915" s="8">
        <f>IF(ISERROR(VLOOKUP(F915,#REF!,4,0)),0,VLOOKUP(F915,#REF!,10,0)/60*K915)</f>
        <v>0</v>
      </c>
      <c r="T915" s="3"/>
      <c r="U915" s="3"/>
      <c r="V915" s="4"/>
    </row>
    <row r="916" spans="1:22" x14ac:dyDescent="0.3">
      <c r="A916" s="5">
        <f t="shared" si="43"/>
        <v>0</v>
      </c>
      <c r="B916" s="6">
        <f t="shared" si="44"/>
        <v>0</v>
      </c>
      <c r="K916" s="18">
        <f t="shared" si="42"/>
        <v>0</v>
      </c>
      <c r="L916" s="21">
        <f>IF(ISERROR(VLOOKUP($F916,#REF!,6,0)*G916/1000),0,VLOOKUP($F916,#REF!,6,0)*G916/1000)</f>
        <v>0</v>
      </c>
      <c r="M916" s="21">
        <f>IF(ISERROR(VLOOKUP($F916,#REF!,6,0)*H916/1000),0,VLOOKUP($F916,#REF!,6,0)*H916/1000)</f>
        <v>0</v>
      </c>
      <c r="N916" s="21">
        <f>IF(ISERROR(VLOOKUP($F916,#REF!,6,0)*I916/1000),0,VLOOKUP($F916,#REF!,6,0)*I916/1000)</f>
        <v>0</v>
      </c>
      <c r="O916" s="21">
        <f>IF(ISERROR(VLOOKUP($F916,#REF!,6,0)*J916/1000),0,VLOOKUP($F916,#REF!,6,0)*J916/1000)</f>
        <v>0</v>
      </c>
      <c r="P916" s="21">
        <f>IF(ISERROR(VLOOKUP(F916,#REF!,6,0)*K916/1000),0,VLOOKUP(F916,#REF!,6,0)*K916/1000)</f>
        <v>0</v>
      </c>
      <c r="Q916" s="6">
        <f>IF(ISERROR(VLOOKUP(F916,#REF!,3,0)),0,VLOOKUP(F916,#REF!,3,0))</f>
        <v>0</v>
      </c>
      <c r="R916" s="6">
        <f>IF(ISERROR(VLOOKUP(F916,#REF!,4,0)),0,VLOOKUP(F916,#REF!,4,0))</f>
        <v>0</v>
      </c>
      <c r="S916" s="8">
        <f>IF(ISERROR(VLOOKUP(F916,#REF!,4,0)),0,VLOOKUP(F916,#REF!,10,0)/60*K916)</f>
        <v>0</v>
      </c>
      <c r="T916" s="3"/>
      <c r="U916" s="3"/>
      <c r="V916" s="4"/>
    </row>
    <row r="917" spans="1:22" x14ac:dyDescent="0.3">
      <c r="A917" s="5">
        <f t="shared" si="43"/>
        <v>0</v>
      </c>
      <c r="B917" s="6">
        <f t="shared" si="44"/>
        <v>0</v>
      </c>
      <c r="K917" s="18">
        <f t="shared" si="42"/>
        <v>0</v>
      </c>
      <c r="L917" s="21">
        <f>IF(ISERROR(VLOOKUP($F917,#REF!,6,0)*G917/1000),0,VLOOKUP($F917,#REF!,6,0)*G917/1000)</f>
        <v>0</v>
      </c>
      <c r="M917" s="21">
        <f>IF(ISERROR(VLOOKUP($F917,#REF!,6,0)*H917/1000),0,VLOOKUP($F917,#REF!,6,0)*H917/1000)</f>
        <v>0</v>
      </c>
      <c r="N917" s="21">
        <f>IF(ISERROR(VLOOKUP($F917,#REF!,6,0)*I917/1000),0,VLOOKUP($F917,#REF!,6,0)*I917/1000)</f>
        <v>0</v>
      </c>
      <c r="O917" s="21">
        <f>IF(ISERROR(VLOOKUP($F917,#REF!,6,0)*J917/1000),0,VLOOKUP($F917,#REF!,6,0)*J917/1000)</f>
        <v>0</v>
      </c>
      <c r="P917" s="21">
        <f>IF(ISERROR(VLOOKUP(F917,#REF!,6,0)*K917/1000),0,VLOOKUP(F917,#REF!,6,0)*K917/1000)</f>
        <v>0</v>
      </c>
      <c r="Q917" s="6">
        <f>IF(ISERROR(VLOOKUP(F917,#REF!,3,0)),0,VLOOKUP(F917,#REF!,3,0))</f>
        <v>0</v>
      </c>
      <c r="R917" s="6">
        <f>IF(ISERROR(VLOOKUP(F917,#REF!,4,0)),0,VLOOKUP(F917,#REF!,4,0))</f>
        <v>0</v>
      </c>
      <c r="S917" s="8">
        <f>IF(ISERROR(VLOOKUP(F917,#REF!,4,0)),0,VLOOKUP(F917,#REF!,10,0)/60*K917)</f>
        <v>0</v>
      </c>
      <c r="T917" s="3"/>
      <c r="U917" s="3"/>
      <c r="V917" s="4"/>
    </row>
    <row r="918" spans="1:22" x14ac:dyDescent="0.3">
      <c r="A918" s="5">
        <f t="shared" si="43"/>
        <v>0</v>
      </c>
      <c r="B918" s="6">
        <f t="shared" si="44"/>
        <v>0</v>
      </c>
      <c r="K918" s="18">
        <f t="shared" si="42"/>
        <v>0</v>
      </c>
      <c r="L918" s="21">
        <f>IF(ISERROR(VLOOKUP($F918,#REF!,6,0)*G918/1000),0,VLOOKUP($F918,#REF!,6,0)*G918/1000)</f>
        <v>0</v>
      </c>
      <c r="M918" s="21">
        <f>IF(ISERROR(VLOOKUP($F918,#REF!,6,0)*H918/1000),0,VLOOKUP($F918,#REF!,6,0)*H918/1000)</f>
        <v>0</v>
      </c>
      <c r="N918" s="21">
        <f>IF(ISERROR(VLOOKUP($F918,#REF!,6,0)*I918/1000),0,VLOOKUP($F918,#REF!,6,0)*I918/1000)</f>
        <v>0</v>
      </c>
      <c r="O918" s="21">
        <f>IF(ISERROR(VLOOKUP($F918,#REF!,6,0)*J918/1000),0,VLOOKUP($F918,#REF!,6,0)*J918/1000)</f>
        <v>0</v>
      </c>
      <c r="P918" s="21">
        <f>IF(ISERROR(VLOOKUP(F918,#REF!,6,0)*K918/1000),0,VLOOKUP(F918,#REF!,6,0)*K918/1000)</f>
        <v>0</v>
      </c>
      <c r="Q918" s="6">
        <f>IF(ISERROR(VLOOKUP(F918,#REF!,3,0)),0,VLOOKUP(F918,#REF!,3,0))</f>
        <v>0</v>
      </c>
      <c r="R918" s="6">
        <f>IF(ISERROR(VLOOKUP(F918,#REF!,4,0)),0,VLOOKUP(F918,#REF!,4,0))</f>
        <v>0</v>
      </c>
      <c r="S918" s="8">
        <f>IF(ISERROR(VLOOKUP(F918,#REF!,4,0)),0,VLOOKUP(F918,#REF!,10,0)/60*K918)</f>
        <v>0</v>
      </c>
      <c r="T918" s="3"/>
      <c r="U918" s="3"/>
      <c r="V918" s="4"/>
    </row>
    <row r="919" spans="1:22" x14ac:dyDescent="0.3">
      <c r="A919" s="5">
        <f t="shared" si="43"/>
        <v>0</v>
      </c>
      <c r="B919" s="6">
        <f t="shared" si="44"/>
        <v>0</v>
      </c>
      <c r="K919" s="18">
        <f t="shared" si="42"/>
        <v>0</v>
      </c>
      <c r="L919" s="21">
        <f>IF(ISERROR(VLOOKUP($F919,#REF!,6,0)*G919/1000),0,VLOOKUP($F919,#REF!,6,0)*G919/1000)</f>
        <v>0</v>
      </c>
      <c r="M919" s="21">
        <f>IF(ISERROR(VLOOKUP($F919,#REF!,6,0)*H919/1000),0,VLOOKUP($F919,#REF!,6,0)*H919/1000)</f>
        <v>0</v>
      </c>
      <c r="N919" s="21">
        <f>IF(ISERROR(VLOOKUP($F919,#REF!,6,0)*I919/1000),0,VLOOKUP($F919,#REF!,6,0)*I919/1000)</f>
        <v>0</v>
      </c>
      <c r="O919" s="21">
        <f>IF(ISERROR(VLOOKUP($F919,#REF!,6,0)*J919/1000),0,VLOOKUP($F919,#REF!,6,0)*J919/1000)</f>
        <v>0</v>
      </c>
      <c r="P919" s="21">
        <f>IF(ISERROR(VLOOKUP(F919,#REF!,6,0)*K919/1000),0,VLOOKUP(F919,#REF!,6,0)*K919/1000)</f>
        <v>0</v>
      </c>
      <c r="Q919" s="6">
        <f>IF(ISERROR(VLOOKUP(F919,#REF!,3,0)),0,VLOOKUP(F919,#REF!,3,0))</f>
        <v>0</v>
      </c>
      <c r="R919" s="6">
        <f>IF(ISERROR(VLOOKUP(F919,#REF!,4,0)),0,VLOOKUP(F919,#REF!,4,0))</f>
        <v>0</v>
      </c>
      <c r="S919" s="8">
        <f>IF(ISERROR(VLOOKUP(F919,#REF!,4,0)),0,VLOOKUP(F919,#REF!,10,0)/60*K919)</f>
        <v>0</v>
      </c>
      <c r="T919" s="3"/>
      <c r="U919" s="3"/>
      <c r="V919" s="4"/>
    </row>
    <row r="920" spans="1:22" x14ac:dyDescent="0.3">
      <c r="A920" s="5">
        <f t="shared" si="43"/>
        <v>0</v>
      </c>
      <c r="B920" s="6">
        <f t="shared" si="44"/>
        <v>0</v>
      </c>
      <c r="K920" s="18">
        <f t="shared" si="42"/>
        <v>0</v>
      </c>
      <c r="L920" s="21">
        <f>IF(ISERROR(VLOOKUP($F920,#REF!,6,0)*G920/1000),0,VLOOKUP($F920,#REF!,6,0)*G920/1000)</f>
        <v>0</v>
      </c>
      <c r="M920" s="21">
        <f>IF(ISERROR(VLOOKUP($F920,#REF!,6,0)*H920/1000),0,VLOOKUP($F920,#REF!,6,0)*H920/1000)</f>
        <v>0</v>
      </c>
      <c r="N920" s="21">
        <f>IF(ISERROR(VLOOKUP($F920,#REF!,6,0)*I920/1000),0,VLOOKUP($F920,#REF!,6,0)*I920/1000)</f>
        <v>0</v>
      </c>
      <c r="O920" s="21">
        <f>IF(ISERROR(VLOOKUP($F920,#REF!,6,0)*J920/1000),0,VLOOKUP($F920,#REF!,6,0)*J920/1000)</f>
        <v>0</v>
      </c>
      <c r="P920" s="21">
        <f>IF(ISERROR(VLOOKUP(F920,#REF!,6,0)*K920/1000),0,VLOOKUP(F920,#REF!,6,0)*K920/1000)</f>
        <v>0</v>
      </c>
      <c r="Q920" s="6">
        <f>IF(ISERROR(VLOOKUP(F920,#REF!,3,0)),0,VLOOKUP(F920,#REF!,3,0))</f>
        <v>0</v>
      </c>
      <c r="R920" s="6">
        <f>IF(ISERROR(VLOOKUP(F920,#REF!,4,0)),0,VLOOKUP(F920,#REF!,4,0))</f>
        <v>0</v>
      </c>
      <c r="S920" s="8">
        <f>IF(ISERROR(VLOOKUP(F920,#REF!,4,0)),0,VLOOKUP(F920,#REF!,10,0)/60*K920)</f>
        <v>0</v>
      </c>
      <c r="T920" s="3"/>
      <c r="U920" s="3"/>
      <c r="V920" s="4"/>
    </row>
    <row r="921" spans="1:22" x14ac:dyDescent="0.3">
      <c r="A921" s="5">
        <f t="shared" si="43"/>
        <v>0</v>
      </c>
      <c r="B921" s="6">
        <f t="shared" si="44"/>
        <v>0</v>
      </c>
      <c r="K921" s="18">
        <f t="shared" si="42"/>
        <v>0</v>
      </c>
      <c r="L921" s="21">
        <f>IF(ISERROR(VLOOKUP($F921,#REF!,6,0)*G921/1000),0,VLOOKUP($F921,#REF!,6,0)*G921/1000)</f>
        <v>0</v>
      </c>
      <c r="M921" s="21">
        <f>IF(ISERROR(VLOOKUP($F921,#REF!,6,0)*H921/1000),0,VLOOKUP($F921,#REF!,6,0)*H921/1000)</f>
        <v>0</v>
      </c>
      <c r="N921" s="21">
        <f>IF(ISERROR(VLOOKUP($F921,#REF!,6,0)*I921/1000),0,VLOOKUP($F921,#REF!,6,0)*I921/1000)</f>
        <v>0</v>
      </c>
      <c r="O921" s="21">
        <f>IF(ISERROR(VLOOKUP($F921,#REF!,6,0)*J921/1000),0,VLOOKUP($F921,#REF!,6,0)*J921/1000)</f>
        <v>0</v>
      </c>
      <c r="P921" s="21">
        <f>IF(ISERROR(VLOOKUP(F921,#REF!,6,0)*K921/1000),0,VLOOKUP(F921,#REF!,6,0)*K921/1000)</f>
        <v>0</v>
      </c>
      <c r="Q921" s="6">
        <f>IF(ISERROR(VLOOKUP(F921,#REF!,3,0)),0,VLOOKUP(F921,#REF!,3,0))</f>
        <v>0</v>
      </c>
      <c r="R921" s="6">
        <f>IF(ISERROR(VLOOKUP(F921,#REF!,4,0)),0,VLOOKUP(F921,#REF!,4,0))</f>
        <v>0</v>
      </c>
      <c r="S921" s="8">
        <f>IF(ISERROR(VLOOKUP(F921,#REF!,4,0)),0,VLOOKUP(F921,#REF!,10,0)/60*K921)</f>
        <v>0</v>
      </c>
      <c r="T921" s="3"/>
      <c r="U921" s="3"/>
      <c r="V921" s="4"/>
    </row>
    <row r="922" spans="1:22" x14ac:dyDescent="0.3">
      <c r="A922" s="5">
        <f t="shared" si="43"/>
        <v>0</v>
      </c>
      <c r="B922" s="6">
        <f t="shared" si="44"/>
        <v>0</v>
      </c>
      <c r="K922" s="18">
        <f t="shared" si="42"/>
        <v>0</v>
      </c>
      <c r="L922" s="21">
        <f>IF(ISERROR(VLOOKUP($F922,#REF!,6,0)*G922/1000),0,VLOOKUP($F922,#REF!,6,0)*G922/1000)</f>
        <v>0</v>
      </c>
      <c r="M922" s="21">
        <f>IF(ISERROR(VLOOKUP($F922,#REF!,6,0)*H922/1000),0,VLOOKUP($F922,#REF!,6,0)*H922/1000)</f>
        <v>0</v>
      </c>
      <c r="N922" s="21">
        <f>IF(ISERROR(VLOOKUP($F922,#REF!,6,0)*I922/1000),0,VLOOKUP($F922,#REF!,6,0)*I922/1000)</f>
        <v>0</v>
      </c>
      <c r="O922" s="21">
        <f>IF(ISERROR(VLOOKUP($F922,#REF!,6,0)*J922/1000),0,VLOOKUP($F922,#REF!,6,0)*J922/1000)</f>
        <v>0</v>
      </c>
      <c r="P922" s="21">
        <f>IF(ISERROR(VLOOKUP(F922,#REF!,6,0)*K922/1000),0,VLOOKUP(F922,#REF!,6,0)*K922/1000)</f>
        <v>0</v>
      </c>
      <c r="Q922" s="6">
        <f>IF(ISERROR(VLOOKUP(F922,#REF!,3,0)),0,VLOOKUP(F922,#REF!,3,0))</f>
        <v>0</v>
      </c>
      <c r="R922" s="6">
        <f>IF(ISERROR(VLOOKUP(F922,#REF!,4,0)),0,VLOOKUP(F922,#REF!,4,0))</f>
        <v>0</v>
      </c>
      <c r="S922" s="8">
        <f>IF(ISERROR(VLOOKUP(F922,#REF!,4,0)),0,VLOOKUP(F922,#REF!,10,0)/60*K922)</f>
        <v>0</v>
      </c>
      <c r="T922" s="3"/>
      <c r="U922" s="3"/>
      <c r="V922" s="4"/>
    </row>
    <row r="923" spans="1:22" x14ac:dyDescent="0.3">
      <c r="A923" s="5">
        <f t="shared" si="43"/>
        <v>0</v>
      </c>
      <c r="B923" s="6">
        <f t="shared" si="44"/>
        <v>0</v>
      </c>
      <c r="K923" s="18">
        <f t="shared" si="42"/>
        <v>0</v>
      </c>
      <c r="L923" s="21">
        <f>IF(ISERROR(VLOOKUP($F923,#REF!,6,0)*G923/1000),0,VLOOKUP($F923,#REF!,6,0)*G923/1000)</f>
        <v>0</v>
      </c>
      <c r="M923" s="21">
        <f>IF(ISERROR(VLOOKUP($F923,#REF!,6,0)*H923/1000),0,VLOOKUP($F923,#REF!,6,0)*H923/1000)</f>
        <v>0</v>
      </c>
      <c r="N923" s="21">
        <f>IF(ISERROR(VLOOKUP($F923,#REF!,6,0)*I923/1000),0,VLOOKUP($F923,#REF!,6,0)*I923/1000)</f>
        <v>0</v>
      </c>
      <c r="O923" s="21">
        <f>IF(ISERROR(VLOOKUP($F923,#REF!,6,0)*J923/1000),0,VLOOKUP($F923,#REF!,6,0)*J923/1000)</f>
        <v>0</v>
      </c>
      <c r="P923" s="21">
        <f>IF(ISERROR(VLOOKUP(F923,#REF!,6,0)*K923/1000),0,VLOOKUP(F923,#REF!,6,0)*K923/1000)</f>
        <v>0</v>
      </c>
      <c r="Q923" s="6">
        <f>IF(ISERROR(VLOOKUP(F923,#REF!,3,0)),0,VLOOKUP(F923,#REF!,3,0))</f>
        <v>0</v>
      </c>
      <c r="R923" s="6">
        <f>IF(ISERROR(VLOOKUP(F923,#REF!,4,0)),0,VLOOKUP(F923,#REF!,4,0))</f>
        <v>0</v>
      </c>
      <c r="S923" s="8">
        <f>IF(ISERROR(VLOOKUP(F923,#REF!,4,0)),0,VLOOKUP(F923,#REF!,10,0)/60*K923)</f>
        <v>0</v>
      </c>
      <c r="T923" s="3"/>
      <c r="U923" s="3"/>
      <c r="V923" s="4"/>
    </row>
    <row r="924" spans="1:22" x14ac:dyDescent="0.3">
      <c r="A924" s="5">
        <f t="shared" si="43"/>
        <v>0</v>
      </c>
      <c r="B924" s="6">
        <f t="shared" si="44"/>
        <v>0</v>
      </c>
      <c r="K924" s="18">
        <f t="shared" si="42"/>
        <v>0</v>
      </c>
      <c r="L924" s="21">
        <f>IF(ISERROR(VLOOKUP($F924,#REF!,6,0)*G924/1000),0,VLOOKUP($F924,#REF!,6,0)*G924/1000)</f>
        <v>0</v>
      </c>
      <c r="M924" s="21">
        <f>IF(ISERROR(VLOOKUP($F924,#REF!,6,0)*H924/1000),0,VLOOKUP($F924,#REF!,6,0)*H924/1000)</f>
        <v>0</v>
      </c>
      <c r="N924" s="21">
        <f>IF(ISERROR(VLOOKUP($F924,#REF!,6,0)*I924/1000),0,VLOOKUP($F924,#REF!,6,0)*I924/1000)</f>
        <v>0</v>
      </c>
      <c r="O924" s="21">
        <f>IF(ISERROR(VLOOKUP($F924,#REF!,6,0)*J924/1000),0,VLOOKUP($F924,#REF!,6,0)*J924/1000)</f>
        <v>0</v>
      </c>
      <c r="P924" s="21">
        <f>IF(ISERROR(VLOOKUP(F924,#REF!,6,0)*K924/1000),0,VLOOKUP(F924,#REF!,6,0)*K924/1000)</f>
        <v>0</v>
      </c>
      <c r="Q924" s="6">
        <f>IF(ISERROR(VLOOKUP(F924,#REF!,3,0)),0,VLOOKUP(F924,#REF!,3,0))</f>
        <v>0</v>
      </c>
      <c r="R924" s="6">
        <f>IF(ISERROR(VLOOKUP(F924,#REF!,4,0)),0,VLOOKUP(F924,#REF!,4,0))</f>
        <v>0</v>
      </c>
      <c r="S924" s="8">
        <f>IF(ISERROR(VLOOKUP(F924,#REF!,4,0)),0,VLOOKUP(F924,#REF!,10,0)/60*K924)</f>
        <v>0</v>
      </c>
      <c r="T924" s="3"/>
      <c r="U924" s="3"/>
      <c r="V924" s="4"/>
    </row>
    <row r="925" spans="1:22" x14ac:dyDescent="0.3">
      <c r="A925" s="5">
        <f t="shared" si="43"/>
        <v>0</v>
      </c>
      <c r="B925" s="6">
        <f t="shared" si="44"/>
        <v>0</v>
      </c>
      <c r="K925" s="18">
        <f t="shared" si="42"/>
        <v>0</v>
      </c>
      <c r="L925" s="21">
        <f>IF(ISERROR(VLOOKUP($F925,#REF!,6,0)*G925/1000),0,VLOOKUP($F925,#REF!,6,0)*G925/1000)</f>
        <v>0</v>
      </c>
      <c r="M925" s="21">
        <f>IF(ISERROR(VLOOKUP($F925,#REF!,6,0)*H925/1000),0,VLOOKUP($F925,#REF!,6,0)*H925/1000)</f>
        <v>0</v>
      </c>
      <c r="N925" s="21">
        <f>IF(ISERROR(VLOOKUP($F925,#REF!,6,0)*I925/1000),0,VLOOKUP($F925,#REF!,6,0)*I925/1000)</f>
        <v>0</v>
      </c>
      <c r="O925" s="21">
        <f>IF(ISERROR(VLOOKUP($F925,#REF!,6,0)*J925/1000),0,VLOOKUP($F925,#REF!,6,0)*J925/1000)</f>
        <v>0</v>
      </c>
      <c r="P925" s="21">
        <f>IF(ISERROR(VLOOKUP(F925,#REF!,6,0)*K925/1000),0,VLOOKUP(F925,#REF!,6,0)*K925/1000)</f>
        <v>0</v>
      </c>
      <c r="Q925" s="6">
        <f>IF(ISERROR(VLOOKUP(F925,#REF!,3,0)),0,VLOOKUP(F925,#REF!,3,0))</f>
        <v>0</v>
      </c>
      <c r="R925" s="6">
        <f>IF(ISERROR(VLOOKUP(F925,#REF!,4,0)),0,VLOOKUP(F925,#REF!,4,0))</f>
        <v>0</v>
      </c>
      <c r="S925" s="8">
        <f>IF(ISERROR(VLOOKUP(F925,#REF!,4,0)),0,VLOOKUP(F925,#REF!,10,0)/60*K925)</f>
        <v>0</v>
      </c>
      <c r="T925" s="3"/>
      <c r="U925" s="3"/>
      <c r="V925" s="4"/>
    </row>
    <row r="926" spans="1:22" x14ac:dyDescent="0.3">
      <c r="A926" s="5">
        <f t="shared" si="43"/>
        <v>0</v>
      </c>
      <c r="B926" s="6">
        <f t="shared" si="44"/>
        <v>0</v>
      </c>
      <c r="K926" s="18">
        <f t="shared" si="42"/>
        <v>0</v>
      </c>
      <c r="L926" s="21">
        <f>IF(ISERROR(VLOOKUP($F926,#REF!,6,0)*G926/1000),0,VLOOKUP($F926,#REF!,6,0)*G926/1000)</f>
        <v>0</v>
      </c>
      <c r="M926" s="21">
        <f>IF(ISERROR(VLOOKUP($F926,#REF!,6,0)*H926/1000),0,VLOOKUP($F926,#REF!,6,0)*H926/1000)</f>
        <v>0</v>
      </c>
      <c r="N926" s="21">
        <f>IF(ISERROR(VLOOKUP($F926,#REF!,6,0)*I926/1000),0,VLOOKUP($F926,#REF!,6,0)*I926/1000)</f>
        <v>0</v>
      </c>
      <c r="O926" s="21">
        <f>IF(ISERROR(VLOOKUP($F926,#REF!,6,0)*J926/1000),0,VLOOKUP($F926,#REF!,6,0)*J926/1000)</f>
        <v>0</v>
      </c>
      <c r="P926" s="21">
        <f>IF(ISERROR(VLOOKUP(F926,#REF!,6,0)*K926/1000),0,VLOOKUP(F926,#REF!,6,0)*K926/1000)</f>
        <v>0</v>
      </c>
      <c r="Q926" s="6">
        <f>IF(ISERROR(VLOOKUP(F926,#REF!,3,0)),0,VLOOKUP(F926,#REF!,3,0))</f>
        <v>0</v>
      </c>
      <c r="R926" s="6">
        <f>IF(ISERROR(VLOOKUP(F926,#REF!,4,0)),0,VLOOKUP(F926,#REF!,4,0))</f>
        <v>0</v>
      </c>
      <c r="S926" s="8">
        <f>IF(ISERROR(VLOOKUP(F926,#REF!,4,0)),0,VLOOKUP(F926,#REF!,10,0)/60*K926)</f>
        <v>0</v>
      </c>
      <c r="T926" s="3"/>
      <c r="U926" s="3"/>
      <c r="V926" s="4"/>
    </row>
    <row r="927" spans="1:22" x14ac:dyDescent="0.3">
      <c r="A927" s="5">
        <f t="shared" si="43"/>
        <v>0</v>
      </c>
      <c r="B927" s="6">
        <f t="shared" si="44"/>
        <v>0</v>
      </c>
      <c r="K927" s="18">
        <f t="shared" si="42"/>
        <v>0</v>
      </c>
      <c r="L927" s="21">
        <f>IF(ISERROR(VLOOKUP($F927,#REF!,6,0)*G927/1000),0,VLOOKUP($F927,#REF!,6,0)*G927/1000)</f>
        <v>0</v>
      </c>
      <c r="M927" s="21">
        <f>IF(ISERROR(VLOOKUP($F927,#REF!,6,0)*H927/1000),0,VLOOKUP($F927,#REF!,6,0)*H927/1000)</f>
        <v>0</v>
      </c>
      <c r="N927" s="21">
        <f>IF(ISERROR(VLOOKUP($F927,#REF!,6,0)*I927/1000),0,VLOOKUP($F927,#REF!,6,0)*I927/1000)</f>
        <v>0</v>
      </c>
      <c r="O927" s="21">
        <f>IF(ISERROR(VLOOKUP($F927,#REF!,6,0)*J927/1000),0,VLOOKUP($F927,#REF!,6,0)*J927/1000)</f>
        <v>0</v>
      </c>
      <c r="P927" s="21">
        <f>IF(ISERROR(VLOOKUP(F927,#REF!,6,0)*K927/1000),0,VLOOKUP(F927,#REF!,6,0)*K927/1000)</f>
        <v>0</v>
      </c>
      <c r="Q927" s="6">
        <f>IF(ISERROR(VLOOKUP(F927,#REF!,3,0)),0,VLOOKUP(F927,#REF!,3,0))</f>
        <v>0</v>
      </c>
      <c r="R927" s="6">
        <f>IF(ISERROR(VLOOKUP(F927,#REF!,4,0)),0,VLOOKUP(F927,#REF!,4,0))</f>
        <v>0</v>
      </c>
      <c r="S927" s="8">
        <f>IF(ISERROR(VLOOKUP(F927,#REF!,4,0)),0,VLOOKUP(F927,#REF!,10,0)/60*K927)</f>
        <v>0</v>
      </c>
      <c r="T927" s="3"/>
      <c r="U927" s="3"/>
      <c r="V927" s="4"/>
    </row>
    <row r="928" spans="1:22" x14ac:dyDescent="0.3">
      <c r="A928" s="5">
        <f t="shared" si="43"/>
        <v>0</v>
      </c>
      <c r="B928" s="6">
        <f t="shared" si="44"/>
        <v>0</v>
      </c>
      <c r="K928" s="18">
        <f t="shared" si="42"/>
        <v>0</v>
      </c>
      <c r="L928" s="21">
        <f>IF(ISERROR(VLOOKUP($F928,#REF!,6,0)*G928/1000),0,VLOOKUP($F928,#REF!,6,0)*G928/1000)</f>
        <v>0</v>
      </c>
      <c r="M928" s="21">
        <f>IF(ISERROR(VLOOKUP($F928,#REF!,6,0)*H928/1000),0,VLOOKUP($F928,#REF!,6,0)*H928/1000)</f>
        <v>0</v>
      </c>
      <c r="N928" s="21">
        <f>IF(ISERROR(VLOOKUP($F928,#REF!,6,0)*I928/1000),0,VLOOKUP($F928,#REF!,6,0)*I928/1000)</f>
        <v>0</v>
      </c>
      <c r="O928" s="21">
        <f>IF(ISERROR(VLOOKUP($F928,#REF!,6,0)*J928/1000),0,VLOOKUP($F928,#REF!,6,0)*J928/1000)</f>
        <v>0</v>
      </c>
      <c r="P928" s="21">
        <f>IF(ISERROR(VLOOKUP(F928,#REF!,6,0)*K928/1000),0,VLOOKUP(F928,#REF!,6,0)*K928/1000)</f>
        <v>0</v>
      </c>
      <c r="Q928" s="6">
        <f>IF(ISERROR(VLOOKUP(F928,#REF!,3,0)),0,VLOOKUP(F928,#REF!,3,0))</f>
        <v>0</v>
      </c>
      <c r="R928" s="6">
        <f>IF(ISERROR(VLOOKUP(F928,#REF!,4,0)),0,VLOOKUP(F928,#REF!,4,0))</f>
        <v>0</v>
      </c>
      <c r="S928" s="8">
        <f>IF(ISERROR(VLOOKUP(F928,#REF!,4,0)),0,VLOOKUP(F928,#REF!,10,0)/60*K928)</f>
        <v>0</v>
      </c>
      <c r="T928" s="3"/>
      <c r="U928" s="3"/>
      <c r="V928" s="4"/>
    </row>
    <row r="929" spans="1:22" x14ac:dyDescent="0.3">
      <c r="A929" s="5">
        <f t="shared" si="43"/>
        <v>0</v>
      </c>
      <c r="B929" s="6">
        <f t="shared" si="44"/>
        <v>0</v>
      </c>
      <c r="K929" s="18">
        <f t="shared" si="42"/>
        <v>0</v>
      </c>
      <c r="L929" s="21">
        <f>IF(ISERROR(VLOOKUP($F929,#REF!,6,0)*G929/1000),0,VLOOKUP($F929,#REF!,6,0)*G929/1000)</f>
        <v>0</v>
      </c>
      <c r="M929" s="21">
        <f>IF(ISERROR(VLOOKUP($F929,#REF!,6,0)*H929/1000),0,VLOOKUP($F929,#REF!,6,0)*H929/1000)</f>
        <v>0</v>
      </c>
      <c r="N929" s="21">
        <f>IF(ISERROR(VLOOKUP($F929,#REF!,6,0)*I929/1000),0,VLOOKUP($F929,#REF!,6,0)*I929/1000)</f>
        <v>0</v>
      </c>
      <c r="O929" s="21">
        <f>IF(ISERROR(VLOOKUP($F929,#REF!,6,0)*J929/1000),0,VLOOKUP($F929,#REF!,6,0)*J929/1000)</f>
        <v>0</v>
      </c>
      <c r="P929" s="21">
        <f>IF(ISERROR(VLOOKUP(F929,#REF!,6,0)*K929/1000),0,VLOOKUP(F929,#REF!,6,0)*K929/1000)</f>
        <v>0</v>
      </c>
      <c r="Q929" s="6">
        <f>IF(ISERROR(VLOOKUP(F929,#REF!,3,0)),0,VLOOKUP(F929,#REF!,3,0))</f>
        <v>0</v>
      </c>
      <c r="R929" s="6">
        <f>IF(ISERROR(VLOOKUP(F929,#REF!,4,0)),0,VLOOKUP(F929,#REF!,4,0))</f>
        <v>0</v>
      </c>
      <c r="S929" s="8">
        <f>IF(ISERROR(VLOOKUP(F929,#REF!,4,0)),0,VLOOKUP(F929,#REF!,10,0)/60*K929)</f>
        <v>0</v>
      </c>
      <c r="T929" s="3"/>
      <c r="U929" s="3"/>
      <c r="V929" s="4"/>
    </row>
    <row r="930" spans="1:22" x14ac:dyDescent="0.3">
      <c r="A930" s="5">
        <f t="shared" si="43"/>
        <v>0</v>
      </c>
      <c r="B930" s="6">
        <f t="shared" si="44"/>
        <v>0</v>
      </c>
      <c r="K930" s="18">
        <f t="shared" si="42"/>
        <v>0</v>
      </c>
      <c r="L930" s="21">
        <f>IF(ISERROR(VLOOKUP($F930,#REF!,6,0)*G930/1000),0,VLOOKUP($F930,#REF!,6,0)*G930/1000)</f>
        <v>0</v>
      </c>
      <c r="M930" s="21">
        <f>IF(ISERROR(VLOOKUP($F930,#REF!,6,0)*H930/1000),0,VLOOKUP($F930,#REF!,6,0)*H930/1000)</f>
        <v>0</v>
      </c>
      <c r="N930" s="21">
        <f>IF(ISERROR(VLOOKUP($F930,#REF!,6,0)*I930/1000),0,VLOOKUP($F930,#REF!,6,0)*I930/1000)</f>
        <v>0</v>
      </c>
      <c r="O930" s="21">
        <f>IF(ISERROR(VLOOKUP($F930,#REF!,6,0)*J930/1000),0,VLOOKUP($F930,#REF!,6,0)*J930/1000)</f>
        <v>0</v>
      </c>
      <c r="P930" s="21">
        <f>IF(ISERROR(VLOOKUP(F930,#REF!,6,0)*K930/1000),0,VLOOKUP(F930,#REF!,6,0)*K930/1000)</f>
        <v>0</v>
      </c>
      <c r="Q930" s="6">
        <f>IF(ISERROR(VLOOKUP(F930,#REF!,3,0)),0,VLOOKUP(F930,#REF!,3,0))</f>
        <v>0</v>
      </c>
      <c r="R930" s="6">
        <f>IF(ISERROR(VLOOKUP(F930,#REF!,4,0)),0,VLOOKUP(F930,#REF!,4,0))</f>
        <v>0</v>
      </c>
      <c r="S930" s="8">
        <f>IF(ISERROR(VLOOKUP(F930,#REF!,4,0)),0,VLOOKUP(F930,#REF!,10,0)/60*K930)</f>
        <v>0</v>
      </c>
      <c r="T930" s="3"/>
      <c r="U930" s="3"/>
      <c r="V930" s="4"/>
    </row>
    <row r="931" spans="1:22" x14ac:dyDescent="0.3">
      <c r="A931" s="5">
        <f t="shared" si="43"/>
        <v>0</v>
      </c>
      <c r="B931" s="6">
        <f t="shared" si="44"/>
        <v>0</v>
      </c>
      <c r="K931" s="18">
        <f t="shared" si="42"/>
        <v>0</v>
      </c>
      <c r="L931" s="21">
        <f>IF(ISERROR(VLOOKUP($F931,#REF!,6,0)*G931/1000),0,VLOOKUP($F931,#REF!,6,0)*G931/1000)</f>
        <v>0</v>
      </c>
      <c r="M931" s="21">
        <f>IF(ISERROR(VLOOKUP($F931,#REF!,6,0)*H931/1000),0,VLOOKUP($F931,#REF!,6,0)*H931/1000)</f>
        <v>0</v>
      </c>
      <c r="N931" s="21">
        <f>IF(ISERROR(VLOOKUP($F931,#REF!,6,0)*I931/1000),0,VLOOKUP($F931,#REF!,6,0)*I931/1000)</f>
        <v>0</v>
      </c>
      <c r="O931" s="21">
        <f>IF(ISERROR(VLOOKUP($F931,#REF!,6,0)*J931/1000),0,VLOOKUP($F931,#REF!,6,0)*J931/1000)</f>
        <v>0</v>
      </c>
      <c r="P931" s="21">
        <f>IF(ISERROR(VLOOKUP(F931,#REF!,6,0)*K931/1000),0,VLOOKUP(F931,#REF!,6,0)*K931/1000)</f>
        <v>0</v>
      </c>
      <c r="Q931" s="6">
        <f>IF(ISERROR(VLOOKUP(F931,#REF!,3,0)),0,VLOOKUP(F931,#REF!,3,0))</f>
        <v>0</v>
      </c>
      <c r="R931" s="6">
        <f>IF(ISERROR(VLOOKUP(F931,#REF!,4,0)),0,VLOOKUP(F931,#REF!,4,0))</f>
        <v>0</v>
      </c>
      <c r="S931" s="8">
        <f>IF(ISERROR(VLOOKUP(F931,#REF!,4,0)),0,VLOOKUP(F931,#REF!,10,0)/60*K931)</f>
        <v>0</v>
      </c>
      <c r="T931" s="3"/>
      <c r="U931" s="3"/>
      <c r="V931" s="4"/>
    </row>
    <row r="932" spans="1:22" x14ac:dyDescent="0.3">
      <c r="A932" s="5">
        <f t="shared" si="43"/>
        <v>0</v>
      </c>
      <c r="B932" s="6">
        <f t="shared" si="44"/>
        <v>0</v>
      </c>
      <c r="K932" s="18">
        <f t="shared" si="42"/>
        <v>0</v>
      </c>
      <c r="L932" s="21">
        <f>IF(ISERROR(VLOOKUP($F932,#REF!,6,0)*G932/1000),0,VLOOKUP($F932,#REF!,6,0)*G932/1000)</f>
        <v>0</v>
      </c>
      <c r="M932" s="21">
        <f>IF(ISERROR(VLOOKUP($F932,#REF!,6,0)*H932/1000),0,VLOOKUP($F932,#REF!,6,0)*H932/1000)</f>
        <v>0</v>
      </c>
      <c r="N932" s="21">
        <f>IF(ISERROR(VLOOKUP($F932,#REF!,6,0)*I932/1000),0,VLOOKUP($F932,#REF!,6,0)*I932/1000)</f>
        <v>0</v>
      </c>
      <c r="O932" s="21">
        <f>IF(ISERROR(VLOOKUP($F932,#REF!,6,0)*J932/1000),0,VLOOKUP($F932,#REF!,6,0)*J932/1000)</f>
        <v>0</v>
      </c>
      <c r="P932" s="21">
        <f>IF(ISERROR(VLOOKUP(F932,#REF!,6,0)*K932/1000),0,VLOOKUP(F932,#REF!,6,0)*K932/1000)</f>
        <v>0</v>
      </c>
      <c r="Q932" s="6">
        <f>IF(ISERROR(VLOOKUP(F932,#REF!,3,0)),0,VLOOKUP(F932,#REF!,3,0))</f>
        <v>0</v>
      </c>
      <c r="R932" s="6">
        <f>IF(ISERROR(VLOOKUP(F932,#REF!,4,0)),0,VLOOKUP(F932,#REF!,4,0))</f>
        <v>0</v>
      </c>
      <c r="S932" s="8">
        <f>IF(ISERROR(VLOOKUP(F932,#REF!,4,0)),0,VLOOKUP(F932,#REF!,10,0)/60*K932)</f>
        <v>0</v>
      </c>
      <c r="T932" s="3"/>
      <c r="U932" s="3"/>
      <c r="V932" s="4"/>
    </row>
    <row r="933" spans="1:22" x14ac:dyDescent="0.3">
      <c r="A933" s="5">
        <f t="shared" si="43"/>
        <v>0</v>
      </c>
      <c r="B933" s="6">
        <f t="shared" si="44"/>
        <v>0</v>
      </c>
      <c r="K933" s="18">
        <f t="shared" si="42"/>
        <v>0</v>
      </c>
      <c r="L933" s="21">
        <f>IF(ISERROR(VLOOKUP($F933,#REF!,6,0)*G933/1000),0,VLOOKUP($F933,#REF!,6,0)*G933/1000)</f>
        <v>0</v>
      </c>
      <c r="M933" s="21">
        <f>IF(ISERROR(VLOOKUP($F933,#REF!,6,0)*H933/1000),0,VLOOKUP($F933,#REF!,6,0)*H933/1000)</f>
        <v>0</v>
      </c>
      <c r="N933" s="21">
        <f>IF(ISERROR(VLOOKUP($F933,#REF!,6,0)*I933/1000),0,VLOOKUP($F933,#REF!,6,0)*I933/1000)</f>
        <v>0</v>
      </c>
      <c r="O933" s="21">
        <f>IF(ISERROR(VLOOKUP($F933,#REF!,6,0)*J933/1000),0,VLOOKUP($F933,#REF!,6,0)*J933/1000)</f>
        <v>0</v>
      </c>
      <c r="P933" s="21">
        <f>IF(ISERROR(VLOOKUP(F933,#REF!,6,0)*K933/1000),0,VLOOKUP(F933,#REF!,6,0)*K933/1000)</f>
        <v>0</v>
      </c>
      <c r="Q933" s="6">
        <f>IF(ISERROR(VLOOKUP(F933,#REF!,3,0)),0,VLOOKUP(F933,#REF!,3,0))</f>
        <v>0</v>
      </c>
      <c r="R933" s="6">
        <f>IF(ISERROR(VLOOKUP(F933,#REF!,4,0)),0,VLOOKUP(F933,#REF!,4,0))</f>
        <v>0</v>
      </c>
      <c r="S933" s="8">
        <f>IF(ISERROR(VLOOKUP(F933,#REF!,4,0)),0,VLOOKUP(F933,#REF!,10,0)/60*K933)</f>
        <v>0</v>
      </c>
      <c r="T933" s="3"/>
      <c r="U933" s="3"/>
      <c r="V933" s="4"/>
    </row>
    <row r="934" spans="1:22" x14ac:dyDescent="0.3">
      <c r="A934" s="5">
        <f t="shared" si="43"/>
        <v>0</v>
      </c>
      <c r="B934" s="6">
        <f t="shared" si="44"/>
        <v>0</v>
      </c>
      <c r="K934" s="18">
        <f t="shared" si="42"/>
        <v>0</v>
      </c>
      <c r="L934" s="21">
        <f>IF(ISERROR(VLOOKUP($F934,#REF!,6,0)*G934/1000),0,VLOOKUP($F934,#REF!,6,0)*G934/1000)</f>
        <v>0</v>
      </c>
      <c r="M934" s="21">
        <f>IF(ISERROR(VLOOKUP($F934,#REF!,6,0)*H934/1000),0,VLOOKUP($F934,#REF!,6,0)*H934/1000)</f>
        <v>0</v>
      </c>
      <c r="N934" s="21">
        <f>IF(ISERROR(VLOOKUP($F934,#REF!,6,0)*I934/1000),0,VLOOKUP($F934,#REF!,6,0)*I934/1000)</f>
        <v>0</v>
      </c>
      <c r="O934" s="21">
        <f>IF(ISERROR(VLOOKUP($F934,#REF!,6,0)*J934/1000),0,VLOOKUP($F934,#REF!,6,0)*J934/1000)</f>
        <v>0</v>
      </c>
      <c r="P934" s="21">
        <f>IF(ISERROR(VLOOKUP(F934,#REF!,6,0)*K934/1000),0,VLOOKUP(F934,#REF!,6,0)*K934/1000)</f>
        <v>0</v>
      </c>
      <c r="Q934" s="6">
        <f>IF(ISERROR(VLOOKUP(F934,#REF!,3,0)),0,VLOOKUP(F934,#REF!,3,0))</f>
        <v>0</v>
      </c>
      <c r="R934" s="6">
        <f>IF(ISERROR(VLOOKUP(F934,#REF!,4,0)),0,VLOOKUP(F934,#REF!,4,0))</f>
        <v>0</v>
      </c>
      <c r="S934" s="8">
        <f>IF(ISERROR(VLOOKUP(F934,#REF!,4,0)),0,VLOOKUP(F934,#REF!,10,0)/60*K934)</f>
        <v>0</v>
      </c>
      <c r="T934" s="3"/>
      <c r="U934" s="3"/>
      <c r="V934" s="4"/>
    </row>
    <row r="935" spans="1:22" x14ac:dyDescent="0.3">
      <c r="A935" s="5">
        <f t="shared" si="43"/>
        <v>0</v>
      </c>
      <c r="B935" s="6">
        <f t="shared" si="44"/>
        <v>0</v>
      </c>
      <c r="K935" s="18">
        <f t="shared" si="42"/>
        <v>0</v>
      </c>
      <c r="L935" s="21">
        <f>IF(ISERROR(VLOOKUP($F935,#REF!,6,0)*G935/1000),0,VLOOKUP($F935,#REF!,6,0)*G935/1000)</f>
        <v>0</v>
      </c>
      <c r="M935" s="21">
        <f>IF(ISERROR(VLOOKUP($F935,#REF!,6,0)*H935/1000),0,VLOOKUP($F935,#REF!,6,0)*H935/1000)</f>
        <v>0</v>
      </c>
      <c r="N935" s="21">
        <f>IF(ISERROR(VLOOKUP($F935,#REF!,6,0)*I935/1000),0,VLOOKUP($F935,#REF!,6,0)*I935/1000)</f>
        <v>0</v>
      </c>
      <c r="O935" s="21">
        <f>IF(ISERROR(VLOOKUP($F935,#REF!,6,0)*J935/1000),0,VLOOKUP($F935,#REF!,6,0)*J935/1000)</f>
        <v>0</v>
      </c>
      <c r="P935" s="21">
        <f>IF(ISERROR(VLOOKUP(F935,#REF!,6,0)*K935/1000),0,VLOOKUP(F935,#REF!,6,0)*K935/1000)</f>
        <v>0</v>
      </c>
      <c r="Q935" s="6">
        <f>IF(ISERROR(VLOOKUP(F935,#REF!,3,0)),0,VLOOKUP(F935,#REF!,3,0))</f>
        <v>0</v>
      </c>
      <c r="R935" s="6">
        <f>IF(ISERROR(VLOOKUP(F935,#REF!,4,0)),0,VLOOKUP(F935,#REF!,4,0))</f>
        <v>0</v>
      </c>
      <c r="S935" s="8">
        <f>IF(ISERROR(VLOOKUP(F935,#REF!,4,0)),0,VLOOKUP(F935,#REF!,10,0)/60*K935)</f>
        <v>0</v>
      </c>
      <c r="T935" s="3"/>
      <c r="U935" s="3"/>
      <c r="V935" s="4"/>
    </row>
    <row r="936" spans="1:22" x14ac:dyDescent="0.3">
      <c r="A936" s="5">
        <f t="shared" si="43"/>
        <v>0</v>
      </c>
      <c r="B936" s="6">
        <f t="shared" si="44"/>
        <v>0</v>
      </c>
      <c r="K936" s="18">
        <f t="shared" si="42"/>
        <v>0</v>
      </c>
      <c r="L936" s="21">
        <f>IF(ISERROR(VLOOKUP($F936,#REF!,6,0)*G936/1000),0,VLOOKUP($F936,#REF!,6,0)*G936/1000)</f>
        <v>0</v>
      </c>
      <c r="M936" s="21">
        <f>IF(ISERROR(VLOOKUP($F936,#REF!,6,0)*H936/1000),0,VLOOKUP($F936,#REF!,6,0)*H936/1000)</f>
        <v>0</v>
      </c>
      <c r="N936" s="21">
        <f>IF(ISERROR(VLOOKUP($F936,#REF!,6,0)*I936/1000),0,VLOOKUP($F936,#REF!,6,0)*I936/1000)</f>
        <v>0</v>
      </c>
      <c r="O936" s="21">
        <f>IF(ISERROR(VLOOKUP($F936,#REF!,6,0)*J936/1000),0,VLOOKUP($F936,#REF!,6,0)*J936/1000)</f>
        <v>0</v>
      </c>
      <c r="P936" s="21">
        <f>IF(ISERROR(VLOOKUP(F936,#REF!,6,0)*K936/1000),0,VLOOKUP(F936,#REF!,6,0)*K936/1000)</f>
        <v>0</v>
      </c>
      <c r="Q936" s="6">
        <f>IF(ISERROR(VLOOKUP(F936,#REF!,3,0)),0,VLOOKUP(F936,#REF!,3,0))</f>
        <v>0</v>
      </c>
      <c r="R936" s="6">
        <f>IF(ISERROR(VLOOKUP(F936,#REF!,4,0)),0,VLOOKUP(F936,#REF!,4,0))</f>
        <v>0</v>
      </c>
      <c r="S936" s="8">
        <f>IF(ISERROR(VLOOKUP(F936,#REF!,4,0)),0,VLOOKUP(F936,#REF!,10,0)/60*K936)</f>
        <v>0</v>
      </c>
      <c r="T936" s="3"/>
      <c r="U936" s="3"/>
      <c r="V936" s="4"/>
    </row>
    <row r="937" spans="1:22" x14ac:dyDescent="0.3">
      <c r="A937" s="5">
        <f t="shared" si="43"/>
        <v>0</v>
      </c>
      <c r="B937" s="6">
        <f t="shared" si="44"/>
        <v>0</v>
      </c>
      <c r="K937" s="18">
        <f t="shared" si="42"/>
        <v>0</v>
      </c>
      <c r="L937" s="21">
        <f>IF(ISERROR(VLOOKUP($F937,#REF!,6,0)*G937/1000),0,VLOOKUP($F937,#REF!,6,0)*G937/1000)</f>
        <v>0</v>
      </c>
      <c r="M937" s="21">
        <f>IF(ISERROR(VLOOKUP($F937,#REF!,6,0)*H937/1000),0,VLOOKUP($F937,#REF!,6,0)*H937/1000)</f>
        <v>0</v>
      </c>
      <c r="N937" s="21">
        <f>IF(ISERROR(VLOOKUP($F937,#REF!,6,0)*I937/1000),0,VLOOKUP($F937,#REF!,6,0)*I937/1000)</f>
        <v>0</v>
      </c>
      <c r="O937" s="21">
        <f>IF(ISERROR(VLOOKUP($F937,#REF!,6,0)*J937/1000),0,VLOOKUP($F937,#REF!,6,0)*J937/1000)</f>
        <v>0</v>
      </c>
      <c r="P937" s="21">
        <f>IF(ISERROR(VLOOKUP(F937,#REF!,6,0)*K937/1000),0,VLOOKUP(F937,#REF!,6,0)*K937/1000)</f>
        <v>0</v>
      </c>
      <c r="Q937" s="6">
        <f>IF(ISERROR(VLOOKUP(F937,#REF!,3,0)),0,VLOOKUP(F937,#REF!,3,0))</f>
        <v>0</v>
      </c>
      <c r="R937" s="6">
        <f>IF(ISERROR(VLOOKUP(F937,#REF!,4,0)),0,VLOOKUP(F937,#REF!,4,0))</f>
        <v>0</v>
      </c>
      <c r="S937" s="8">
        <f>IF(ISERROR(VLOOKUP(F937,#REF!,4,0)),0,VLOOKUP(F937,#REF!,10,0)/60*K937)</f>
        <v>0</v>
      </c>
      <c r="T937" s="3"/>
      <c r="U937" s="3"/>
      <c r="V937" s="4"/>
    </row>
    <row r="938" spans="1:22" x14ac:dyDescent="0.3">
      <c r="A938" s="5">
        <f t="shared" si="43"/>
        <v>0</v>
      </c>
      <c r="B938" s="6">
        <f t="shared" si="44"/>
        <v>0</v>
      </c>
      <c r="K938" s="18">
        <f t="shared" si="42"/>
        <v>0</v>
      </c>
      <c r="L938" s="21">
        <f>IF(ISERROR(VLOOKUP($F938,#REF!,6,0)*G938/1000),0,VLOOKUP($F938,#REF!,6,0)*G938/1000)</f>
        <v>0</v>
      </c>
      <c r="M938" s="21">
        <f>IF(ISERROR(VLOOKUP($F938,#REF!,6,0)*H938/1000),0,VLOOKUP($F938,#REF!,6,0)*H938/1000)</f>
        <v>0</v>
      </c>
      <c r="N938" s="21">
        <f>IF(ISERROR(VLOOKUP($F938,#REF!,6,0)*I938/1000),0,VLOOKUP($F938,#REF!,6,0)*I938/1000)</f>
        <v>0</v>
      </c>
      <c r="O938" s="21">
        <f>IF(ISERROR(VLOOKUP($F938,#REF!,6,0)*J938/1000),0,VLOOKUP($F938,#REF!,6,0)*J938/1000)</f>
        <v>0</v>
      </c>
      <c r="P938" s="21">
        <f>IF(ISERROR(VLOOKUP(F938,#REF!,6,0)*K938/1000),0,VLOOKUP(F938,#REF!,6,0)*K938/1000)</f>
        <v>0</v>
      </c>
      <c r="Q938" s="6">
        <f>IF(ISERROR(VLOOKUP(F938,#REF!,3,0)),0,VLOOKUP(F938,#REF!,3,0))</f>
        <v>0</v>
      </c>
      <c r="R938" s="6">
        <f>IF(ISERROR(VLOOKUP(F938,#REF!,4,0)),0,VLOOKUP(F938,#REF!,4,0))</f>
        <v>0</v>
      </c>
      <c r="S938" s="8">
        <f>IF(ISERROR(VLOOKUP(F938,#REF!,4,0)),0,VLOOKUP(F938,#REF!,10,0)/60*K938)</f>
        <v>0</v>
      </c>
      <c r="T938" s="3"/>
      <c r="U938" s="3"/>
      <c r="V938" s="4"/>
    </row>
    <row r="939" spans="1:22" x14ac:dyDescent="0.3">
      <c r="A939" s="5">
        <f t="shared" si="43"/>
        <v>0</v>
      </c>
      <c r="B939" s="6">
        <f t="shared" si="44"/>
        <v>0</v>
      </c>
      <c r="K939" s="18">
        <f t="shared" si="42"/>
        <v>0</v>
      </c>
      <c r="L939" s="21">
        <f>IF(ISERROR(VLOOKUP($F939,#REF!,6,0)*G939/1000),0,VLOOKUP($F939,#REF!,6,0)*G939/1000)</f>
        <v>0</v>
      </c>
      <c r="M939" s="21">
        <f>IF(ISERROR(VLOOKUP($F939,#REF!,6,0)*H939/1000),0,VLOOKUP($F939,#REF!,6,0)*H939/1000)</f>
        <v>0</v>
      </c>
      <c r="N939" s="21">
        <f>IF(ISERROR(VLOOKUP($F939,#REF!,6,0)*I939/1000),0,VLOOKUP($F939,#REF!,6,0)*I939/1000)</f>
        <v>0</v>
      </c>
      <c r="O939" s="21">
        <f>IF(ISERROR(VLOOKUP($F939,#REF!,6,0)*J939/1000),0,VLOOKUP($F939,#REF!,6,0)*J939/1000)</f>
        <v>0</v>
      </c>
      <c r="P939" s="21">
        <f>IF(ISERROR(VLOOKUP(F939,#REF!,6,0)*K939/1000),0,VLOOKUP(F939,#REF!,6,0)*K939/1000)</f>
        <v>0</v>
      </c>
      <c r="Q939" s="6">
        <f>IF(ISERROR(VLOOKUP(F939,#REF!,3,0)),0,VLOOKUP(F939,#REF!,3,0))</f>
        <v>0</v>
      </c>
      <c r="R939" s="6">
        <f>IF(ISERROR(VLOOKUP(F939,#REF!,4,0)),0,VLOOKUP(F939,#REF!,4,0))</f>
        <v>0</v>
      </c>
      <c r="S939" s="8">
        <f>IF(ISERROR(VLOOKUP(F939,#REF!,4,0)),0,VLOOKUP(F939,#REF!,10,0)/60*K939)</f>
        <v>0</v>
      </c>
      <c r="T939" s="3"/>
      <c r="U939" s="3"/>
      <c r="V939" s="4"/>
    </row>
    <row r="940" spans="1:22" x14ac:dyDescent="0.3">
      <c r="A940" s="5">
        <f t="shared" si="43"/>
        <v>0</v>
      </c>
      <c r="B940" s="6">
        <f t="shared" si="44"/>
        <v>0</v>
      </c>
      <c r="K940" s="18">
        <f t="shared" si="42"/>
        <v>0</v>
      </c>
      <c r="L940" s="21">
        <f>IF(ISERROR(VLOOKUP($F940,#REF!,6,0)*G940/1000),0,VLOOKUP($F940,#REF!,6,0)*G940/1000)</f>
        <v>0</v>
      </c>
      <c r="M940" s="21">
        <f>IF(ISERROR(VLOOKUP($F940,#REF!,6,0)*H940/1000),0,VLOOKUP($F940,#REF!,6,0)*H940/1000)</f>
        <v>0</v>
      </c>
      <c r="N940" s="21">
        <f>IF(ISERROR(VLOOKUP($F940,#REF!,6,0)*I940/1000),0,VLOOKUP($F940,#REF!,6,0)*I940/1000)</f>
        <v>0</v>
      </c>
      <c r="O940" s="21">
        <f>IF(ISERROR(VLOOKUP($F940,#REF!,6,0)*J940/1000),0,VLOOKUP($F940,#REF!,6,0)*J940/1000)</f>
        <v>0</v>
      </c>
      <c r="P940" s="21">
        <f>IF(ISERROR(VLOOKUP(F940,#REF!,6,0)*K940/1000),0,VLOOKUP(F940,#REF!,6,0)*K940/1000)</f>
        <v>0</v>
      </c>
      <c r="Q940" s="6">
        <f>IF(ISERROR(VLOOKUP(F940,#REF!,3,0)),0,VLOOKUP(F940,#REF!,3,0))</f>
        <v>0</v>
      </c>
      <c r="R940" s="6">
        <f>IF(ISERROR(VLOOKUP(F940,#REF!,4,0)),0,VLOOKUP(F940,#REF!,4,0))</f>
        <v>0</v>
      </c>
      <c r="S940" s="8">
        <f>IF(ISERROR(VLOOKUP(F940,#REF!,4,0)),0,VLOOKUP(F940,#REF!,10,0)/60*K940)</f>
        <v>0</v>
      </c>
      <c r="T940" s="3"/>
      <c r="U940" s="3"/>
      <c r="V940" s="4"/>
    </row>
    <row r="941" spans="1:22" x14ac:dyDescent="0.3">
      <c r="A941" s="5">
        <f t="shared" si="43"/>
        <v>0</v>
      </c>
      <c r="B941" s="6">
        <f t="shared" si="44"/>
        <v>0</v>
      </c>
      <c r="K941" s="18">
        <f t="shared" si="42"/>
        <v>0</v>
      </c>
      <c r="L941" s="21">
        <f>IF(ISERROR(VLOOKUP($F941,#REF!,6,0)*G941/1000),0,VLOOKUP($F941,#REF!,6,0)*G941/1000)</f>
        <v>0</v>
      </c>
      <c r="M941" s="21">
        <f>IF(ISERROR(VLOOKUP($F941,#REF!,6,0)*H941/1000),0,VLOOKUP($F941,#REF!,6,0)*H941/1000)</f>
        <v>0</v>
      </c>
      <c r="N941" s="21">
        <f>IF(ISERROR(VLOOKUP($F941,#REF!,6,0)*I941/1000),0,VLOOKUP($F941,#REF!,6,0)*I941/1000)</f>
        <v>0</v>
      </c>
      <c r="O941" s="21">
        <f>IF(ISERROR(VLOOKUP($F941,#REF!,6,0)*J941/1000),0,VLOOKUP($F941,#REF!,6,0)*J941/1000)</f>
        <v>0</v>
      </c>
      <c r="P941" s="21">
        <f>IF(ISERROR(VLOOKUP(F941,#REF!,6,0)*K941/1000),0,VLOOKUP(F941,#REF!,6,0)*K941/1000)</f>
        <v>0</v>
      </c>
      <c r="Q941" s="6">
        <f>IF(ISERROR(VLOOKUP(F941,#REF!,3,0)),0,VLOOKUP(F941,#REF!,3,0))</f>
        <v>0</v>
      </c>
      <c r="R941" s="6">
        <f>IF(ISERROR(VLOOKUP(F941,#REF!,4,0)),0,VLOOKUP(F941,#REF!,4,0))</f>
        <v>0</v>
      </c>
      <c r="S941" s="8">
        <f>IF(ISERROR(VLOOKUP(F941,#REF!,4,0)),0,VLOOKUP(F941,#REF!,10,0)/60*K941)</f>
        <v>0</v>
      </c>
      <c r="T941" s="3"/>
      <c r="U941" s="3"/>
      <c r="V941" s="4"/>
    </row>
    <row r="942" spans="1:22" x14ac:dyDescent="0.3">
      <c r="A942" s="5">
        <f t="shared" si="43"/>
        <v>0</v>
      </c>
      <c r="B942" s="6">
        <f t="shared" si="44"/>
        <v>0</v>
      </c>
      <c r="K942" s="18">
        <f t="shared" si="42"/>
        <v>0</v>
      </c>
      <c r="L942" s="21">
        <f>IF(ISERROR(VLOOKUP($F942,#REF!,6,0)*G942/1000),0,VLOOKUP($F942,#REF!,6,0)*G942/1000)</f>
        <v>0</v>
      </c>
      <c r="M942" s="21">
        <f>IF(ISERROR(VLOOKUP($F942,#REF!,6,0)*H942/1000),0,VLOOKUP($F942,#REF!,6,0)*H942/1000)</f>
        <v>0</v>
      </c>
      <c r="N942" s="21">
        <f>IF(ISERROR(VLOOKUP($F942,#REF!,6,0)*I942/1000),0,VLOOKUP($F942,#REF!,6,0)*I942/1000)</f>
        <v>0</v>
      </c>
      <c r="O942" s="21">
        <f>IF(ISERROR(VLOOKUP($F942,#REF!,6,0)*J942/1000),0,VLOOKUP($F942,#REF!,6,0)*J942/1000)</f>
        <v>0</v>
      </c>
      <c r="P942" s="21">
        <f>IF(ISERROR(VLOOKUP(F942,#REF!,6,0)*K942/1000),0,VLOOKUP(F942,#REF!,6,0)*K942/1000)</f>
        <v>0</v>
      </c>
      <c r="Q942" s="6">
        <f>IF(ISERROR(VLOOKUP(F942,#REF!,3,0)),0,VLOOKUP(F942,#REF!,3,0))</f>
        <v>0</v>
      </c>
      <c r="R942" s="6">
        <f>IF(ISERROR(VLOOKUP(F942,#REF!,4,0)),0,VLOOKUP(F942,#REF!,4,0))</f>
        <v>0</v>
      </c>
      <c r="S942" s="8">
        <f>IF(ISERROR(VLOOKUP(F942,#REF!,4,0)),0,VLOOKUP(F942,#REF!,10,0)/60*K942)</f>
        <v>0</v>
      </c>
      <c r="T942" s="3"/>
      <c r="U942" s="3"/>
      <c r="V942" s="4"/>
    </row>
    <row r="943" spans="1:22" x14ac:dyDescent="0.3">
      <c r="A943" s="5">
        <f t="shared" si="43"/>
        <v>0</v>
      </c>
      <c r="B943" s="6">
        <f t="shared" si="44"/>
        <v>0</v>
      </c>
      <c r="K943" s="18">
        <f t="shared" si="42"/>
        <v>0</v>
      </c>
      <c r="L943" s="21">
        <f>IF(ISERROR(VLOOKUP($F943,#REF!,6,0)*G943/1000),0,VLOOKUP($F943,#REF!,6,0)*G943/1000)</f>
        <v>0</v>
      </c>
      <c r="M943" s="21">
        <f>IF(ISERROR(VLOOKUP($F943,#REF!,6,0)*H943/1000),0,VLOOKUP($F943,#REF!,6,0)*H943/1000)</f>
        <v>0</v>
      </c>
      <c r="N943" s="21">
        <f>IF(ISERROR(VLOOKUP($F943,#REF!,6,0)*I943/1000),0,VLOOKUP($F943,#REF!,6,0)*I943/1000)</f>
        <v>0</v>
      </c>
      <c r="O943" s="21">
        <f>IF(ISERROR(VLOOKUP($F943,#REF!,6,0)*J943/1000),0,VLOOKUP($F943,#REF!,6,0)*J943/1000)</f>
        <v>0</v>
      </c>
      <c r="P943" s="21">
        <f>IF(ISERROR(VLOOKUP(F943,#REF!,6,0)*K943/1000),0,VLOOKUP(F943,#REF!,6,0)*K943/1000)</f>
        <v>0</v>
      </c>
      <c r="Q943" s="6">
        <f>IF(ISERROR(VLOOKUP(F943,#REF!,3,0)),0,VLOOKUP(F943,#REF!,3,0))</f>
        <v>0</v>
      </c>
      <c r="R943" s="6">
        <f>IF(ISERROR(VLOOKUP(F943,#REF!,4,0)),0,VLOOKUP(F943,#REF!,4,0))</f>
        <v>0</v>
      </c>
      <c r="S943" s="8">
        <f>IF(ISERROR(VLOOKUP(F943,#REF!,4,0)),0,VLOOKUP(F943,#REF!,10,0)/60*K943)</f>
        <v>0</v>
      </c>
      <c r="T943" s="3"/>
      <c r="U943" s="3"/>
      <c r="V943" s="4"/>
    </row>
    <row r="944" spans="1:22" x14ac:dyDescent="0.3">
      <c r="A944" s="5">
        <f t="shared" si="43"/>
        <v>0</v>
      </c>
      <c r="B944" s="6">
        <f t="shared" si="44"/>
        <v>0</v>
      </c>
      <c r="K944" s="18">
        <f t="shared" si="42"/>
        <v>0</v>
      </c>
      <c r="L944" s="21">
        <f>IF(ISERROR(VLOOKUP($F944,#REF!,6,0)*G944/1000),0,VLOOKUP($F944,#REF!,6,0)*G944/1000)</f>
        <v>0</v>
      </c>
      <c r="M944" s="21">
        <f>IF(ISERROR(VLOOKUP($F944,#REF!,6,0)*H944/1000),0,VLOOKUP($F944,#REF!,6,0)*H944/1000)</f>
        <v>0</v>
      </c>
      <c r="N944" s="21">
        <f>IF(ISERROR(VLOOKUP($F944,#REF!,6,0)*I944/1000),0,VLOOKUP($F944,#REF!,6,0)*I944/1000)</f>
        <v>0</v>
      </c>
      <c r="O944" s="21">
        <f>IF(ISERROR(VLOOKUP($F944,#REF!,6,0)*J944/1000),0,VLOOKUP($F944,#REF!,6,0)*J944/1000)</f>
        <v>0</v>
      </c>
      <c r="P944" s="21">
        <f>IF(ISERROR(VLOOKUP(F944,#REF!,6,0)*K944/1000),0,VLOOKUP(F944,#REF!,6,0)*K944/1000)</f>
        <v>0</v>
      </c>
      <c r="Q944" s="6">
        <f>IF(ISERROR(VLOOKUP(F944,#REF!,3,0)),0,VLOOKUP(F944,#REF!,3,0))</f>
        <v>0</v>
      </c>
      <c r="R944" s="6">
        <f>IF(ISERROR(VLOOKUP(F944,#REF!,4,0)),0,VLOOKUP(F944,#REF!,4,0))</f>
        <v>0</v>
      </c>
      <c r="S944" s="8">
        <f>IF(ISERROR(VLOOKUP(F944,#REF!,4,0)),0,VLOOKUP(F944,#REF!,10,0)/60*K944)</f>
        <v>0</v>
      </c>
      <c r="T944" s="3"/>
      <c r="U944" s="3"/>
      <c r="V944" s="4"/>
    </row>
    <row r="945" spans="1:22" x14ac:dyDescent="0.3">
      <c r="A945" s="5">
        <f t="shared" si="43"/>
        <v>0</v>
      </c>
      <c r="B945" s="6">
        <f t="shared" si="44"/>
        <v>0</v>
      </c>
      <c r="K945" s="18">
        <f t="shared" si="42"/>
        <v>0</v>
      </c>
      <c r="L945" s="21">
        <f>IF(ISERROR(VLOOKUP($F945,#REF!,6,0)*G945/1000),0,VLOOKUP($F945,#REF!,6,0)*G945/1000)</f>
        <v>0</v>
      </c>
      <c r="M945" s="21">
        <f>IF(ISERROR(VLOOKUP($F945,#REF!,6,0)*H945/1000),0,VLOOKUP($F945,#REF!,6,0)*H945/1000)</f>
        <v>0</v>
      </c>
      <c r="N945" s="21">
        <f>IF(ISERROR(VLOOKUP($F945,#REF!,6,0)*I945/1000),0,VLOOKUP($F945,#REF!,6,0)*I945/1000)</f>
        <v>0</v>
      </c>
      <c r="O945" s="21">
        <f>IF(ISERROR(VLOOKUP($F945,#REF!,6,0)*J945/1000),0,VLOOKUP($F945,#REF!,6,0)*J945/1000)</f>
        <v>0</v>
      </c>
      <c r="P945" s="21">
        <f>IF(ISERROR(VLOOKUP(F945,#REF!,6,0)*K945/1000),0,VLOOKUP(F945,#REF!,6,0)*K945/1000)</f>
        <v>0</v>
      </c>
      <c r="Q945" s="6">
        <f>IF(ISERROR(VLOOKUP(F945,#REF!,3,0)),0,VLOOKUP(F945,#REF!,3,0))</f>
        <v>0</v>
      </c>
      <c r="R945" s="6">
        <f>IF(ISERROR(VLOOKUP(F945,#REF!,4,0)),0,VLOOKUP(F945,#REF!,4,0))</f>
        <v>0</v>
      </c>
      <c r="S945" s="8">
        <f>IF(ISERROR(VLOOKUP(F945,#REF!,4,0)),0,VLOOKUP(F945,#REF!,10,0)/60*K945)</f>
        <v>0</v>
      </c>
      <c r="T945" s="3"/>
      <c r="U945" s="3"/>
      <c r="V945" s="4"/>
    </row>
    <row r="946" spans="1:22" x14ac:dyDescent="0.3">
      <c r="A946" s="5">
        <f t="shared" si="43"/>
        <v>0</v>
      </c>
      <c r="B946" s="6">
        <f t="shared" si="44"/>
        <v>0</v>
      </c>
      <c r="K946" s="18">
        <f t="shared" si="42"/>
        <v>0</v>
      </c>
      <c r="L946" s="21">
        <f>IF(ISERROR(VLOOKUP($F946,#REF!,6,0)*G946/1000),0,VLOOKUP($F946,#REF!,6,0)*G946/1000)</f>
        <v>0</v>
      </c>
      <c r="M946" s="21">
        <f>IF(ISERROR(VLOOKUP($F946,#REF!,6,0)*H946/1000),0,VLOOKUP($F946,#REF!,6,0)*H946/1000)</f>
        <v>0</v>
      </c>
      <c r="N946" s="21">
        <f>IF(ISERROR(VLOOKUP($F946,#REF!,6,0)*I946/1000),0,VLOOKUP($F946,#REF!,6,0)*I946/1000)</f>
        <v>0</v>
      </c>
      <c r="O946" s="21">
        <f>IF(ISERROR(VLOOKUP($F946,#REF!,6,0)*J946/1000),0,VLOOKUP($F946,#REF!,6,0)*J946/1000)</f>
        <v>0</v>
      </c>
      <c r="P946" s="21">
        <f>IF(ISERROR(VLOOKUP(F946,#REF!,6,0)*K946/1000),0,VLOOKUP(F946,#REF!,6,0)*K946/1000)</f>
        <v>0</v>
      </c>
      <c r="Q946" s="6">
        <f>IF(ISERROR(VLOOKUP(F946,#REF!,3,0)),0,VLOOKUP(F946,#REF!,3,0))</f>
        <v>0</v>
      </c>
      <c r="R946" s="6">
        <f>IF(ISERROR(VLOOKUP(F946,#REF!,4,0)),0,VLOOKUP(F946,#REF!,4,0))</f>
        <v>0</v>
      </c>
      <c r="S946" s="8">
        <f>IF(ISERROR(VLOOKUP(F946,#REF!,4,0)),0,VLOOKUP(F946,#REF!,10,0)/60*K946)</f>
        <v>0</v>
      </c>
      <c r="T946" s="3"/>
      <c r="U946" s="3"/>
      <c r="V946" s="4"/>
    </row>
    <row r="947" spans="1:22" x14ac:dyDescent="0.3">
      <c r="A947" s="5">
        <f t="shared" si="43"/>
        <v>0</v>
      </c>
      <c r="B947" s="6">
        <f t="shared" si="44"/>
        <v>0</v>
      </c>
      <c r="K947" s="18">
        <f t="shared" si="42"/>
        <v>0</v>
      </c>
      <c r="L947" s="21">
        <f>IF(ISERROR(VLOOKUP($F947,#REF!,6,0)*G947/1000),0,VLOOKUP($F947,#REF!,6,0)*G947/1000)</f>
        <v>0</v>
      </c>
      <c r="M947" s="21">
        <f>IF(ISERROR(VLOOKUP($F947,#REF!,6,0)*H947/1000),0,VLOOKUP($F947,#REF!,6,0)*H947/1000)</f>
        <v>0</v>
      </c>
      <c r="N947" s="21">
        <f>IF(ISERROR(VLOOKUP($F947,#REF!,6,0)*I947/1000),0,VLOOKUP($F947,#REF!,6,0)*I947/1000)</f>
        <v>0</v>
      </c>
      <c r="O947" s="21">
        <f>IF(ISERROR(VLOOKUP($F947,#REF!,6,0)*J947/1000),0,VLOOKUP($F947,#REF!,6,0)*J947/1000)</f>
        <v>0</v>
      </c>
      <c r="P947" s="21">
        <f>IF(ISERROR(VLOOKUP(F947,#REF!,6,0)*K947/1000),0,VLOOKUP(F947,#REF!,6,0)*K947/1000)</f>
        <v>0</v>
      </c>
      <c r="Q947" s="6">
        <f>IF(ISERROR(VLOOKUP(F947,#REF!,3,0)),0,VLOOKUP(F947,#REF!,3,0))</f>
        <v>0</v>
      </c>
      <c r="R947" s="6">
        <f>IF(ISERROR(VLOOKUP(F947,#REF!,4,0)),0,VLOOKUP(F947,#REF!,4,0))</f>
        <v>0</v>
      </c>
      <c r="S947" s="8">
        <f>IF(ISERROR(VLOOKUP(F947,#REF!,4,0)),0,VLOOKUP(F947,#REF!,10,0)/60*K947)</f>
        <v>0</v>
      </c>
      <c r="T947" s="3"/>
      <c r="U947" s="3"/>
      <c r="V947" s="4"/>
    </row>
    <row r="948" spans="1:22" x14ac:dyDescent="0.3">
      <c r="A948" s="5">
        <f t="shared" si="43"/>
        <v>0</v>
      </c>
      <c r="B948" s="6">
        <f t="shared" si="44"/>
        <v>0</v>
      </c>
      <c r="K948" s="18">
        <f t="shared" si="42"/>
        <v>0</v>
      </c>
      <c r="L948" s="21">
        <f>IF(ISERROR(VLOOKUP($F948,#REF!,6,0)*G948/1000),0,VLOOKUP($F948,#REF!,6,0)*G948/1000)</f>
        <v>0</v>
      </c>
      <c r="M948" s="21">
        <f>IF(ISERROR(VLOOKUP($F948,#REF!,6,0)*H948/1000),0,VLOOKUP($F948,#REF!,6,0)*H948/1000)</f>
        <v>0</v>
      </c>
      <c r="N948" s="21">
        <f>IF(ISERROR(VLOOKUP($F948,#REF!,6,0)*I948/1000),0,VLOOKUP($F948,#REF!,6,0)*I948/1000)</f>
        <v>0</v>
      </c>
      <c r="O948" s="21">
        <f>IF(ISERROR(VLOOKUP($F948,#REF!,6,0)*J948/1000),0,VLOOKUP($F948,#REF!,6,0)*J948/1000)</f>
        <v>0</v>
      </c>
      <c r="P948" s="21">
        <f>IF(ISERROR(VLOOKUP(F948,#REF!,6,0)*K948/1000),0,VLOOKUP(F948,#REF!,6,0)*K948/1000)</f>
        <v>0</v>
      </c>
      <c r="Q948" s="6">
        <f>IF(ISERROR(VLOOKUP(F948,#REF!,3,0)),0,VLOOKUP(F948,#REF!,3,0))</f>
        <v>0</v>
      </c>
      <c r="R948" s="6">
        <f>IF(ISERROR(VLOOKUP(F948,#REF!,4,0)),0,VLOOKUP(F948,#REF!,4,0))</f>
        <v>0</v>
      </c>
      <c r="S948" s="8">
        <f>IF(ISERROR(VLOOKUP(F948,#REF!,4,0)),0,VLOOKUP(F948,#REF!,10,0)/60*K948)</f>
        <v>0</v>
      </c>
      <c r="T948" s="3"/>
      <c r="U948" s="3"/>
      <c r="V948" s="4"/>
    </row>
    <row r="949" spans="1:22" x14ac:dyDescent="0.3">
      <c r="A949" s="5">
        <f t="shared" si="43"/>
        <v>0</v>
      </c>
      <c r="B949" s="6">
        <f t="shared" si="44"/>
        <v>0</v>
      </c>
      <c r="K949" s="18">
        <f t="shared" si="42"/>
        <v>0</v>
      </c>
      <c r="L949" s="21">
        <f>IF(ISERROR(VLOOKUP($F949,#REF!,6,0)*G949/1000),0,VLOOKUP($F949,#REF!,6,0)*G949/1000)</f>
        <v>0</v>
      </c>
      <c r="M949" s="21">
        <f>IF(ISERROR(VLOOKUP($F949,#REF!,6,0)*H949/1000),0,VLOOKUP($F949,#REF!,6,0)*H949/1000)</f>
        <v>0</v>
      </c>
      <c r="N949" s="21">
        <f>IF(ISERROR(VLOOKUP($F949,#REF!,6,0)*I949/1000),0,VLOOKUP($F949,#REF!,6,0)*I949/1000)</f>
        <v>0</v>
      </c>
      <c r="O949" s="21">
        <f>IF(ISERROR(VLOOKUP($F949,#REF!,6,0)*J949/1000),0,VLOOKUP($F949,#REF!,6,0)*J949/1000)</f>
        <v>0</v>
      </c>
      <c r="P949" s="21">
        <f>IF(ISERROR(VLOOKUP(F949,#REF!,6,0)*K949/1000),0,VLOOKUP(F949,#REF!,6,0)*K949/1000)</f>
        <v>0</v>
      </c>
      <c r="Q949" s="6">
        <f>IF(ISERROR(VLOOKUP(F949,#REF!,3,0)),0,VLOOKUP(F949,#REF!,3,0))</f>
        <v>0</v>
      </c>
      <c r="R949" s="6">
        <f>IF(ISERROR(VLOOKUP(F949,#REF!,4,0)),0,VLOOKUP(F949,#REF!,4,0))</f>
        <v>0</v>
      </c>
      <c r="S949" s="8">
        <f>IF(ISERROR(VLOOKUP(F949,#REF!,4,0)),0,VLOOKUP(F949,#REF!,10,0)/60*K949)</f>
        <v>0</v>
      </c>
      <c r="T949" s="3"/>
      <c r="U949" s="3"/>
      <c r="V949" s="4"/>
    </row>
    <row r="950" spans="1:22" x14ac:dyDescent="0.3">
      <c r="A950" s="5">
        <f t="shared" si="43"/>
        <v>0</v>
      </c>
      <c r="B950" s="6">
        <f t="shared" si="44"/>
        <v>0</v>
      </c>
      <c r="K950" s="18">
        <f t="shared" si="42"/>
        <v>0</v>
      </c>
      <c r="L950" s="21">
        <f>IF(ISERROR(VLOOKUP($F950,#REF!,6,0)*G950/1000),0,VLOOKUP($F950,#REF!,6,0)*G950/1000)</f>
        <v>0</v>
      </c>
      <c r="M950" s="21">
        <f>IF(ISERROR(VLOOKUP($F950,#REF!,6,0)*H950/1000),0,VLOOKUP($F950,#REF!,6,0)*H950/1000)</f>
        <v>0</v>
      </c>
      <c r="N950" s="21">
        <f>IF(ISERROR(VLOOKUP($F950,#REF!,6,0)*I950/1000),0,VLOOKUP($F950,#REF!,6,0)*I950/1000)</f>
        <v>0</v>
      </c>
      <c r="O950" s="21">
        <f>IF(ISERROR(VLOOKUP($F950,#REF!,6,0)*J950/1000),0,VLOOKUP($F950,#REF!,6,0)*J950/1000)</f>
        <v>0</v>
      </c>
      <c r="P950" s="21">
        <f>IF(ISERROR(VLOOKUP(F950,#REF!,6,0)*K950/1000),0,VLOOKUP(F950,#REF!,6,0)*K950/1000)</f>
        <v>0</v>
      </c>
      <c r="Q950" s="6">
        <f>IF(ISERROR(VLOOKUP(F950,#REF!,3,0)),0,VLOOKUP(F950,#REF!,3,0))</f>
        <v>0</v>
      </c>
      <c r="R950" s="6">
        <f>IF(ISERROR(VLOOKUP(F950,#REF!,4,0)),0,VLOOKUP(F950,#REF!,4,0))</f>
        <v>0</v>
      </c>
      <c r="S950" s="8">
        <f>IF(ISERROR(VLOOKUP(F950,#REF!,4,0)),0,VLOOKUP(F950,#REF!,10,0)/60*K950)</f>
        <v>0</v>
      </c>
      <c r="T950" s="3"/>
      <c r="U950" s="3"/>
      <c r="V950" s="4"/>
    </row>
    <row r="951" spans="1:22" x14ac:dyDescent="0.3">
      <c r="A951" s="5">
        <f t="shared" si="43"/>
        <v>0</v>
      </c>
      <c r="B951" s="6">
        <f t="shared" si="44"/>
        <v>0</v>
      </c>
      <c r="K951" s="18">
        <f t="shared" si="42"/>
        <v>0</v>
      </c>
      <c r="L951" s="21">
        <f>IF(ISERROR(VLOOKUP($F951,#REF!,6,0)*G951/1000),0,VLOOKUP($F951,#REF!,6,0)*G951/1000)</f>
        <v>0</v>
      </c>
      <c r="M951" s="21">
        <f>IF(ISERROR(VLOOKUP($F951,#REF!,6,0)*H951/1000),0,VLOOKUP($F951,#REF!,6,0)*H951/1000)</f>
        <v>0</v>
      </c>
      <c r="N951" s="21">
        <f>IF(ISERROR(VLOOKUP($F951,#REF!,6,0)*I951/1000),0,VLOOKUP($F951,#REF!,6,0)*I951/1000)</f>
        <v>0</v>
      </c>
      <c r="O951" s="21">
        <f>IF(ISERROR(VLOOKUP($F951,#REF!,6,0)*J951/1000),0,VLOOKUP($F951,#REF!,6,0)*J951/1000)</f>
        <v>0</v>
      </c>
      <c r="P951" s="21">
        <f>IF(ISERROR(VLOOKUP(F951,#REF!,6,0)*K951/1000),0,VLOOKUP(F951,#REF!,6,0)*K951/1000)</f>
        <v>0</v>
      </c>
      <c r="Q951" s="6">
        <f>IF(ISERROR(VLOOKUP(F951,#REF!,3,0)),0,VLOOKUP(F951,#REF!,3,0))</f>
        <v>0</v>
      </c>
      <c r="R951" s="6">
        <f>IF(ISERROR(VLOOKUP(F951,#REF!,4,0)),0,VLOOKUP(F951,#REF!,4,0))</f>
        <v>0</v>
      </c>
      <c r="S951" s="8">
        <f>IF(ISERROR(VLOOKUP(F951,#REF!,4,0)),0,VLOOKUP(F951,#REF!,10,0)/60*K951)</f>
        <v>0</v>
      </c>
      <c r="T951" s="3"/>
      <c r="U951" s="3"/>
      <c r="V951" s="4"/>
    </row>
    <row r="952" spans="1:22" x14ac:dyDescent="0.3">
      <c r="A952" s="5">
        <f t="shared" si="43"/>
        <v>0</v>
      </c>
      <c r="B952" s="6">
        <f t="shared" si="44"/>
        <v>0</v>
      </c>
      <c r="K952" s="18">
        <f t="shared" si="42"/>
        <v>0</v>
      </c>
      <c r="L952" s="21">
        <f>IF(ISERROR(VLOOKUP($F952,#REF!,6,0)*G952/1000),0,VLOOKUP($F952,#REF!,6,0)*G952/1000)</f>
        <v>0</v>
      </c>
      <c r="M952" s="21">
        <f>IF(ISERROR(VLOOKUP($F952,#REF!,6,0)*H952/1000),0,VLOOKUP($F952,#REF!,6,0)*H952/1000)</f>
        <v>0</v>
      </c>
      <c r="N952" s="21">
        <f>IF(ISERROR(VLOOKUP($F952,#REF!,6,0)*I952/1000),0,VLOOKUP($F952,#REF!,6,0)*I952/1000)</f>
        <v>0</v>
      </c>
      <c r="O952" s="21">
        <f>IF(ISERROR(VLOOKUP($F952,#REF!,6,0)*J952/1000),0,VLOOKUP($F952,#REF!,6,0)*J952/1000)</f>
        <v>0</v>
      </c>
      <c r="P952" s="21">
        <f>IF(ISERROR(VLOOKUP(F952,#REF!,6,0)*K952/1000),0,VLOOKUP(F952,#REF!,6,0)*K952/1000)</f>
        <v>0</v>
      </c>
      <c r="Q952" s="6">
        <f>IF(ISERROR(VLOOKUP(F952,#REF!,3,0)),0,VLOOKUP(F952,#REF!,3,0))</f>
        <v>0</v>
      </c>
      <c r="R952" s="6">
        <f>IF(ISERROR(VLOOKUP(F952,#REF!,4,0)),0,VLOOKUP(F952,#REF!,4,0))</f>
        <v>0</v>
      </c>
      <c r="S952" s="8">
        <f>IF(ISERROR(VLOOKUP(F952,#REF!,4,0)),0,VLOOKUP(F952,#REF!,10,0)/60*K952)</f>
        <v>0</v>
      </c>
      <c r="T952" s="3"/>
      <c r="U952" s="3"/>
      <c r="V952" s="4"/>
    </row>
    <row r="953" spans="1:22" x14ac:dyDescent="0.3">
      <c r="A953" s="5">
        <f t="shared" si="43"/>
        <v>0</v>
      </c>
      <c r="B953" s="6">
        <f t="shared" si="44"/>
        <v>0</v>
      </c>
      <c r="K953" s="18">
        <f t="shared" si="42"/>
        <v>0</v>
      </c>
      <c r="L953" s="21">
        <f>IF(ISERROR(VLOOKUP($F953,#REF!,6,0)*G953/1000),0,VLOOKUP($F953,#REF!,6,0)*G953/1000)</f>
        <v>0</v>
      </c>
      <c r="M953" s="21">
        <f>IF(ISERROR(VLOOKUP($F953,#REF!,6,0)*H953/1000),0,VLOOKUP($F953,#REF!,6,0)*H953/1000)</f>
        <v>0</v>
      </c>
      <c r="N953" s="21">
        <f>IF(ISERROR(VLOOKUP($F953,#REF!,6,0)*I953/1000),0,VLOOKUP($F953,#REF!,6,0)*I953/1000)</f>
        <v>0</v>
      </c>
      <c r="O953" s="21">
        <f>IF(ISERROR(VLOOKUP($F953,#REF!,6,0)*J953/1000),0,VLOOKUP($F953,#REF!,6,0)*J953/1000)</f>
        <v>0</v>
      </c>
      <c r="P953" s="21">
        <f>IF(ISERROR(VLOOKUP(F953,#REF!,6,0)*K953/1000),0,VLOOKUP(F953,#REF!,6,0)*K953/1000)</f>
        <v>0</v>
      </c>
      <c r="Q953" s="6">
        <f>IF(ISERROR(VLOOKUP(F953,#REF!,3,0)),0,VLOOKUP(F953,#REF!,3,0))</f>
        <v>0</v>
      </c>
      <c r="R953" s="6">
        <f>IF(ISERROR(VLOOKUP(F953,#REF!,4,0)),0,VLOOKUP(F953,#REF!,4,0))</f>
        <v>0</v>
      </c>
      <c r="S953" s="8">
        <f>IF(ISERROR(VLOOKUP(F953,#REF!,4,0)),0,VLOOKUP(F953,#REF!,10,0)/60*K953)</f>
        <v>0</v>
      </c>
      <c r="T953" s="3"/>
      <c r="U953" s="3"/>
      <c r="V953" s="4"/>
    </row>
    <row r="954" spans="1:22" x14ac:dyDescent="0.3">
      <c r="A954" s="5">
        <f t="shared" si="43"/>
        <v>0</v>
      </c>
      <c r="B954" s="6">
        <f t="shared" si="44"/>
        <v>0</v>
      </c>
      <c r="K954" s="18">
        <f t="shared" si="42"/>
        <v>0</v>
      </c>
      <c r="L954" s="21">
        <f>IF(ISERROR(VLOOKUP($F954,#REF!,6,0)*G954/1000),0,VLOOKUP($F954,#REF!,6,0)*G954/1000)</f>
        <v>0</v>
      </c>
      <c r="M954" s="21">
        <f>IF(ISERROR(VLOOKUP($F954,#REF!,6,0)*H954/1000),0,VLOOKUP($F954,#REF!,6,0)*H954/1000)</f>
        <v>0</v>
      </c>
      <c r="N954" s="21">
        <f>IF(ISERROR(VLOOKUP($F954,#REF!,6,0)*I954/1000),0,VLOOKUP($F954,#REF!,6,0)*I954/1000)</f>
        <v>0</v>
      </c>
      <c r="O954" s="21">
        <f>IF(ISERROR(VLOOKUP($F954,#REF!,6,0)*J954/1000),0,VLOOKUP($F954,#REF!,6,0)*J954/1000)</f>
        <v>0</v>
      </c>
      <c r="P954" s="21">
        <f>IF(ISERROR(VLOOKUP(F954,#REF!,6,0)*K954/1000),0,VLOOKUP(F954,#REF!,6,0)*K954/1000)</f>
        <v>0</v>
      </c>
      <c r="Q954" s="6">
        <f>IF(ISERROR(VLOOKUP(F954,#REF!,3,0)),0,VLOOKUP(F954,#REF!,3,0))</f>
        <v>0</v>
      </c>
      <c r="R954" s="6">
        <f>IF(ISERROR(VLOOKUP(F954,#REF!,4,0)),0,VLOOKUP(F954,#REF!,4,0))</f>
        <v>0</v>
      </c>
      <c r="S954" s="8">
        <f>IF(ISERROR(VLOOKUP(F954,#REF!,4,0)),0,VLOOKUP(F954,#REF!,10,0)/60*K954)</f>
        <v>0</v>
      </c>
      <c r="T954" s="3"/>
      <c r="U954" s="3"/>
      <c r="V954" s="4"/>
    </row>
    <row r="955" spans="1:22" x14ac:dyDescent="0.3">
      <c r="A955" s="5">
        <f t="shared" si="43"/>
        <v>0</v>
      </c>
      <c r="B955" s="6">
        <f t="shared" si="44"/>
        <v>0</v>
      </c>
      <c r="K955" s="18">
        <f t="shared" si="42"/>
        <v>0</v>
      </c>
      <c r="L955" s="21">
        <f>IF(ISERROR(VLOOKUP($F955,#REF!,6,0)*G955/1000),0,VLOOKUP($F955,#REF!,6,0)*G955/1000)</f>
        <v>0</v>
      </c>
      <c r="M955" s="21">
        <f>IF(ISERROR(VLOOKUP($F955,#REF!,6,0)*H955/1000),0,VLOOKUP($F955,#REF!,6,0)*H955/1000)</f>
        <v>0</v>
      </c>
      <c r="N955" s="21">
        <f>IF(ISERROR(VLOOKUP($F955,#REF!,6,0)*I955/1000),0,VLOOKUP($F955,#REF!,6,0)*I955/1000)</f>
        <v>0</v>
      </c>
      <c r="O955" s="21">
        <f>IF(ISERROR(VLOOKUP($F955,#REF!,6,0)*J955/1000),0,VLOOKUP($F955,#REF!,6,0)*J955/1000)</f>
        <v>0</v>
      </c>
      <c r="P955" s="21">
        <f>IF(ISERROR(VLOOKUP(F955,#REF!,6,0)*K955/1000),0,VLOOKUP(F955,#REF!,6,0)*K955/1000)</f>
        <v>0</v>
      </c>
      <c r="Q955" s="6">
        <f>IF(ISERROR(VLOOKUP(F955,#REF!,3,0)),0,VLOOKUP(F955,#REF!,3,0))</f>
        <v>0</v>
      </c>
      <c r="R955" s="6">
        <f>IF(ISERROR(VLOOKUP(F955,#REF!,4,0)),0,VLOOKUP(F955,#REF!,4,0))</f>
        <v>0</v>
      </c>
      <c r="S955" s="8">
        <f>IF(ISERROR(VLOOKUP(F955,#REF!,4,0)),0,VLOOKUP(F955,#REF!,10,0)/60*K955)</f>
        <v>0</v>
      </c>
      <c r="T955" s="3"/>
      <c r="U955" s="3"/>
      <c r="V955" s="4"/>
    </row>
    <row r="956" spans="1:22" x14ac:dyDescent="0.3">
      <c r="A956" s="5">
        <f t="shared" si="43"/>
        <v>0</v>
      </c>
      <c r="B956" s="6">
        <f t="shared" si="44"/>
        <v>0</v>
      </c>
      <c r="K956" s="18">
        <f t="shared" si="42"/>
        <v>0</v>
      </c>
      <c r="L956" s="21">
        <f>IF(ISERROR(VLOOKUP($F956,#REF!,6,0)*G956/1000),0,VLOOKUP($F956,#REF!,6,0)*G956/1000)</f>
        <v>0</v>
      </c>
      <c r="M956" s="21">
        <f>IF(ISERROR(VLOOKUP($F956,#REF!,6,0)*H956/1000),0,VLOOKUP($F956,#REF!,6,0)*H956/1000)</f>
        <v>0</v>
      </c>
      <c r="N956" s="21">
        <f>IF(ISERROR(VLOOKUP($F956,#REF!,6,0)*I956/1000),0,VLOOKUP($F956,#REF!,6,0)*I956/1000)</f>
        <v>0</v>
      </c>
      <c r="O956" s="21">
        <f>IF(ISERROR(VLOOKUP($F956,#REF!,6,0)*J956/1000),0,VLOOKUP($F956,#REF!,6,0)*J956/1000)</f>
        <v>0</v>
      </c>
      <c r="P956" s="21">
        <f>IF(ISERROR(VLOOKUP(F956,#REF!,6,0)*K956/1000),0,VLOOKUP(F956,#REF!,6,0)*K956/1000)</f>
        <v>0</v>
      </c>
      <c r="Q956" s="6">
        <f>IF(ISERROR(VLOOKUP(F956,#REF!,3,0)),0,VLOOKUP(F956,#REF!,3,0))</f>
        <v>0</v>
      </c>
      <c r="R956" s="6">
        <f>IF(ISERROR(VLOOKUP(F956,#REF!,4,0)),0,VLOOKUP(F956,#REF!,4,0))</f>
        <v>0</v>
      </c>
      <c r="S956" s="8">
        <f>IF(ISERROR(VLOOKUP(F956,#REF!,4,0)),0,VLOOKUP(F956,#REF!,10,0)/60*K956)</f>
        <v>0</v>
      </c>
      <c r="T956" s="3"/>
      <c r="U956" s="3"/>
      <c r="V956" s="4"/>
    </row>
    <row r="957" spans="1:22" x14ac:dyDescent="0.3">
      <c r="A957" s="5">
        <f t="shared" si="43"/>
        <v>0</v>
      </c>
      <c r="B957" s="6">
        <f t="shared" si="44"/>
        <v>0</v>
      </c>
      <c r="K957" s="18">
        <f t="shared" si="42"/>
        <v>0</v>
      </c>
      <c r="L957" s="21">
        <f>IF(ISERROR(VLOOKUP($F957,#REF!,6,0)*G957/1000),0,VLOOKUP($F957,#REF!,6,0)*G957/1000)</f>
        <v>0</v>
      </c>
      <c r="M957" s="21">
        <f>IF(ISERROR(VLOOKUP($F957,#REF!,6,0)*H957/1000),0,VLOOKUP($F957,#REF!,6,0)*H957/1000)</f>
        <v>0</v>
      </c>
      <c r="N957" s="21">
        <f>IF(ISERROR(VLOOKUP($F957,#REF!,6,0)*I957/1000),0,VLOOKUP($F957,#REF!,6,0)*I957/1000)</f>
        <v>0</v>
      </c>
      <c r="O957" s="21">
        <f>IF(ISERROR(VLOOKUP($F957,#REF!,6,0)*J957/1000),0,VLOOKUP($F957,#REF!,6,0)*J957/1000)</f>
        <v>0</v>
      </c>
      <c r="P957" s="21">
        <f>IF(ISERROR(VLOOKUP(F957,#REF!,6,0)*K957/1000),0,VLOOKUP(F957,#REF!,6,0)*K957/1000)</f>
        <v>0</v>
      </c>
      <c r="Q957" s="6">
        <f>IF(ISERROR(VLOOKUP(F957,#REF!,3,0)),0,VLOOKUP(F957,#REF!,3,0))</f>
        <v>0</v>
      </c>
      <c r="R957" s="6">
        <f>IF(ISERROR(VLOOKUP(F957,#REF!,4,0)),0,VLOOKUP(F957,#REF!,4,0))</f>
        <v>0</v>
      </c>
      <c r="S957" s="8">
        <f>IF(ISERROR(VLOOKUP(F957,#REF!,4,0)),0,VLOOKUP(F957,#REF!,10,0)/60*K957)</f>
        <v>0</v>
      </c>
      <c r="T957" s="3"/>
      <c r="U957" s="3"/>
      <c r="V957" s="4"/>
    </row>
    <row r="958" spans="1:22" x14ac:dyDescent="0.3">
      <c r="A958" s="5">
        <f t="shared" si="43"/>
        <v>0</v>
      </c>
      <c r="B958" s="6">
        <f t="shared" si="44"/>
        <v>0</v>
      </c>
      <c r="K958" s="18">
        <f t="shared" si="42"/>
        <v>0</v>
      </c>
      <c r="L958" s="21">
        <f>IF(ISERROR(VLOOKUP($F958,#REF!,6,0)*G958/1000),0,VLOOKUP($F958,#REF!,6,0)*G958/1000)</f>
        <v>0</v>
      </c>
      <c r="M958" s="21">
        <f>IF(ISERROR(VLOOKUP($F958,#REF!,6,0)*H958/1000),0,VLOOKUP($F958,#REF!,6,0)*H958/1000)</f>
        <v>0</v>
      </c>
      <c r="N958" s="21">
        <f>IF(ISERROR(VLOOKUP($F958,#REF!,6,0)*I958/1000),0,VLOOKUP($F958,#REF!,6,0)*I958/1000)</f>
        <v>0</v>
      </c>
      <c r="O958" s="21">
        <f>IF(ISERROR(VLOOKUP($F958,#REF!,6,0)*J958/1000),0,VLOOKUP($F958,#REF!,6,0)*J958/1000)</f>
        <v>0</v>
      </c>
      <c r="P958" s="21">
        <f>IF(ISERROR(VLOOKUP(F958,#REF!,6,0)*K958/1000),0,VLOOKUP(F958,#REF!,6,0)*K958/1000)</f>
        <v>0</v>
      </c>
      <c r="Q958" s="6">
        <f>IF(ISERROR(VLOOKUP(F958,#REF!,3,0)),0,VLOOKUP(F958,#REF!,3,0))</f>
        <v>0</v>
      </c>
      <c r="R958" s="6">
        <f>IF(ISERROR(VLOOKUP(F958,#REF!,4,0)),0,VLOOKUP(F958,#REF!,4,0))</f>
        <v>0</v>
      </c>
      <c r="S958" s="8">
        <f>IF(ISERROR(VLOOKUP(F958,#REF!,4,0)),0,VLOOKUP(F958,#REF!,10,0)/60*K958)</f>
        <v>0</v>
      </c>
      <c r="T958" s="3"/>
      <c r="U958" s="3"/>
      <c r="V958" s="4"/>
    </row>
    <row r="959" spans="1:22" x14ac:dyDescent="0.3">
      <c r="A959" s="5">
        <f t="shared" si="43"/>
        <v>0</v>
      </c>
      <c r="B959" s="6">
        <f t="shared" si="44"/>
        <v>0</v>
      </c>
      <c r="K959" s="18">
        <f t="shared" si="42"/>
        <v>0</v>
      </c>
      <c r="L959" s="21">
        <f>IF(ISERROR(VLOOKUP($F959,#REF!,6,0)*G959/1000),0,VLOOKUP($F959,#REF!,6,0)*G959/1000)</f>
        <v>0</v>
      </c>
      <c r="M959" s="21">
        <f>IF(ISERROR(VLOOKUP($F959,#REF!,6,0)*H959/1000),0,VLOOKUP($F959,#REF!,6,0)*H959/1000)</f>
        <v>0</v>
      </c>
      <c r="N959" s="21">
        <f>IF(ISERROR(VLOOKUP($F959,#REF!,6,0)*I959/1000),0,VLOOKUP($F959,#REF!,6,0)*I959/1000)</f>
        <v>0</v>
      </c>
      <c r="O959" s="21">
        <f>IF(ISERROR(VLOOKUP($F959,#REF!,6,0)*J959/1000),0,VLOOKUP($F959,#REF!,6,0)*J959/1000)</f>
        <v>0</v>
      </c>
      <c r="P959" s="21">
        <f>IF(ISERROR(VLOOKUP(F959,#REF!,6,0)*K959/1000),0,VLOOKUP(F959,#REF!,6,0)*K959/1000)</f>
        <v>0</v>
      </c>
      <c r="Q959" s="6">
        <f>IF(ISERROR(VLOOKUP(F959,#REF!,3,0)),0,VLOOKUP(F959,#REF!,3,0))</f>
        <v>0</v>
      </c>
      <c r="R959" s="6">
        <f>IF(ISERROR(VLOOKUP(F959,#REF!,4,0)),0,VLOOKUP(F959,#REF!,4,0))</f>
        <v>0</v>
      </c>
      <c r="S959" s="8">
        <f>IF(ISERROR(VLOOKUP(F959,#REF!,4,0)),0,VLOOKUP(F959,#REF!,10,0)/60*K959)</f>
        <v>0</v>
      </c>
      <c r="T959" s="3"/>
      <c r="U959" s="3"/>
      <c r="V959" s="4"/>
    </row>
    <row r="960" spans="1:22" x14ac:dyDescent="0.3">
      <c r="A960" s="5">
        <f t="shared" si="43"/>
        <v>0</v>
      </c>
      <c r="B960" s="6">
        <f t="shared" si="44"/>
        <v>0</v>
      </c>
      <c r="K960" s="18">
        <f t="shared" si="42"/>
        <v>0</v>
      </c>
      <c r="L960" s="21">
        <f>IF(ISERROR(VLOOKUP($F960,#REF!,6,0)*G960/1000),0,VLOOKUP($F960,#REF!,6,0)*G960/1000)</f>
        <v>0</v>
      </c>
      <c r="M960" s="21">
        <f>IF(ISERROR(VLOOKUP($F960,#REF!,6,0)*H960/1000),0,VLOOKUP($F960,#REF!,6,0)*H960/1000)</f>
        <v>0</v>
      </c>
      <c r="N960" s="21">
        <f>IF(ISERROR(VLOOKUP($F960,#REF!,6,0)*I960/1000),0,VLOOKUP($F960,#REF!,6,0)*I960/1000)</f>
        <v>0</v>
      </c>
      <c r="O960" s="21">
        <f>IF(ISERROR(VLOOKUP($F960,#REF!,6,0)*J960/1000),0,VLOOKUP($F960,#REF!,6,0)*J960/1000)</f>
        <v>0</v>
      </c>
      <c r="P960" s="21">
        <f>IF(ISERROR(VLOOKUP(F960,#REF!,6,0)*K960/1000),0,VLOOKUP(F960,#REF!,6,0)*K960/1000)</f>
        <v>0</v>
      </c>
      <c r="Q960" s="6">
        <f>IF(ISERROR(VLOOKUP(F960,#REF!,3,0)),0,VLOOKUP(F960,#REF!,3,0))</f>
        <v>0</v>
      </c>
      <c r="R960" s="6">
        <f>IF(ISERROR(VLOOKUP(F960,#REF!,4,0)),0,VLOOKUP(F960,#REF!,4,0))</f>
        <v>0</v>
      </c>
      <c r="S960" s="8">
        <f>IF(ISERROR(VLOOKUP(F960,#REF!,4,0)),0,VLOOKUP(F960,#REF!,10,0)/60*K960)</f>
        <v>0</v>
      </c>
      <c r="T960" s="3"/>
      <c r="U960" s="3"/>
      <c r="V960" s="4"/>
    </row>
    <row r="961" spans="1:22" x14ac:dyDescent="0.3">
      <c r="A961" s="5">
        <f t="shared" si="43"/>
        <v>0</v>
      </c>
      <c r="B961" s="6">
        <f t="shared" si="44"/>
        <v>0</v>
      </c>
      <c r="K961" s="18">
        <f t="shared" si="42"/>
        <v>0</v>
      </c>
      <c r="L961" s="21">
        <f>IF(ISERROR(VLOOKUP($F961,#REF!,6,0)*G961/1000),0,VLOOKUP($F961,#REF!,6,0)*G961/1000)</f>
        <v>0</v>
      </c>
      <c r="M961" s="21">
        <f>IF(ISERROR(VLOOKUP($F961,#REF!,6,0)*H961/1000),0,VLOOKUP($F961,#REF!,6,0)*H961/1000)</f>
        <v>0</v>
      </c>
      <c r="N961" s="21">
        <f>IF(ISERROR(VLOOKUP($F961,#REF!,6,0)*I961/1000),0,VLOOKUP($F961,#REF!,6,0)*I961/1000)</f>
        <v>0</v>
      </c>
      <c r="O961" s="21">
        <f>IF(ISERROR(VLOOKUP($F961,#REF!,6,0)*J961/1000),0,VLOOKUP($F961,#REF!,6,0)*J961/1000)</f>
        <v>0</v>
      </c>
      <c r="P961" s="21">
        <f>IF(ISERROR(VLOOKUP(F961,#REF!,6,0)*K961/1000),0,VLOOKUP(F961,#REF!,6,0)*K961/1000)</f>
        <v>0</v>
      </c>
      <c r="Q961" s="6">
        <f>IF(ISERROR(VLOOKUP(F961,#REF!,3,0)),0,VLOOKUP(F961,#REF!,3,0))</f>
        <v>0</v>
      </c>
      <c r="R961" s="6">
        <f>IF(ISERROR(VLOOKUP(F961,#REF!,4,0)),0,VLOOKUP(F961,#REF!,4,0))</f>
        <v>0</v>
      </c>
      <c r="S961" s="8">
        <f>IF(ISERROR(VLOOKUP(F961,#REF!,4,0)),0,VLOOKUP(F961,#REF!,10,0)/60*K961)</f>
        <v>0</v>
      </c>
      <c r="T961" s="3"/>
      <c r="U961" s="3"/>
      <c r="V961" s="4"/>
    </row>
    <row r="962" spans="1:22" x14ac:dyDescent="0.3">
      <c r="A962" s="5">
        <f t="shared" si="43"/>
        <v>0</v>
      </c>
      <c r="B962" s="6">
        <f t="shared" si="44"/>
        <v>0</v>
      </c>
      <c r="K962" s="18">
        <f t="shared" si="42"/>
        <v>0</v>
      </c>
      <c r="L962" s="21">
        <f>IF(ISERROR(VLOOKUP($F962,#REF!,6,0)*G962/1000),0,VLOOKUP($F962,#REF!,6,0)*G962/1000)</f>
        <v>0</v>
      </c>
      <c r="M962" s="21">
        <f>IF(ISERROR(VLOOKUP($F962,#REF!,6,0)*H962/1000),0,VLOOKUP($F962,#REF!,6,0)*H962/1000)</f>
        <v>0</v>
      </c>
      <c r="N962" s="21">
        <f>IF(ISERROR(VLOOKUP($F962,#REF!,6,0)*I962/1000),0,VLOOKUP($F962,#REF!,6,0)*I962/1000)</f>
        <v>0</v>
      </c>
      <c r="O962" s="21">
        <f>IF(ISERROR(VLOOKUP($F962,#REF!,6,0)*J962/1000),0,VLOOKUP($F962,#REF!,6,0)*J962/1000)</f>
        <v>0</v>
      </c>
      <c r="P962" s="21">
        <f>IF(ISERROR(VLOOKUP(F962,#REF!,6,0)*K962/1000),0,VLOOKUP(F962,#REF!,6,0)*K962/1000)</f>
        <v>0</v>
      </c>
      <c r="Q962" s="6">
        <f>IF(ISERROR(VLOOKUP(F962,#REF!,3,0)),0,VLOOKUP(F962,#REF!,3,0))</f>
        <v>0</v>
      </c>
      <c r="R962" s="6">
        <f>IF(ISERROR(VLOOKUP(F962,#REF!,4,0)),0,VLOOKUP(F962,#REF!,4,0))</f>
        <v>0</v>
      </c>
      <c r="S962" s="8">
        <f>IF(ISERROR(VLOOKUP(F962,#REF!,4,0)),0,VLOOKUP(F962,#REF!,10,0)/60*K962)</f>
        <v>0</v>
      </c>
      <c r="T962" s="3"/>
      <c r="U962" s="3"/>
      <c r="V962" s="4"/>
    </row>
    <row r="963" spans="1:22" x14ac:dyDescent="0.3">
      <c r="A963" s="5">
        <f t="shared" si="43"/>
        <v>0</v>
      </c>
      <c r="B963" s="6">
        <f t="shared" si="44"/>
        <v>0</v>
      </c>
      <c r="K963" s="18">
        <f t="shared" si="42"/>
        <v>0</v>
      </c>
      <c r="L963" s="21">
        <f>IF(ISERROR(VLOOKUP($F963,#REF!,6,0)*G963/1000),0,VLOOKUP($F963,#REF!,6,0)*G963/1000)</f>
        <v>0</v>
      </c>
      <c r="M963" s="21">
        <f>IF(ISERROR(VLOOKUP($F963,#REF!,6,0)*H963/1000),0,VLOOKUP($F963,#REF!,6,0)*H963/1000)</f>
        <v>0</v>
      </c>
      <c r="N963" s="21">
        <f>IF(ISERROR(VLOOKUP($F963,#REF!,6,0)*I963/1000),0,VLOOKUP($F963,#REF!,6,0)*I963/1000)</f>
        <v>0</v>
      </c>
      <c r="O963" s="21">
        <f>IF(ISERROR(VLOOKUP($F963,#REF!,6,0)*J963/1000),0,VLOOKUP($F963,#REF!,6,0)*J963/1000)</f>
        <v>0</v>
      </c>
      <c r="P963" s="21">
        <f>IF(ISERROR(VLOOKUP(F963,#REF!,6,0)*K963/1000),0,VLOOKUP(F963,#REF!,6,0)*K963/1000)</f>
        <v>0</v>
      </c>
      <c r="Q963" s="6">
        <f>IF(ISERROR(VLOOKUP(F963,#REF!,3,0)),0,VLOOKUP(F963,#REF!,3,0))</f>
        <v>0</v>
      </c>
      <c r="R963" s="6">
        <f>IF(ISERROR(VLOOKUP(F963,#REF!,4,0)),0,VLOOKUP(F963,#REF!,4,0))</f>
        <v>0</v>
      </c>
      <c r="S963" s="8">
        <f>IF(ISERROR(VLOOKUP(F963,#REF!,4,0)),0,VLOOKUP(F963,#REF!,10,0)/60*K963)</f>
        <v>0</v>
      </c>
      <c r="T963" s="3"/>
      <c r="U963" s="3"/>
      <c r="V963" s="4"/>
    </row>
    <row r="964" spans="1:22" x14ac:dyDescent="0.3">
      <c r="A964" s="5">
        <f t="shared" si="43"/>
        <v>0</v>
      </c>
      <c r="B964" s="6">
        <f t="shared" si="44"/>
        <v>0</v>
      </c>
      <c r="K964" s="18">
        <f t="shared" ref="K964:K1027" si="45">SUM(G964:J964)</f>
        <v>0</v>
      </c>
      <c r="L964" s="21">
        <f>IF(ISERROR(VLOOKUP($F964,#REF!,6,0)*G964/1000),0,VLOOKUP($F964,#REF!,6,0)*G964/1000)</f>
        <v>0</v>
      </c>
      <c r="M964" s="21">
        <f>IF(ISERROR(VLOOKUP($F964,#REF!,6,0)*H964/1000),0,VLOOKUP($F964,#REF!,6,0)*H964/1000)</f>
        <v>0</v>
      </c>
      <c r="N964" s="21">
        <f>IF(ISERROR(VLOOKUP($F964,#REF!,6,0)*I964/1000),0,VLOOKUP($F964,#REF!,6,0)*I964/1000)</f>
        <v>0</v>
      </c>
      <c r="O964" s="21">
        <f>IF(ISERROR(VLOOKUP($F964,#REF!,6,0)*J964/1000),0,VLOOKUP($F964,#REF!,6,0)*J964/1000)</f>
        <v>0</v>
      </c>
      <c r="P964" s="21">
        <f>IF(ISERROR(VLOOKUP(F964,#REF!,6,0)*K964/1000),0,VLOOKUP(F964,#REF!,6,0)*K964/1000)</f>
        <v>0</v>
      </c>
      <c r="Q964" s="6">
        <f>IF(ISERROR(VLOOKUP(F964,#REF!,3,0)),0,VLOOKUP(F964,#REF!,3,0))</f>
        <v>0</v>
      </c>
      <c r="R964" s="6">
        <f>IF(ISERROR(VLOOKUP(F964,#REF!,4,0)),0,VLOOKUP(F964,#REF!,4,0))</f>
        <v>0</v>
      </c>
      <c r="S964" s="8">
        <f>IF(ISERROR(VLOOKUP(F964,#REF!,4,0)),0,VLOOKUP(F964,#REF!,10,0)/60*K964)</f>
        <v>0</v>
      </c>
      <c r="T964" s="3"/>
      <c r="U964" s="3"/>
      <c r="V964" s="4"/>
    </row>
    <row r="965" spans="1:22" x14ac:dyDescent="0.3">
      <c r="A965" s="5">
        <f t="shared" ref="A965:A1028" si="46">IF(C965=0,0,YEAR(C965))</f>
        <v>0</v>
      </c>
      <c r="B965" s="6">
        <f t="shared" ref="B965:B1028" si="47">IF(C965&gt;0,VLOOKUP(MONTH($C965),$AJ$3:$AK$14,2,0),0)</f>
        <v>0</v>
      </c>
      <c r="K965" s="18">
        <f t="shared" si="45"/>
        <v>0</v>
      </c>
      <c r="L965" s="21">
        <f>IF(ISERROR(VLOOKUP($F965,#REF!,6,0)*G965/1000),0,VLOOKUP($F965,#REF!,6,0)*G965/1000)</f>
        <v>0</v>
      </c>
      <c r="M965" s="21">
        <f>IF(ISERROR(VLOOKUP($F965,#REF!,6,0)*H965/1000),0,VLOOKUP($F965,#REF!,6,0)*H965/1000)</f>
        <v>0</v>
      </c>
      <c r="N965" s="21">
        <f>IF(ISERROR(VLOOKUP($F965,#REF!,6,0)*I965/1000),0,VLOOKUP($F965,#REF!,6,0)*I965/1000)</f>
        <v>0</v>
      </c>
      <c r="O965" s="21">
        <f>IF(ISERROR(VLOOKUP($F965,#REF!,6,0)*J965/1000),0,VLOOKUP($F965,#REF!,6,0)*J965/1000)</f>
        <v>0</v>
      </c>
      <c r="P965" s="21">
        <f>IF(ISERROR(VLOOKUP(F965,#REF!,6,0)*K965/1000),0,VLOOKUP(F965,#REF!,6,0)*K965/1000)</f>
        <v>0</v>
      </c>
      <c r="Q965" s="6">
        <f>IF(ISERROR(VLOOKUP(F965,#REF!,3,0)),0,VLOOKUP(F965,#REF!,3,0))</f>
        <v>0</v>
      </c>
      <c r="R965" s="6">
        <f>IF(ISERROR(VLOOKUP(F965,#REF!,4,0)),0,VLOOKUP(F965,#REF!,4,0))</f>
        <v>0</v>
      </c>
      <c r="S965" s="8">
        <f>IF(ISERROR(VLOOKUP(F965,#REF!,4,0)),0,VLOOKUP(F965,#REF!,10,0)/60*K965)</f>
        <v>0</v>
      </c>
      <c r="T965" s="3"/>
      <c r="U965" s="3"/>
      <c r="V965" s="4"/>
    </row>
    <row r="966" spans="1:22" x14ac:dyDescent="0.3">
      <c r="A966" s="5">
        <f t="shared" si="46"/>
        <v>0</v>
      </c>
      <c r="B966" s="6">
        <f t="shared" si="47"/>
        <v>0</v>
      </c>
      <c r="K966" s="18">
        <f t="shared" si="45"/>
        <v>0</v>
      </c>
      <c r="L966" s="21">
        <f>IF(ISERROR(VLOOKUP($F966,#REF!,6,0)*G966/1000),0,VLOOKUP($F966,#REF!,6,0)*G966/1000)</f>
        <v>0</v>
      </c>
      <c r="M966" s="21">
        <f>IF(ISERROR(VLOOKUP($F966,#REF!,6,0)*H966/1000),0,VLOOKUP($F966,#REF!,6,0)*H966/1000)</f>
        <v>0</v>
      </c>
      <c r="N966" s="21">
        <f>IF(ISERROR(VLOOKUP($F966,#REF!,6,0)*I966/1000),0,VLOOKUP($F966,#REF!,6,0)*I966/1000)</f>
        <v>0</v>
      </c>
      <c r="O966" s="21">
        <f>IF(ISERROR(VLOOKUP($F966,#REF!,6,0)*J966/1000),0,VLOOKUP($F966,#REF!,6,0)*J966/1000)</f>
        <v>0</v>
      </c>
      <c r="P966" s="21">
        <f>IF(ISERROR(VLOOKUP(F966,#REF!,6,0)*K966/1000),0,VLOOKUP(F966,#REF!,6,0)*K966/1000)</f>
        <v>0</v>
      </c>
      <c r="Q966" s="6">
        <f>IF(ISERROR(VLOOKUP(F966,#REF!,3,0)),0,VLOOKUP(F966,#REF!,3,0))</f>
        <v>0</v>
      </c>
      <c r="R966" s="6">
        <f>IF(ISERROR(VLOOKUP(F966,#REF!,4,0)),0,VLOOKUP(F966,#REF!,4,0))</f>
        <v>0</v>
      </c>
      <c r="S966" s="8">
        <f>IF(ISERROR(VLOOKUP(F966,#REF!,4,0)),0,VLOOKUP(F966,#REF!,10,0)/60*K966)</f>
        <v>0</v>
      </c>
      <c r="T966" s="3"/>
      <c r="U966" s="3"/>
      <c r="V966" s="4"/>
    </row>
    <row r="967" spans="1:22" x14ac:dyDescent="0.3">
      <c r="A967" s="5">
        <f t="shared" si="46"/>
        <v>0</v>
      </c>
      <c r="B967" s="6">
        <f t="shared" si="47"/>
        <v>0</v>
      </c>
      <c r="K967" s="18">
        <f t="shared" si="45"/>
        <v>0</v>
      </c>
      <c r="L967" s="21">
        <f>IF(ISERROR(VLOOKUP($F967,#REF!,6,0)*G967/1000),0,VLOOKUP($F967,#REF!,6,0)*G967/1000)</f>
        <v>0</v>
      </c>
      <c r="M967" s="21">
        <f>IF(ISERROR(VLOOKUP($F967,#REF!,6,0)*H967/1000),0,VLOOKUP($F967,#REF!,6,0)*H967/1000)</f>
        <v>0</v>
      </c>
      <c r="N967" s="21">
        <f>IF(ISERROR(VLOOKUP($F967,#REF!,6,0)*I967/1000),0,VLOOKUP($F967,#REF!,6,0)*I967/1000)</f>
        <v>0</v>
      </c>
      <c r="O967" s="21">
        <f>IF(ISERROR(VLOOKUP($F967,#REF!,6,0)*J967/1000),0,VLOOKUP($F967,#REF!,6,0)*J967/1000)</f>
        <v>0</v>
      </c>
      <c r="P967" s="21">
        <f>IF(ISERROR(VLOOKUP(F967,#REF!,6,0)*K967/1000),0,VLOOKUP(F967,#REF!,6,0)*K967/1000)</f>
        <v>0</v>
      </c>
      <c r="Q967" s="6">
        <f>IF(ISERROR(VLOOKUP(F967,#REF!,3,0)),0,VLOOKUP(F967,#REF!,3,0))</f>
        <v>0</v>
      </c>
      <c r="R967" s="6">
        <f>IF(ISERROR(VLOOKUP(F967,#REF!,4,0)),0,VLOOKUP(F967,#REF!,4,0))</f>
        <v>0</v>
      </c>
      <c r="S967" s="8">
        <f>IF(ISERROR(VLOOKUP(F967,#REF!,4,0)),0,VLOOKUP(F967,#REF!,10,0)/60*K967)</f>
        <v>0</v>
      </c>
      <c r="T967" s="3"/>
      <c r="U967" s="3"/>
      <c r="V967" s="4"/>
    </row>
    <row r="968" spans="1:22" x14ac:dyDescent="0.3">
      <c r="A968" s="5">
        <f t="shared" si="46"/>
        <v>0</v>
      </c>
      <c r="B968" s="6">
        <f t="shared" si="47"/>
        <v>0</v>
      </c>
      <c r="K968" s="18">
        <f t="shared" si="45"/>
        <v>0</v>
      </c>
      <c r="L968" s="21">
        <f>IF(ISERROR(VLOOKUP($F968,#REF!,6,0)*G968/1000),0,VLOOKUP($F968,#REF!,6,0)*G968/1000)</f>
        <v>0</v>
      </c>
      <c r="M968" s="21">
        <f>IF(ISERROR(VLOOKUP($F968,#REF!,6,0)*H968/1000),0,VLOOKUP($F968,#REF!,6,0)*H968/1000)</f>
        <v>0</v>
      </c>
      <c r="N968" s="21">
        <f>IF(ISERROR(VLOOKUP($F968,#REF!,6,0)*I968/1000),0,VLOOKUP($F968,#REF!,6,0)*I968/1000)</f>
        <v>0</v>
      </c>
      <c r="O968" s="21">
        <f>IF(ISERROR(VLOOKUP($F968,#REF!,6,0)*J968/1000),0,VLOOKUP($F968,#REF!,6,0)*J968/1000)</f>
        <v>0</v>
      </c>
      <c r="P968" s="21">
        <f>IF(ISERROR(VLOOKUP(F968,#REF!,6,0)*K968/1000),0,VLOOKUP(F968,#REF!,6,0)*K968/1000)</f>
        <v>0</v>
      </c>
      <c r="Q968" s="6">
        <f>IF(ISERROR(VLOOKUP(F968,#REF!,3,0)),0,VLOOKUP(F968,#REF!,3,0))</f>
        <v>0</v>
      </c>
      <c r="R968" s="6">
        <f>IF(ISERROR(VLOOKUP(F968,#REF!,4,0)),0,VLOOKUP(F968,#REF!,4,0))</f>
        <v>0</v>
      </c>
      <c r="S968" s="8">
        <f>IF(ISERROR(VLOOKUP(F968,#REF!,4,0)),0,VLOOKUP(F968,#REF!,10,0)/60*K968)</f>
        <v>0</v>
      </c>
      <c r="T968" s="3"/>
      <c r="U968" s="3"/>
      <c r="V968" s="4"/>
    </row>
    <row r="969" spans="1:22" x14ac:dyDescent="0.3">
      <c r="A969" s="5">
        <f t="shared" si="46"/>
        <v>0</v>
      </c>
      <c r="B969" s="6">
        <f t="shared" si="47"/>
        <v>0</v>
      </c>
      <c r="K969" s="18">
        <f t="shared" si="45"/>
        <v>0</v>
      </c>
      <c r="L969" s="21">
        <f>IF(ISERROR(VLOOKUP($F969,#REF!,6,0)*G969/1000),0,VLOOKUP($F969,#REF!,6,0)*G969/1000)</f>
        <v>0</v>
      </c>
      <c r="M969" s="21">
        <f>IF(ISERROR(VLOOKUP($F969,#REF!,6,0)*H969/1000),0,VLOOKUP($F969,#REF!,6,0)*H969/1000)</f>
        <v>0</v>
      </c>
      <c r="N969" s="21">
        <f>IF(ISERROR(VLOOKUP($F969,#REF!,6,0)*I969/1000),0,VLOOKUP($F969,#REF!,6,0)*I969/1000)</f>
        <v>0</v>
      </c>
      <c r="O969" s="21">
        <f>IF(ISERROR(VLOOKUP($F969,#REF!,6,0)*J969/1000),0,VLOOKUP($F969,#REF!,6,0)*J969/1000)</f>
        <v>0</v>
      </c>
      <c r="P969" s="21">
        <f>IF(ISERROR(VLOOKUP(F969,#REF!,6,0)*K969/1000),0,VLOOKUP(F969,#REF!,6,0)*K969/1000)</f>
        <v>0</v>
      </c>
      <c r="Q969" s="6">
        <f>IF(ISERROR(VLOOKUP(F969,#REF!,3,0)),0,VLOOKUP(F969,#REF!,3,0))</f>
        <v>0</v>
      </c>
      <c r="R969" s="6">
        <f>IF(ISERROR(VLOOKUP(F969,#REF!,4,0)),0,VLOOKUP(F969,#REF!,4,0))</f>
        <v>0</v>
      </c>
      <c r="S969" s="8">
        <f>IF(ISERROR(VLOOKUP(F969,#REF!,4,0)),0,VLOOKUP(F969,#REF!,10,0)/60*K969)</f>
        <v>0</v>
      </c>
      <c r="T969" s="3"/>
      <c r="U969" s="3"/>
      <c r="V969" s="4"/>
    </row>
    <row r="970" spans="1:22" x14ac:dyDescent="0.3">
      <c r="A970" s="5">
        <f t="shared" si="46"/>
        <v>0</v>
      </c>
      <c r="B970" s="6">
        <f t="shared" si="47"/>
        <v>0</v>
      </c>
      <c r="K970" s="18">
        <f t="shared" si="45"/>
        <v>0</v>
      </c>
      <c r="L970" s="21">
        <f>IF(ISERROR(VLOOKUP($F970,#REF!,6,0)*G970/1000),0,VLOOKUP($F970,#REF!,6,0)*G970/1000)</f>
        <v>0</v>
      </c>
      <c r="M970" s="21">
        <f>IF(ISERROR(VLOOKUP($F970,#REF!,6,0)*H970/1000),0,VLOOKUP($F970,#REF!,6,0)*H970/1000)</f>
        <v>0</v>
      </c>
      <c r="N970" s="21">
        <f>IF(ISERROR(VLOOKUP($F970,#REF!,6,0)*I970/1000),0,VLOOKUP($F970,#REF!,6,0)*I970/1000)</f>
        <v>0</v>
      </c>
      <c r="O970" s="21">
        <f>IF(ISERROR(VLOOKUP($F970,#REF!,6,0)*J970/1000),0,VLOOKUP($F970,#REF!,6,0)*J970/1000)</f>
        <v>0</v>
      </c>
      <c r="P970" s="21">
        <f>IF(ISERROR(VLOOKUP(F970,#REF!,6,0)*K970/1000),0,VLOOKUP(F970,#REF!,6,0)*K970/1000)</f>
        <v>0</v>
      </c>
      <c r="Q970" s="6">
        <f>IF(ISERROR(VLOOKUP(F970,#REF!,3,0)),0,VLOOKUP(F970,#REF!,3,0))</f>
        <v>0</v>
      </c>
      <c r="R970" s="6">
        <f>IF(ISERROR(VLOOKUP(F970,#REF!,4,0)),0,VLOOKUP(F970,#REF!,4,0))</f>
        <v>0</v>
      </c>
      <c r="S970" s="8">
        <f>IF(ISERROR(VLOOKUP(F970,#REF!,4,0)),0,VLOOKUP(F970,#REF!,10,0)/60*K970)</f>
        <v>0</v>
      </c>
      <c r="T970" s="3"/>
      <c r="U970" s="3"/>
      <c r="V970" s="4"/>
    </row>
    <row r="971" spans="1:22" x14ac:dyDescent="0.3">
      <c r="A971" s="5">
        <f t="shared" si="46"/>
        <v>0</v>
      </c>
      <c r="B971" s="6">
        <f t="shared" si="47"/>
        <v>0</v>
      </c>
      <c r="K971" s="18">
        <f t="shared" si="45"/>
        <v>0</v>
      </c>
      <c r="L971" s="21">
        <f>IF(ISERROR(VLOOKUP($F971,#REF!,6,0)*G971/1000),0,VLOOKUP($F971,#REF!,6,0)*G971/1000)</f>
        <v>0</v>
      </c>
      <c r="M971" s="21">
        <f>IF(ISERROR(VLOOKUP($F971,#REF!,6,0)*H971/1000),0,VLOOKUP($F971,#REF!,6,0)*H971/1000)</f>
        <v>0</v>
      </c>
      <c r="N971" s="21">
        <f>IF(ISERROR(VLOOKUP($F971,#REF!,6,0)*I971/1000),0,VLOOKUP($F971,#REF!,6,0)*I971/1000)</f>
        <v>0</v>
      </c>
      <c r="O971" s="21">
        <f>IF(ISERROR(VLOOKUP($F971,#REF!,6,0)*J971/1000),0,VLOOKUP($F971,#REF!,6,0)*J971/1000)</f>
        <v>0</v>
      </c>
      <c r="P971" s="21">
        <f>IF(ISERROR(VLOOKUP(F971,#REF!,6,0)*K971/1000),0,VLOOKUP(F971,#REF!,6,0)*K971/1000)</f>
        <v>0</v>
      </c>
      <c r="Q971" s="6">
        <f>IF(ISERROR(VLOOKUP(F971,#REF!,3,0)),0,VLOOKUP(F971,#REF!,3,0))</f>
        <v>0</v>
      </c>
      <c r="R971" s="6">
        <f>IF(ISERROR(VLOOKUP(F971,#REF!,4,0)),0,VLOOKUP(F971,#REF!,4,0))</f>
        <v>0</v>
      </c>
      <c r="S971" s="8">
        <f>IF(ISERROR(VLOOKUP(F971,#REF!,4,0)),0,VLOOKUP(F971,#REF!,10,0)/60*K971)</f>
        <v>0</v>
      </c>
      <c r="T971" s="3"/>
      <c r="U971" s="3"/>
      <c r="V971" s="4"/>
    </row>
    <row r="972" spans="1:22" x14ac:dyDescent="0.3">
      <c r="A972" s="5">
        <f t="shared" si="46"/>
        <v>0</v>
      </c>
      <c r="B972" s="6">
        <f t="shared" si="47"/>
        <v>0</v>
      </c>
      <c r="K972" s="18">
        <f t="shared" si="45"/>
        <v>0</v>
      </c>
      <c r="L972" s="21">
        <f>IF(ISERROR(VLOOKUP($F972,#REF!,6,0)*G972/1000),0,VLOOKUP($F972,#REF!,6,0)*G972/1000)</f>
        <v>0</v>
      </c>
      <c r="M972" s="21">
        <f>IF(ISERROR(VLOOKUP($F972,#REF!,6,0)*H972/1000),0,VLOOKUP($F972,#REF!,6,0)*H972/1000)</f>
        <v>0</v>
      </c>
      <c r="N972" s="21">
        <f>IF(ISERROR(VLOOKUP($F972,#REF!,6,0)*I972/1000),0,VLOOKUP($F972,#REF!,6,0)*I972/1000)</f>
        <v>0</v>
      </c>
      <c r="O972" s="21">
        <f>IF(ISERROR(VLOOKUP($F972,#REF!,6,0)*J972/1000),0,VLOOKUP($F972,#REF!,6,0)*J972/1000)</f>
        <v>0</v>
      </c>
      <c r="P972" s="21">
        <f>IF(ISERROR(VLOOKUP(F972,#REF!,6,0)*K972/1000),0,VLOOKUP(F972,#REF!,6,0)*K972/1000)</f>
        <v>0</v>
      </c>
      <c r="Q972" s="6">
        <f>IF(ISERROR(VLOOKUP(F972,#REF!,3,0)),0,VLOOKUP(F972,#REF!,3,0))</f>
        <v>0</v>
      </c>
      <c r="R972" s="6">
        <f>IF(ISERROR(VLOOKUP(F972,#REF!,4,0)),0,VLOOKUP(F972,#REF!,4,0))</f>
        <v>0</v>
      </c>
      <c r="S972" s="8">
        <f>IF(ISERROR(VLOOKUP(F972,#REF!,4,0)),0,VLOOKUP(F972,#REF!,10,0)/60*K972)</f>
        <v>0</v>
      </c>
      <c r="T972" s="3"/>
      <c r="U972" s="3"/>
      <c r="V972" s="4"/>
    </row>
    <row r="973" spans="1:22" x14ac:dyDescent="0.3">
      <c r="A973" s="5">
        <f t="shared" si="46"/>
        <v>0</v>
      </c>
      <c r="B973" s="6">
        <f t="shared" si="47"/>
        <v>0</v>
      </c>
      <c r="K973" s="18">
        <f t="shared" si="45"/>
        <v>0</v>
      </c>
      <c r="L973" s="21">
        <f>IF(ISERROR(VLOOKUP($F973,#REF!,6,0)*G973/1000),0,VLOOKUP($F973,#REF!,6,0)*G973/1000)</f>
        <v>0</v>
      </c>
      <c r="M973" s="21">
        <f>IF(ISERROR(VLOOKUP($F973,#REF!,6,0)*H973/1000),0,VLOOKUP($F973,#REF!,6,0)*H973/1000)</f>
        <v>0</v>
      </c>
      <c r="N973" s="21">
        <f>IF(ISERROR(VLOOKUP($F973,#REF!,6,0)*I973/1000),0,VLOOKUP($F973,#REF!,6,0)*I973/1000)</f>
        <v>0</v>
      </c>
      <c r="O973" s="21">
        <f>IF(ISERROR(VLOOKUP($F973,#REF!,6,0)*J973/1000),0,VLOOKUP($F973,#REF!,6,0)*J973/1000)</f>
        <v>0</v>
      </c>
      <c r="P973" s="21">
        <f>IF(ISERROR(VLOOKUP(F973,#REF!,6,0)*K973/1000),0,VLOOKUP(F973,#REF!,6,0)*K973/1000)</f>
        <v>0</v>
      </c>
      <c r="Q973" s="6">
        <f>IF(ISERROR(VLOOKUP(F973,#REF!,3,0)),0,VLOOKUP(F973,#REF!,3,0))</f>
        <v>0</v>
      </c>
      <c r="R973" s="6">
        <f>IF(ISERROR(VLOOKUP(F973,#REF!,4,0)),0,VLOOKUP(F973,#REF!,4,0))</f>
        <v>0</v>
      </c>
      <c r="S973" s="8">
        <f>IF(ISERROR(VLOOKUP(F973,#REF!,4,0)),0,VLOOKUP(F973,#REF!,10,0)/60*K973)</f>
        <v>0</v>
      </c>
      <c r="T973" s="3"/>
      <c r="U973" s="3"/>
      <c r="V973" s="4"/>
    </row>
    <row r="974" spans="1:22" x14ac:dyDescent="0.3">
      <c r="A974" s="5">
        <f t="shared" si="46"/>
        <v>0</v>
      </c>
      <c r="B974" s="6">
        <f t="shared" si="47"/>
        <v>0</v>
      </c>
      <c r="K974" s="18">
        <f t="shared" si="45"/>
        <v>0</v>
      </c>
      <c r="L974" s="21">
        <f>IF(ISERROR(VLOOKUP($F974,#REF!,6,0)*G974/1000),0,VLOOKUP($F974,#REF!,6,0)*G974/1000)</f>
        <v>0</v>
      </c>
      <c r="M974" s="21">
        <f>IF(ISERROR(VLOOKUP($F974,#REF!,6,0)*H974/1000),0,VLOOKUP($F974,#REF!,6,0)*H974/1000)</f>
        <v>0</v>
      </c>
      <c r="N974" s="21">
        <f>IF(ISERROR(VLOOKUP($F974,#REF!,6,0)*I974/1000),0,VLOOKUP($F974,#REF!,6,0)*I974/1000)</f>
        <v>0</v>
      </c>
      <c r="O974" s="21">
        <f>IF(ISERROR(VLOOKUP($F974,#REF!,6,0)*J974/1000),0,VLOOKUP($F974,#REF!,6,0)*J974/1000)</f>
        <v>0</v>
      </c>
      <c r="P974" s="21">
        <f>IF(ISERROR(VLOOKUP(F974,#REF!,6,0)*K974/1000),0,VLOOKUP(F974,#REF!,6,0)*K974/1000)</f>
        <v>0</v>
      </c>
      <c r="Q974" s="6">
        <f>IF(ISERROR(VLOOKUP(F974,#REF!,3,0)),0,VLOOKUP(F974,#REF!,3,0))</f>
        <v>0</v>
      </c>
      <c r="R974" s="6">
        <f>IF(ISERROR(VLOOKUP(F974,#REF!,4,0)),0,VLOOKUP(F974,#REF!,4,0))</f>
        <v>0</v>
      </c>
      <c r="S974" s="8">
        <f>IF(ISERROR(VLOOKUP(F974,#REF!,4,0)),0,VLOOKUP(F974,#REF!,10,0)/60*K974)</f>
        <v>0</v>
      </c>
      <c r="T974" s="3"/>
      <c r="U974" s="3"/>
      <c r="V974" s="4"/>
    </row>
    <row r="975" spans="1:22" x14ac:dyDescent="0.3">
      <c r="A975" s="5">
        <f t="shared" si="46"/>
        <v>0</v>
      </c>
      <c r="B975" s="6">
        <f t="shared" si="47"/>
        <v>0</v>
      </c>
      <c r="K975" s="18">
        <f t="shared" si="45"/>
        <v>0</v>
      </c>
      <c r="L975" s="21">
        <f>IF(ISERROR(VLOOKUP($F975,#REF!,6,0)*G975/1000),0,VLOOKUP($F975,#REF!,6,0)*G975/1000)</f>
        <v>0</v>
      </c>
      <c r="M975" s="21">
        <f>IF(ISERROR(VLOOKUP($F975,#REF!,6,0)*H975/1000),0,VLOOKUP($F975,#REF!,6,0)*H975/1000)</f>
        <v>0</v>
      </c>
      <c r="N975" s="21">
        <f>IF(ISERROR(VLOOKUP($F975,#REF!,6,0)*I975/1000),0,VLOOKUP($F975,#REF!,6,0)*I975/1000)</f>
        <v>0</v>
      </c>
      <c r="O975" s="21">
        <f>IF(ISERROR(VLOOKUP($F975,#REF!,6,0)*J975/1000),0,VLOOKUP($F975,#REF!,6,0)*J975/1000)</f>
        <v>0</v>
      </c>
      <c r="P975" s="21">
        <f>IF(ISERROR(VLOOKUP(F975,#REF!,6,0)*K975/1000),0,VLOOKUP(F975,#REF!,6,0)*K975/1000)</f>
        <v>0</v>
      </c>
      <c r="Q975" s="6">
        <f>IF(ISERROR(VLOOKUP(F975,#REF!,3,0)),0,VLOOKUP(F975,#REF!,3,0))</f>
        <v>0</v>
      </c>
      <c r="R975" s="6">
        <f>IF(ISERROR(VLOOKUP(F975,#REF!,4,0)),0,VLOOKUP(F975,#REF!,4,0))</f>
        <v>0</v>
      </c>
      <c r="S975" s="8">
        <f>IF(ISERROR(VLOOKUP(F975,#REF!,4,0)),0,VLOOKUP(F975,#REF!,10,0)/60*K975)</f>
        <v>0</v>
      </c>
      <c r="T975" s="3"/>
      <c r="U975" s="3"/>
      <c r="V975" s="4"/>
    </row>
    <row r="976" spans="1:22" x14ac:dyDescent="0.3">
      <c r="A976" s="5">
        <f t="shared" si="46"/>
        <v>0</v>
      </c>
      <c r="B976" s="6">
        <f t="shared" si="47"/>
        <v>0</v>
      </c>
      <c r="K976" s="18">
        <f t="shared" si="45"/>
        <v>0</v>
      </c>
      <c r="L976" s="21">
        <f>IF(ISERROR(VLOOKUP($F976,#REF!,6,0)*G976/1000),0,VLOOKUP($F976,#REF!,6,0)*G976/1000)</f>
        <v>0</v>
      </c>
      <c r="M976" s="21">
        <f>IF(ISERROR(VLOOKUP($F976,#REF!,6,0)*H976/1000),0,VLOOKUP($F976,#REF!,6,0)*H976/1000)</f>
        <v>0</v>
      </c>
      <c r="N976" s="21">
        <f>IF(ISERROR(VLOOKUP($F976,#REF!,6,0)*I976/1000),0,VLOOKUP($F976,#REF!,6,0)*I976/1000)</f>
        <v>0</v>
      </c>
      <c r="O976" s="21">
        <f>IF(ISERROR(VLOOKUP($F976,#REF!,6,0)*J976/1000),0,VLOOKUP($F976,#REF!,6,0)*J976/1000)</f>
        <v>0</v>
      </c>
      <c r="P976" s="21">
        <f>IF(ISERROR(VLOOKUP(F976,#REF!,6,0)*K976/1000),0,VLOOKUP(F976,#REF!,6,0)*K976/1000)</f>
        <v>0</v>
      </c>
      <c r="Q976" s="6">
        <f>IF(ISERROR(VLOOKUP(F976,#REF!,3,0)),0,VLOOKUP(F976,#REF!,3,0))</f>
        <v>0</v>
      </c>
      <c r="R976" s="6">
        <f>IF(ISERROR(VLOOKUP(F976,#REF!,4,0)),0,VLOOKUP(F976,#REF!,4,0))</f>
        <v>0</v>
      </c>
      <c r="S976" s="8">
        <f>IF(ISERROR(VLOOKUP(F976,#REF!,4,0)),0,VLOOKUP(F976,#REF!,10,0)/60*K976)</f>
        <v>0</v>
      </c>
      <c r="T976" s="3"/>
      <c r="U976" s="3"/>
      <c r="V976" s="4"/>
    </row>
    <row r="977" spans="1:22" x14ac:dyDescent="0.3">
      <c r="A977" s="5">
        <f t="shared" si="46"/>
        <v>0</v>
      </c>
      <c r="B977" s="6">
        <f t="shared" si="47"/>
        <v>0</v>
      </c>
      <c r="K977" s="18">
        <f t="shared" si="45"/>
        <v>0</v>
      </c>
      <c r="L977" s="21">
        <f>IF(ISERROR(VLOOKUP($F977,#REF!,6,0)*G977/1000),0,VLOOKUP($F977,#REF!,6,0)*G977/1000)</f>
        <v>0</v>
      </c>
      <c r="M977" s="21">
        <f>IF(ISERROR(VLOOKUP($F977,#REF!,6,0)*H977/1000),0,VLOOKUP($F977,#REF!,6,0)*H977/1000)</f>
        <v>0</v>
      </c>
      <c r="N977" s="21">
        <f>IF(ISERROR(VLOOKUP($F977,#REF!,6,0)*I977/1000),0,VLOOKUP($F977,#REF!,6,0)*I977/1000)</f>
        <v>0</v>
      </c>
      <c r="O977" s="21">
        <f>IF(ISERROR(VLOOKUP($F977,#REF!,6,0)*J977/1000),0,VLOOKUP($F977,#REF!,6,0)*J977/1000)</f>
        <v>0</v>
      </c>
      <c r="P977" s="21">
        <f>IF(ISERROR(VLOOKUP(F977,#REF!,6,0)*K977/1000),0,VLOOKUP(F977,#REF!,6,0)*K977/1000)</f>
        <v>0</v>
      </c>
      <c r="Q977" s="6">
        <f>IF(ISERROR(VLOOKUP(F977,#REF!,3,0)),0,VLOOKUP(F977,#REF!,3,0))</f>
        <v>0</v>
      </c>
      <c r="R977" s="6">
        <f>IF(ISERROR(VLOOKUP(F977,#REF!,4,0)),0,VLOOKUP(F977,#REF!,4,0))</f>
        <v>0</v>
      </c>
      <c r="S977" s="8">
        <f>IF(ISERROR(VLOOKUP(F977,#REF!,4,0)),0,VLOOKUP(F977,#REF!,10,0)/60*K977)</f>
        <v>0</v>
      </c>
      <c r="T977" s="3"/>
      <c r="U977" s="3"/>
      <c r="V977" s="4"/>
    </row>
    <row r="978" spans="1:22" x14ac:dyDescent="0.3">
      <c r="A978" s="5">
        <f t="shared" si="46"/>
        <v>0</v>
      </c>
      <c r="B978" s="6">
        <f t="shared" si="47"/>
        <v>0</v>
      </c>
      <c r="K978" s="18">
        <f t="shared" si="45"/>
        <v>0</v>
      </c>
      <c r="L978" s="21">
        <f>IF(ISERROR(VLOOKUP($F978,#REF!,6,0)*G978/1000),0,VLOOKUP($F978,#REF!,6,0)*G978/1000)</f>
        <v>0</v>
      </c>
      <c r="M978" s="21">
        <f>IF(ISERROR(VLOOKUP($F978,#REF!,6,0)*H978/1000),0,VLOOKUP($F978,#REF!,6,0)*H978/1000)</f>
        <v>0</v>
      </c>
      <c r="N978" s="21">
        <f>IF(ISERROR(VLOOKUP($F978,#REF!,6,0)*I978/1000),0,VLOOKUP($F978,#REF!,6,0)*I978/1000)</f>
        <v>0</v>
      </c>
      <c r="O978" s="21">
        <f>IF(ISERROR(VLOOKUP($F978,#REF!,6,0)*J978/1000),0,VLOOKUP($F978,#REF!,6,0)*J978/1000)</f>
        <v>0</v>
      </c>
      <c r="P978" s="21">
        <f>IF(ISERROR(VLOOKUP(F978,#REF!,6,0)*K978/1000),0,VLOOKUP(F978,#REF!,6,0)*K978/1000)</f>
        <v>0</v>
      </c>
      <c r="Q978" s="6">
        <f>IF(ISERROR(VLOOKUP(F978,#REF!,3,0)),0,VLOOKUP(F978,#REF!,3,0))</f>
        <v>0</v>
      </c>
      <c r="R978" s="6">
        <f>IF(ISERROR(VLOOKUP(F978,#REF!,4,0)),0,VLOOKUP(F978,#REF!,4,0))</f>
        <v>0</v>
      </c>
      <c r="S978" s="8">
        <f>IF(ISERROR(VLOOKUP(F978,#REF!,4,0)),0,VLOOKUP(F978,#REF!,10,0)/60*K978)</f>
        <v>0</v>
      </c>
      <c r="T978" s="3"/>
      <c r="U978" s="3"/>
      <c r="V978" s="4"/>
    </row>
    <row r="979" spans="1:22" x14ac:dyDescent="0.3">
      <c r="A979" s="5">
        <f t="shared" si="46"/>
        <v>0</v>
      </c>
      <c r="B979" s="6">
        <f t="shared" si="47"/>
        <v>0</v>
      </c>
      <c r="K979" s="18">
        <f t="shared" si="45"/>
        <v>0</v>
      </c>
      <c r="L979" s="21">
        <f>IF(ISERROR(VLOOKUP($F979,#REF!,6,0)*G979/1000),0,VLOOKUP($F979,#REF!,6,0)*G979/1000)</f>
        <v>0</v>
      </c>
      <c r="M979" s="21">
        <f>IF(ISERROR(VLOOKUP($F979,#REF!,6,0)*H979/1000),0,VLOOKUP($F979,#REF!,6,0)*H979/1000)</f>
        <v>0</v>
      </c>
      <c r="N979" s="21">
        <f>IF(ISERROR(VLOOKUP($F979,#REF!,6,0)*I979/1000),0,VLOOKUP($F979,#REF!,6,0)*I979/1000)</f>
        <v>0</v>
      </c>
      <c r="O979" s="21">
        <f>IF(ISERROR(VLOOKUP($F979,#REF!,6,0)*J979/1000),0,VLOOKUP($F979,#REF!,6,0)*J979/1000)</f>
        <v>0</v>
      </c>
      <c r="P979" s="21">
        <f>IF(ISERROR(VLOOKUP(F979,#REF!,6,0)*K979/1000),0,VLOOKUP(F979,#REF!,6,0)*K979/1000)</f>
        <v>0</v>
      </c>
      <c r="Q979" s="6">
        <f>IF(ISERROR(VLOOKUP(F979,#REF!,3,0)),0,VLOOKUP(F979,#REF!,3,0))</f>
        <v>0</v>
      </c>
      <c r="R979" s="6">
        <f>IF(ISERROR(VLOOKUP(F979,#REF!,4,0)),0,VLOOKUP(F979,#REF!,4,0))</f>
        <v>0</v>
      </c>
      <c r="S979" s="8">
        <f>IF(ISERROR(VLOOKUP(F979,#REF!,4,0)),0,VLOOKUP(F979,#REF!,10,0)/60*K979)</f>
        <v>0</v>
      </c>
      <c r="T979" s="3"/>
      <c r="U979" s="3"/>
      <c r="V979" s="4"/>
    </row>
    <row r="980" spans="1:22" x14ac:dyDescent="0.3">
      <c r="A980" s="5">
        <f t="shared" si="46"/>
        <v>0</v>
      </c>
      <c r="B980" s="6">
        <f t="shared" si="47"/>
        <v>0</v>
      </c>
      <c r="K980" s="18">
        <f t="shared" si="45"/>
        <v>0</v>
      </c>
      <c r="L980" s="21">
        <f>IF(ISERROR(VLOOKUP($F980,#REF!,6,0)*G980/1000),0,VLOOKUP($F980,#REF!,6,0)*G980/1000)</f>
        <v>0</v>
      </c>
      <c r="M980" s="21">
        <f>IF(ISERROR(VLOOKUP($F980,#REF!,6,0)*H980/1000),0,VLOOKUP($F980,#REF!,6,0)*H980/1000)</f>
        <v>0</v>
      </c>
      <c r="N980" s="21">
        <f>IF(ISERROR(VLOOKUP($F980,#REF!,6,0)*I980/1000),0,VLOOKUP($F980,#REF!,6,0)*I980/1000)</f>
        <v>0</v>
      </c>
      <c r="O980" s="21">
        <f>IF(ISERROR(VLOOKUP($F980,#REF!,6,0)*J980/1000),0,VLOOKUP($F980,#REF!,6,0)*J980/1000)</f>
        <v>0</v>
      </c>
      <c r="P980" s="21">
        <f>IF(ISERROR(VLOOKUP(F980,#REF!,6,0)*K980/1000),0,VLOOKUP(F980,#REF!,6,0)*K980/1000)</f>
        <v>0</v>
      </c>
      <c r="Q980" s="6">
        <f>IF(ISERROR(VLOOKUP(F980,#REF!,3,0)),0,VLOOKUP(F980,#REF!,3,0))</f>
        <v>0</v>
      </c>
      <c r="R980" s="6">
        <f>IF(ISERROR(VLOOKUP(F980,#REF!,4,0)),0,VLOOKUP(F980,#REF!,4,0))</f>
        <v>0</v>
      </c>
      <c r="S980" s="8">
        <f>IF(ISERROR(VLOOKUP(F980,#REF!,4,0)),0,VLOOKUP(F980,#REF!,10,0)/60*K980)</f>
        <v>0</v>
      </c>
      <c r="T980" s="3"/>
      <c r="U980" s="3"/>
      <c r="V980" s="4"/>
    </row>
    <row r="981" spans="1:22" x14ac:dyDescent="0.3">
      <c r="A981" s="5">
        <f t="shared" si="46"/>
        <v>0</v>
      </c>
      <c r="B981" s="6">
        <f t="shared" si="47"/>
        <v>0</v>
      </c>
      <c r="K981" s="18">
        <f t="shared" si="45"/>
        <v>0</v>
      </c>
      <c r="L981" s="21">
        <f>IF(ISERROR(VLOOKUP($F981,#REF!,6,0)*G981/1000),0,VLOOKUP($F981,#REF!,6,0)*G981/1000)</f>
        <v>0</v>
      </c>
      <c r="M981" s="21">
        <f>IF(ISERROR(VLOOKUP($F981,#REF!,6,0)*H981/1000),0,VLOOKUP($F981,#REF!,6,0)*H981/1000)</f>
        <v>0</v>
      </c>
      <c r="N981" s="21">
        <f>IF(ISERROR(VLOOKUP($F981,#REF!,6,0)*I981/1000),0,VLOOKUP($F981,#REF!,6,0)*I981/1000)</f>
        <v>0</v>
      </c>
      <c r="O981" s="21">
        <f>IF(ISERROR(VLOOKUP($F981,#REF!,6,0)*J981/1000),0,VLOOKUP($F981,#REF!,6,0)*J981/1000)</f>
        <v>0</v>
      </c>
      <c r="P981" s="21">
        <f>IF(ISERROR(VLOOKUP(F981,#REF!,6,0)*K981/1000),0,VLOOKUP(F981,#REF!,6,0)*K981/1000)</f>
        <v>0</v>
      </c>
      <c r="Q981" s="6">
        <f>IF(ISERROR(VLOOKUP(F981,#REF!,3,0)),0,VLOOKUP(F981,#REF!,3,0))</f>
        <v>0</v>
      </c>
      <c r="R981" s="6">
        <f>IF(ISERROR(VLOOKUP(F981,#REF!,4,0)),0,VLOOKUP(F981,#REF!,4,0))</f>
        <v>0</v>
      </c>
      <c r="S981" s="8">
        <f>IF(ISERROR(VLOOKUP(F981,#REF!,4,0)),0,VLOOKUP(F981,#REF!,10,0)/60*K981)</f>
        <v>0</v>
      </c>
      <c r="T981" s="3"/>
      <c r="U981" s="3"/>
      <c r="V981" s="4"/>
    </row>
    <row r="982" spans="1:22" x14ac:dyDescent="0.3">
      <c r="A982" s="5">
        <f t="shared" si="46"/>
        <v>0</v>
      </c>
      <c r="B982" s="6">
        <f t="shared" si="47"/>
        <v>0</v>
      </c>
      <c r="K982" s="18">
        <f t="shared" si="45"/>
        <v>0</v>
      </c>
      <c r="L982" s="21">
        <f>IF(ISERROR(VLOOKUP($F982,#REF!,6,0)*G982/1000),0,VLOOKUP($F982,#REF!,6,0)*G982/1000)</f>
        <v>0</v>
      </c>
      <c r="M982" s="21">
        <f>IF(ISERROR(VLOOKUP($F982,#REF!,6,0)*H982/1000),0,VLOOKUP($F982,#REF!,6,0)*H982/1000)</f>
        <v>0</v>
      </c>
      <c r="N982" s="21">
        <f>IF(ISERROR(VLOOKUP($F982,#REF!,6,0)*I982/1000),0,VLOOKUP($F982,#REF!,6,0)*I982/1000)</f>
        <v>0</v>
      </c>
      <c r="O982" s="21">
        <f>IF(ISERROR(VLOOKUP($F982,#REF!,6,0)*J982/1000),0,VLOOKUP($F982,#REF!,6,0)*J982/1000)</f>
        <v>0</v>
      </c>
      <c r="P982" s="21">
        <f>IF(ISERROR(VLOOKUP(F982,#REF!,6,0)*K982/1000),0,VLOOKUP(F982,#REF!,6,0)*K982/1000)</f>
        <v>0</v>
      </c>
      <c r="Q982" s="6">
        <f>IF(ISERROR(VLOOKUP(F982,#REF!,3,0)),0,VLOOKUP(F982,#REF!,3,0))</f>
        <v>0</v>
      </c>
      <c r="R982" s="6">
        <f>IF(ISERROR(VLOOKUP(F982,#REF!,4,0)),0,VLOOKUP(F982,#REF!,4,0))</f>
        <v>0</v>
      </c>
      <c r="S982" s="8">
        <f>IF(ISERROR(VLOOKUP(F982,#REF!,4,0)),0,VLOOKUP(F982,#REF!,10,0)/60*K982)</f>
        <v>0</v>
      </c>
      <c r="T982" s="3"/>
      <c r="U982" s="3"/>
      <c r="V982" s="4"/>
    </row>
    <row r="983" spans="1:22" x14ac:dyDescent="0.3">
      <c r="A983" s="5">
        <f t="shared" si="46"/>
        <v>0</v>
      </c>
      <c r="B983" s="6">
        <f t="shared" si="47"/>
        <v>0</v>
      </c>
      <c r="K983" s="18">
        <f t="shared" si="45"/>
        <v>0</v>
      </c>
      <c r="L983" s="21">
        <f>IF(ISERROR(VLOOKUP($F983,#REF!,6,0)*G983/1000),0,VLOOKUP($F983,#REF!,6,0)*G983/1000)</f>
        <v>0</v>
      </c>
      <c r="M983" s="21">
        <f>IF(ISERROR(VLOOKUP($F983,#REF!,6,0)*H983/1000),0,VLOOKUP($F983,#REF!,6,0)*H983/1000)</f>
        <v>0</v>
      </c>
      <c r="N983" s="21">
        <f>IF(ISERROR(VLOOKUP($F983,#REF!,6,0)*I983/1000),0,VLOOKUP($F983,#REF!,6,0)*I983/1000)</f>
        <v>0</v>
      </c>
      <c r="O983" s="21">
        <f>IF(ISERROR(VLOOKUP($F983,#REF!,6,0)*J983/1000),0,VLOOKUP($F983,#REF!,6,0)*J983/1000)</f>
        <v>0</v>
      </c>
      <c r="P983" s="21">
        <f>IF(ISERROR(VLOOKUP(F983,#REF!,6,0)*K983/1000),0,VLOOKUP(F983,#REF!,6,0)*K983/1000)</f>
        <v>0</v>
      </c>
      <c r="Q983" s="6">
        <f>IF(ISERROR(VLOOKUP(F983,#REF!,3,0)),0,VLOOKUP(F983,#REF!,3,0))</f>
        <v>0</v>
      </c>
      <c r="R983" s="6">
        <f>IF(ISERROR(VLOOKUP(F983,#REF!,4,0)),0,VLOOKUP(F983,#REF!,4,0))</f>
        <v>0</v>
      </c>
      <c r="S983" s="8">
        <f>IF(ISERROR(VLOOKUP(F983,#REF!,4,0)),0,VLOOKUP(F983,#REF!,10,0)/60*K983)</f>
        <v>0</v>
      </c>
      <c r="T983" s="3"/>
      <c r="U983" s="3"/>
      <c r="V983" s="4"/>
    </row>
    <row r="984" spans="1:22" x14ac:dyDescent="0.3">
      <c r="A984" s="5">
        <f t="shared" si="46"/>
        <v>0</v>
      </c>
      <c r="B984" s="6">
        <f t="shared" si="47"/>
        <v>0</v>
      </c>
      <c r="K984" s="18">
        <f t="shared" si="45"/>
        <v>0</v>
      </c>
      <c r="L984" s="21">
        <f>IF(ISERROR(VLOOKUP($F984,#REF!,6,0)*G984/1000),0,VLOOKUP($F984,#REF!,6,0)*G984/1000)</f>
        <v>0</v>
      </c>
      <c r="M984" s="21">
        <f>IF(ISERROR(VLOOKUP($F984,#REF!,6,0)*H984/1000),0,VLOOKUP($F984,#REF!,6,0)*H984/1000)</f>
        <v>0</v>
      </c>
      <c r="N984" s="21">
        <f>IF(ISERROR(VLOOKUP($F984,#REF!,6,0)*I984/1000),0,VLOOKUP($F984,#REF!,6,0)*I984/1000)</f>
        <v>0</v>
      </c>
      <c r="O984" s="21">
        <f>IF(ISERROR(VLOOKUP($F984,#REF!,6,0)*J984/1000),0,VLOOKUP($F984,#REF!,6,0)*J984/1000)</f>
        <v>0</v>
      </c>
      <c r="P984" s="21">
        <f>IF(ISERROR(VLOOKUP(F984,#REF!,6,0)*K984/1000),0,VLOOKUP(F984,#REF!,6,0)*K984/1000)</f>
        <v>0</v>
      </c>
      <c r="Q984" s="6">
        <f>IF(ISERROR(VLOOKUP(F984,#REF!,3,0)),0,VLOOKUP(F984,#REF!,3,0))</f>
        <v>0</v>
      </c>
      <c r="R984" s="6">
        <f>IF(ISERROR(VLOOKUP(F984,#REF!,4,0)),0,VLOOKUP(F984,#REF!,4,0))</f>
        <v>0</v>
      </c>
      <c r="S984" s="8">
        <f>IF(ISERROR(VLOOKUP(F984,#REF!,4,0)),0,VLOOKUP(F984,#REF!,10,0)/60*K984)</f>
        <v>0</v>
      </c>
      <c r="T984" s="3"/>
      <c r="U984" s="3"/>
      <c r="V984" s="4"/>
    </row>
    <row r="985" spans="1:22" x14ac:dyDescent="0.3">
      <c r="A985" s="5">
        <f t="shared" si="46"/>
        <v>0</v>
      </c>
      <c r="B985" s="6">
        <f t="shared" si="47"/>
        <v>0</v>
      </c>
      <c r="K985" s="18">
        <f t="shared" si="45"/>
        <v>0</v>
      </c>
      <c r="L985" s="21">
        <f>IF(ISERROR(VLOOKUP($F985,#REF!,6,0)*G985/1000),0,VLOOKUP($F985,#REF!,6,0)*G985/1000)</f>
        <v>0</v>
      </c>
      <c r="M985" s="21">
        <f>IF(ISERROR(VLOOKUP($F985,#REF!,6,0)*H985/1000),0,VLOOKUP($F985,#REF!,6,0)*H985/1000)</f>
        <v>0</v>
      </c>
      <c r="N985" s="21">
        <f>IF(ISERROR(VLOOKUP($F985,#REF!,6,0)*I985/1000),0,VLOOKUP($F985,#REF!,6,0)*I985/1000)</f>
        <v>0</v>
      </c>
      <c r="O985" s="21">
        <f>IF(ISERROR(VLOOKUP($F985,#REF!,6,0)*J985/1000),0,VLOOKUP($F985,#REF!,6,0)*J985/1000)</f>
        <v>0</v>
      </c>
      <c r="P985" s="21">
        <f>IF(ISERROR(VLOOKUP(F985,#REF!,6,0)*K985/1000),0,VLOOKUP(F985,#REF!,6,0)*K985/1000)</f>
        <v>0</v>
      </c>
      <c r="Q985" s="6">
        <f>IF(ISERROR(VLOOKUP(F985,#REF!,3,0)),0,VLOOKUP(F985,#REF!,3,0))</f>
        <v>0</v>
      </c>
      <c r="R985" s="6">
        <f>IF(ISERROR(VLOOKUP(F985,#REF!,4,0)),0,VLOOKUP(F985,#REF!,4,0))</f>
        <v>0</v>
      </c>
      <c r="S985" s="8">
        <f>IF(ISERROR(VLOOKUP(F985,#REF!,4,0)),0,VLOOKUP(F985,#REF!,10,0)/60*K985)</f>
        <v>0</v>
      </c>
      <c r="T985" s="3"/>
      <c r="U985" s="3"/>
      <c r="V985" s="4"/>
    </row>
    <row r="986" spans="1:22" x14ac:dyDescent="0.3">
      <c r="A986" s="5">
        <f t="shared" si="46"/>
        <v>0</v>
      </c>
      <c r="B986" s="6">
        <f t="shared" si="47"/>
        <v>0</v>
      </c>
      <c r="K986" s="18">
        <f t="shared" si="45"/>
        <v>0</v>
      </c>
      <c r="L986" s="21">
        <f>IF(ISERROR(VLOOKUP($F986,#REF!,6,0)*G986/1000),0,VLOOKUP($F986,#REF!,6,0)*G986/1000)</f>
        <v>0</v>
      </c>
      <c r="M986" s="21">
        <f>IF(ISERROR(VLOOKUP($F986,#REF!,6,0)*H986/1000),0,VLOOKUP($F986,#REF!,6,0)*H986/1000)</f>
        <v>0</v>
      </c>
      <c r="N986" s="21">
        <f>IF(ISERROR(VLOOKUP($F986,#REF!,6,0)*I986/1000),0,VLOOKUP($F986,#REF!,6,0)*I986/1000)</f>
        <v>0</v>
      </c>
      <c r="O986" s="21">
        <f>IF(ISERROR(VLOOKUP($F986,#REF!,6,0)*J986/1000),0,VLOOKUP($F986,#REF!,6,0)*J986/1000)</f>
        <v>0</v>
      </c>
      <c r="P986" s="21">
        <f>IF(ISERROR(VLOOKUP(F986,#REF!,6,0)*K986/1000),0,VLOOKUP(F986,#REF!,6,0)*K986/1000)</f>
        <v>0</v>
      </c>
      <c r="Q986" s="6">
        <f>IF(ISERROR(VLOOKUP(F986,#REF!,3,0)),0,VLOOKUP(F986,#REF!,3,0))</f>
        <v>0</v>
      </c>
      <c r="R986" s="6">
        <f>IF(ISERROR(VLOOKUP(F986,#REF!,4,0)),0,VLOOKUP(F986,#REF!,4,0))</f>
        <v>0</v>
      </c>
      <c r="S986" s="8">
        <f>IF(ISERROR(VLOOKUP(F986,#REF!,4,0)),0,VLOOKUP(F986,#REF!,10,0)/60*K986)</f>
        <v>0</v>
      </c>
      <c r="T986" s="3"/>
      <c r="U986" s="3"/>
      <c r="V986" s="4"/>
    </row>
    <row r="987" spans="1:22" x14ac:dyDescent="0.3">
      <c r="A987" s="5">
        <f t="shared" si="46"/>
        <v>0</v>
      </c>
      <c r="B987" s="6">
        <f t="shared" si="47"/>
        <v>0</v>
      </c>
      <c r="K987" s="18">
        <f t="shared" si="45"/>
        <v>0</v>
      </c>
      <c r="L987" s="21">
        <f>IF(ISERROR(VLOOKUP($F987,#REF!,6,0)*G987/1000),0,VLOOKUP($F987,#REF!,6,0)*G987/1000)</f>
        <v>0</v>
      </c>
      <c r="M987" s="21">
        <f>IF(ISERROR(VLOOKUP($F987,#REF!,6,0)*H987/1000),0,VLOOKUP($F987,#REF!,6,0)*H987/1000)</f>
        <v>0</v>
      </c>
      <c r="N987" s="21">
        <f>IF(ISERROR(VLOOKUP($F987,#REF!,6,0)*I987/1000),0,VLOOKUP($F987,#REF!,6,0)*I987/1000)</f>
        <v>0</v>
      </c>
      <c r="O987" s="21">
        <f>IF(ISERROR(VLOOKUP($F987,#REF!,6,0)*J987/1000),0,VLOOKUP($F987,#REF!,6,0)*J987/1000)</f>
        <v>0</v>
      </c>
      <c r="P987" s="21">
        <f>IF(ISERROR(VLOOKUP(F987,#REF!,6,0)*K987/1000),0,VLOOKUP(F987,#REF!,6,0)*K987/1000)</f>
        <v>0</v>
      </c>
      <c r="Q987" s="6">
        <f>IF(ISERROR(VLOOKUP(F987,#REF!,3,0)),0,VLOOKUP(F987,#REF!,3,0))</f>
        <v>0</v>
      </c>
      <c r="R987" s="6">
        <f>IF(ISERROR(VLOOKUP(F987,#REF!,4,0)),0,VLOOKUP(F987,#REF!,4,0))</f>
        <v>0</v>
      </c>
      <c r="S987" s="8">
        <f>IF(ISERROR(VLOOKUP(F987,#REF!,4,0)),0,VLOOKUP(F987,#REF!,10,0)/60*K987)</f>
        <v>0</v>
      </c>
      <c r="T987" s="3"/>
      <c r="U987" s="3"/>
      <c r="V987" s="4"/>
    </row>
    <row r="988" spans="1:22" x14ac:dyDescent="0.3">
      <c r="A988" s="5">
        <f t="shared" si="46"/>
        <v>0</v>
      </c>
      <c r="B988" s="6">
        <f t="shared" si="47"/>
        <v>0</v>
      </c>
      <c r="K988" s="18">
        <f t="shared" si="45"/>
        <v>0</v>
      </c>
      <c r="L988" s="21">
        <f>IF(ISERROR(VLOOKUP($F988,#REF!,6,0)*G988/1000),0,VLOOKUP($F988,#REF!,6,0)*G988/1000)</f>
        <v>0</v>
      </c>
      <c r="M988" s="21">
        <f>IF(ISERROR(VLOOKUP($F988,#REF!,6,0)*H988/1000),0,VLOOKUP($F988,#REF!,6,0)*H988/1000)</f>
        <v>0</v>
      </c>
      <c r="N988" s="21">
        <f>IF(ISERROR(VLOOKUP($F988,#REF!,6,0)*I988/1000),0,VLOOKUP($F988,#REF!,6,0)*I988/1000)</f>
        <v>0</v>
      </c>
      <c r="O988" s="21">
        <f>IF(ISERROR(VLOOKUP($F988,#REF!,6,0)*J988/1000),0,VLOOKUP($F988,#REF!,6,0)*J988/1000)</f>
        <v>0</v>
      </c>
      <c r="P988" s="21">
        <f>IF(ISERROR(VLOOKUP(F988,#REF!,6,0)*K988/1000),0,VLOOKUP(F988,#REF!,6,0)*K988/1000)</f>
        <v>0</v>
      </c>
      <c r="Q988" s="6">
        <f>IF(ISERROR(VLOOKUP(F988,#REF!,3,0)),0,VLOOKUP(F988,#REF!,3,0))</f>
        <v>0</v>
      </c>
      <c r="R988" s="6">
        <f>IF(ISERROR(VLOOKUP(F988,#REF!,4,0)),0,VLOOKUP(F988,#REF!,4,0))</f>
        <v>0</v>
      </c>
      <c r="S988" s="8">
        <f>IF(ISERROR(VLOOKUP(F988,#REF!,4,0)),0,VLOOKUP(F988,#REF!,10,0)/60*K988)</f>
        <v>0</v>
      </c>
      <c r="T988" s="3"/>
      <c r="U988" s="3"/>
      <c r="V988" s="4"/>
    </row>
    <row r="989" spans="1:22" x14ac:dyDescent="0.3">
      <c r="A989" s="5">
        <f t="shared" si="46"/>
        <v>0</v>
      </c>
      <c r="B989" s="6">
        <f t="shared" si="47"/>
        <v>0</v>
      </c>
      <c r="K989" s="18">
        <f t="shared" si="45"/>
        <v>0</v>
      </c>
      <c r="L989" s="21">
        <f>IF(ISERROR(VLOOKUP($F989,#REF!,6,0)*G989/1000),0,VLOOKUP($F989,#REF!,6,0)*G989/1000)</f>
        <v>0</v>
      </c>
      <c r="M989" s="21">
        <f>IF(ISERROR(VLOOKUP($F989,#REF!,6,0)*H989/1000),0,VLOOKUP($F989,#REF!,6,0)*H989/1000)</f>
        <v>0</v>
      </c>
      <c r="N989" s="21">
        <f>IF(ISERROR(VLOOKUP($F989,#REF!,6,0)*I989/1000),0,VLOOKUP($F989,#REF!,6,0)*I989/1000)</f>
        <v>0</v>
      </c>
      <c r="O989" s="21">
        <f>IF(ISERROR(VLOOKUP($F989,#REF!,6,0)*J989/1000),0,VLOOKUP($F989,#REF!,6,0)*J989/1000)</f>
        <v>0</v>
      </c>
      <c r="P989" s="21">
        <f>IF(ISERROR(VLOOKUP(F989,#REF!,6,0)*K989/1000),0,VLOOKUP(F989,#REF!,6,0)*K989/1000)</f>
        <v>0</v>
      </c>
      <c r="Q989" s="6">
        <f>IF(ISERROR(VLOOKUP(F989,#REF!,3,0)),0,VLOOKUP(F989,#REF!,3,0))</f>
        <v>0</v>
      </c>
      <c r="R989" s="6">
        <f>IF(ISERROR(VLOOKUP(F989,#REF!,4,0)),0,VLOOKUP(F989,#REF!,4,0))</f>
        <v>0</v>
      </c>
      <c r="S989" s="8">
        <f>IF(ISERROR(VLOOKUP(F989,#REF!,4,0)),0,VLOOKUP(F989,#REF!,10,0)/60*K989)</f>
        <v>0</v>
      </c>
      <c r="T989" s="3"/>
      <c r="U989" s="3"/>
      <c r="V989" s="4"/>
    </row>
    <row r="990" spans="1:22" x14ac:dyDescent="0.3">
      <c r="A990" s="5">
        <f t="shared" si="46"/>
        <v>0</v>
      </c>
      <c r="B990" s="6">
        <f t="shared" si="47"/>
        <v>0</v>
      </c>
      <c r="K990" s="18">
        <f t="shared" si="45"/>
        <v>0</v>
      </c>
      <c r="L990" s="21">
        <f>IF(ISERROR(VLOOKUP($F990,#REF!,6,0)*G990/1000),0,VLOOKUP($F990,#REF!,6,0)*G990/1000)</f>
        <v>0</v>
      </c>
      <c r="M990" s="21">
        <f>IF(ISERROR(VLOOKUP($F990,#REF!,6,0)*H990/1000),0,VLOOKUP($F990,#REF!,6,0)*H990/1000)</f>
        <v>0</v>
      </c>
      <c r="N990" s="21">
        <f>IF(ISERROR(VLOOKUP($F990,#REF!,6,0)*I990/1000),0,VLOOKUP($F990,#REF!,6,0)*I990/1000)</f>
        <v>0</v>
      </c>
      <c r="O990" s="21">
        <f>IF(ISERROR(VLOOKUP($F990,#REF!,6,0)*J990/1000),0,VLOOKUP($F990,#REF!,6,0)*J990/1000)</f>
        <v>0</v>
      </c>
      <c r="P990" s="21">
        <f>IF(ISERROR(VLOOKUP(F990,#REF!,6,0)*K990/1000),0,VLOOKUP(F990,#REF!,6,0)*K990/1000)</f>
        <v>0</v>
      </c>
      <c r="Q990" s="6">
        <f>IF(ISERROR(VLOOKUP(F990,#REF!,3,0)),0,VLOOKUP(F990,#REF!,3,0))</f>
        <v>0</v>
      </c>
      <c r="R990" s="6">
        <f>IF(ISERROR(VLOOKUP(F990,#REF!,4,0)),0,VLOOKUP(F990,#REF!,4,0))</f>
        <v>0</v>
      </c>
      <c r="S990" s="8">
        <f>IF(ISERROR(VLOOKUP(F990,#REF!,4,0)),0,VLOOKUP(F990,#REF!,10,0)/60*K990)</f>
        <v>0</v>
      </c>
      <c r="T990" s="3"/>
      <c r="U990" s="3"/>
      <c r="V990" s="4"/>
    </row>
    <row r="991" spans="1:22" x14ac:dyDescent="0.3">
      <c r="A991" s="5">
        <f t="shared" si="46"/>
        <v>0</v>
      </c>
      <c r="B991" s="6">
        <f t="shared" si="47"/>
        <v>0</v>
      </c>
      <c r="K991" s="18">
        <f t="shared" si="45"/>
        <v>0</v>
      </c>
      <c r="L991" s="21">
        <f>IF(ISERROR(VLOOKUP($F991,#REF!,6,0)*G991/1000),0,VLOOKUP($F991,#REF!,6,0)*G991/1000)</f>
        <v>0</v>
      </c>
      <c r="M991" s="21">
        <f>IF(ISERROR(VLOOKUP($F991,#REF!,6,0)*H991/1000),0,VLOOKUP($F991,#REF!,6,0)*H991/1000)</f>
        <v>0</v>
      </c>
      <c r="N991" s="21">
        <f>IF(ISERROR(VLOOKUP($F991,#REF!,6,0)*I991/1000),0,VLOOKUP($F991,#REF!,6,0)*I991/1000)</f>
        <v>0</v>
      </c>
      <c r="O991" s="21">
        <f>IF(ISERROR(VLOOKUP($F991,#REF!,6,0)*J991/1000),0,VLOOKUP($F991,#REF!,6,0)*J991/1000)</f>
        <v>0</v>
      </c>
      <c r="P991" s="21">
        <f>IF(ISERROR(VLOOKUP(F991,#REF!,6,0)*K991/1000),0,VLOOKUP(F991,#REF!,6,0)*K991/1000)</f>
        <v>0</v>
      </c>
      <c r="Q991" s="6">
        <f>IF(ISERROR(VLOOKUP(F991,#REF!,3,0)),0,VLOOKUP(F991,#REF!,3,0))</f>
        <v>0</v>
      </c>
      <c r="R991" s="6">
        <f>IF(ISERROR(VLOOKUP(F991,#REF!,4,0)),0,VLOOKUP(F991,#REF!,4,0))</f>
        <v>0</v>
      </c>
      <c r="S991" s="8">
        <f>IF(ISERROR(VLOOKUP(F991,#REF!,4,0)),0,VLOOKUP(F991,#REF!,10,0)/60*K991)</f>
        <v>0</v>
      </c>
      <c r="T991" s="3"/>
      <c r="U991" s="3"/>
      <c r="V991" s="4"/>
    </row>
    <row r="992" spans="1:22" x14ac:dyDescent="0.3">
      <c r="A992" s="5">
        <f t="shared" si="46"/>
        <v>0</v>
      </c>
      <c r="B992" s="6">
        <f t="shared" si="47"/>
        <v>0</v>
      </c>
      <c r="K992" s="18">
        <f t="shared" si="45"/>
        <v>0</v>
      </c>
      <c r="L992" s="21">
        <f>IF(ISERROR(VLOOKUP($F992,#REF!,6,0)*G992/1000),0,VLOOKUP($F992,#REF!,6,0)*G992/1000)</f>
        <v>0</v>
      </c>
      <c r="M992" s="21">
        <f>IF(ISERROR(VLOOKUP($F992,#REF!,6,0)*H992/1000),0,VLOOKUP($F992,#REF!,6,0)*H992/1000)</f>
        <v>0</v>
      </c>
      <c r="N992" s="21">
        <f>IF(ISERROR(VLOOKUP($F992,#REF!,6,0)*I992/1000),0,VLOOKUP($F992,#REF!,6,0)*I992/1000)</f>
        <v>0</v>
      </c>
      <c r="O992" s="21">
        <f>IF(ISERROR(VLOOKUP($F992,#REF!,6,0)*J992/1000),0,VLOOKUP($F992,#REF!,6,0)*J992/1000)</f>
        <v>0</v>
      </c>
      <c r="P992" s="21">
        <f>IF(ISERROR(VLOOKUP(F992,#REF!,6,0)*K992/1000),0,VLOOKUP(F992,#REF!,6,0)*K992/1000)</f>
        <v>0</v>
      </c>
      <c r="Q992" s="6">
        <f>IF(ISERROR(VLOOKUP(F992,#REF!,3,0)),0,VLOOKUP(F992,#REF!,3,0))</f>
        <v>0</v>
      </c>
      <c r="R992" s="6">
        <f>IF(ISERROR(VLOOKUP(F992,#REF!,4,0)),0,VLOOKUP(F992,#REF!,4,0))</f>
        <v>0</v>
      </c>
      <c r="S992" s="8">
        <f>IF(ISERROR(VLOOKUP(F992,#REF!,4,0)),0,VLOOKUP(F992,#REF!,10,0)/60*K992)</f>
        <v>0</v>
      </c>
      <c r="T992" s="3"/>
      <c r="U992" s="3"/>
      <c r="V992" s="4"/>
    </row>
    <row r="993" spans="1:22" x14ac:dyDescent="0.3">
      <c r="A993" s="5">
        <f t="shared" si="46"/>
        <v>0</v>
      </c>
      <c r="B993" s="6">
        <f t="shared" si="47"/>
        <v>0</v>
      </c>
      <c r="K993" s="18">
        <f t="shared" si="45"/>
        <v>0</v>
      </c>
      <c r="L993" s="21">
        <f>IF(ISERROR(VLOOKUP($F993,#REF!,6,0)*G993/1000),0,VLOOKUP($F993,#REF!,6,0)*G993/1000)</f>
        <v>0</v>
      </c>
      <c r="M993" s="21">
        <f>IF(ISERROR(VLOOKUP($F993,#REF!,6,0)*H993/1000),0,VLOOKUP($F993,#REF!,6,0)*H993/1000)</f>
        <v>0</v>
      </c>
      <c r="N993" s="21">
        <f>IF(ISERROR(VLOOKUP($F993,#REF!,6,0)*I993/1000),0,VLOOKUP($F993,#REF!,6,0)*I993/1000)</f>
        <v>0</v>
      </c>
      <c r="O993" s="21">
        <f>IF(ISERROR(VLOOKUP($F993,#REF!,6,0)*J993/1000),0,VLOOKUP($F993,#REF!,6,0)*J993/1000)</f>
        <v>0</v>
      </c>
      <c r="P993" s="21">
        <f>IF(ISERROR(VLOOKUP(F993,#REF!,6,0)*K993/1000),0,VLOOKUP(F993,#REF!,6,0)*K993/1000)</f>
        <v>0</v>
      </c>
      <c r="Q993" s="6">
        <f>IF(ISERROR(VLOOKUP(F993,#REF!,3,0)),0,VLOOKUP(F993,#REF!,3,0))</f>
        <v>0</v>
      </c>
      <c r="R993" s="6">
        <f>IF(ISERROR(VLOOKUP(F993,#REF!,4,0)),0,VLOOKUP(F993,#REF!,4,0))</f>
        <v>0</v>
      </c>
      <c r="S993" s="8">
        <f>IF(ISERROR(VLOOKUP(F993,#REF!,4,0)),0,VLOOKUP(F993,#REF!,10,0)/60*K993)</f>
        <v>0</v>
      </c>
      <c r="T993" s="3"/>
      <c r="U993" s="3"/>
      <c r="V993" s="4"/>
    </row>
    <row r="994" spans="1:22" x14ac:dyDescent="0.3">
      <c r="A994" s="5">
        <f t="shared" si="46"/>
        <v>0</v>
      </c>
      <c r="B994" s="6">
        <f t="shared" si="47"/>
        <v>0</v>
      </c>
      <c r="K994" s="18">
        <f t="shared" si="45"/>
        <v>0</v>
      </c>
      <c r="L994" s="21">
        <f>IF(ISERROR(VLOOKUP($F994,#REF!,6,0)*G994/1000),0,VLOOKUP($F994,#REF!,6,0)*G994/1000)</f>
        <v>0</v>
      </c>
      <c r="M994" s="21">
        <f>IF(ISERROR(VLOOKUP($F994,#REF!,6,0)*H994/1000),0,VLOOKUP($F994,#REF!,6,0)*H994/1000)</f>
        <v>0</v>
      </c>
      <c r="N994" s="21">
        <f>IF(ISERROR(VLOOKUP($F994,#REF!,6,0)*I994/1000),0,VLOOKUP($F994,#REF!,6,0)*I994/1000)</f>
        <v>0</v>
      </c>
      <c r="O994" s="21">
        <f>IF(ISERROR(VLOOKUP($F994,#REF!,6,0)*J994/1000),0,VLOOKUP($F994,#REF!,6,0)*J994/1000)</f>
        <v>0</v>
      </c>
      <c r="P994" s="21">
        <f>IF(ISERROR(VLOOKUP(F994,#REF!,6,0)*K994/1000),0,VLOOKUP(F994,#REF!,6,0)*K994/1000)</f>
        <v>0</v>
      </c>
      <c r="Q994" s="6">
        <f>IF(ISERROR(VLOOKUP(F994,#REF!,3,0)),0,VLOOKUP(F994,#REF!,3,0))</f>
        <v>0</v>
      </c>
      <c r="R994" s="6">
        <f>IF(ISERROR(VLOOKUP(F994,#REF!,4,0)),0,VLOOKUP(F994,#REF!,4,0))</f>
        <v>0</v>
      </c>
      <c r="S994" s="8">
        <f>IF(ISERROR(VLOOKUP(F994,#REF!,4,0)),0,VLOOKUP(F994,#REF!,10,0)/60*K994)</f>
        <v>0</v>
      </c>
      <c r="T994" s="3"/>
      <c r="U994" s="3"/>
      <c r="V994" s="4"/>
    </row>
    <row r="995" spans="1:22" x14ac:dyDescent="0.3">
      <c r="A995" s="5">
        <f t="shared" si="46"/>
        <v>0</v>
      </c>
      <c r="B995" s="6">
        <f t="shared" si="47"/>
        <v>0</v>
      </c>
      <c r="K995" s="18">
        <f t="shared" si="45"/>
        <v>0</v>
      </c>
      <c r="L995" s="21">
        <f>IF(ISERROR(VLOOKUP($F995,#REF!,6,0)*G995/1000),0,VLOOKUP($F995,#REF!,6,0)*G995/1000)</f>
        <v>0</v>
      </c>
      <c r="M995" s="21">
        <f>IF(ISERROR(VLOOKUP($F995,#REF!,6,0)*H995/1000),0,VLOOKUP($F995,#REF!,6,0)*H995/1000)</f>
        <v>0</v>
      </c>
      <c r="N995" s="21">
        <f>IF(ISERROR(VLOOKUP($F995,#REF!,6,0)*I995/1000),0,VLOOKUP($F995,#REF!,6,0)*I995/1000)</f>
        <v>0</v>
      </c>
      <c r="O995" s="21">
        <f>IF(ISERROR(VLOOKUP($F995,#REF!,6,0)*J995/1000),0,VLOOKUP($F995,#REF!,6,0)*J995/1000)</f>
        <v>0</v>
      </c>
      <c r="P995" s="21">
        <f>IF(ISERROR(VLOOKUP(F995,#REF!,6,0)*K995/1000),0,VLOOKUP(F995,#REF!,6,0)*K995/1000)</f>
        <v>0</v>
      </c>
      <c r="Q995" s="6">
        <f>IF(ISERROR(VLOOKUP(F995,#REF!,3,0)),0,VLOOKUP(F995,#REF!,3,0))</f>
        <v>0</v>
      </c>
      <c r="R995" s="6">
        <f>IF(ISERROR(VLOOKUP(F995,#REF!,4,0)),0,VLOOKUP(F995,#REF!,4,0))</f>
        <v>0</v>
      </c>
      <c r="S995" s="8">
        <f>IF(ISERROR(VLOOKUP(F995,#REF!,4,0)),0,VLOOKUP(F995,#REF!,10,0)/60*K995)</f>
        <v>0</v>
      </c>
      <c r="T995" s="3"/>
      <c r="U995" s="3"/>
      <c r="V995" s="4"/>
    </row>
    <row r="996" spans="1:22" x14ac:dyDescent="0.3">
      <c r="A996" s="5">
        <f t="shared" si="46"/>
        <v>0</v>
      </c>
      <c r="B996" s="6">
        <f t="shared" si="47"/>
        <v>0</v>
      </c>
      <c r="K996" s="18">
        <f t="shared" si="45"/>
        <v>0</v>
      </c>
      <c r="L996" s="21">
        <f>IF(ISERROR(VLOOKUP($F996,#REF!,6,0)*G996/1000),0,VLOOKUP($F996,#REF!,6,0)*G996/1000)</f>
        <v>0</v>
      </c>
      <c r="M996" s="21">
        <f>IF(ISERROR(VLOOKUP($F996,#REF!,6,0)*H996/1000),0,VLOOKUP($F996,#REF!,6,0)*H996/1000)</f>
        <v>0</v>
      </c>
      <c r="N996" s="21">
        <f>IF(ISERROR(VLOOKUP($F996,#REF!,6,0)*I996/1000),0,VLOOKUP($F996,#REF!,6,0)*I996/1000)</f>
        <v>0</v>
      </c>
      <c r="O996" s="21">
        <f>IF(ISERROR(VLOOKUP($F996,#REF!,6,0)*J996/1000),0,VLOOKUP($F996,#REF!,6,0)*J996/1000)</f>
        <v>0</v>
      </c>
      <c r="P996" s="21">
        <f>IF(ISERROR(VLOOKUP(F996,#REF!,6,0)*K996/1000),0,VLOOKUP(F996,#REF!,6,0)*K996/1000)</f>
        <v>0</v>
      </c>
      <c r="Q996" s="6">
        <f>IF(ISERROR(VLOOKUP(F996,#REF!,3,0)),0,VLOOKUP(F996,#REF!,3,0))</f>
        <v>0</v>
      </c>
      <c r="R996" s="6">
        <f>IF(ISERROR(VLOOKUP(F996,#REF!,4,0)),0,VLOOKUP(F996,#REF!,4,0))</f>
        <v>0</v>
      </c>
      <c r="S996" s="8">
        <f>IF(ISERROR(VLOOKUP(F996,#REF!,4,0)),0,VLOOKUP(F996,#REF!,10,0)/60*K996)</f>
        <v>0</v>
      </c>
      <c r="T996" s="3"/>
      <c r="U996" s="3"/>
      <c r="V996" s="4"/>
    </row>
    <row r="997" spans="1:22" x14ac:dyDescent="0.3">
      <c r="A997" s="5">
        <f t="shared" si="46"/>
        <v>0</v>
      </c>
      <c r="B997" s="6">
        <f t="shared" si="47"/>
        <v>0</v>
      </c>
      <c r="K997" s="18">
        <f t="shared" si="45"/>
        <v>0</v>
      </c>
      <c r="L997" s="21">
        <f>IF(ISERROR(VLOOKUP($F997,#REF!,6,0)*G997/1000),0,VLOOKUP($F997,#REF!,6,0)*G997/1000)</f>
        <v>0</v>
      </c>
      <c r="M997" s="21">
        <f>IF(ISERROR(VLOOKUP($F997,#REF!,6,0)*H997/1000),0,VLOOKUP($F997,#REF!,6,0)*H997/1000)</f>
        <v>0</v>
      </c>
      <c r="N997" s="21">
        <f>IF(ISERROR(VLOOKUP($F997,#REF!,6,0)*I997/1000),0,VLOOKUP($F997,#REF!,6,0)*I997/1000)</f>
        <v>0</v>
      </c>
      <c r="O997" s="21">
        <f>IF(ISERROR(VLOOKUP($F997,#REF!,6,0)*J997/1000),0,VLOOKUP($F997,#REF!,6,0)*J997/1000)</f>
        <v>0</v>
      </c>
      <c r="P997" s="21">
        <f>IF(ISERROR(VLOOKUP(F997,#REF!,6,0)*K997/1000),0,VLOOKUP(F997,#REF!,6,0)*K997/1000)</f>
        <v>0</v>
      </c>
      <c r="Q997" s="6">
        <f>IF(ISERROR(VLOOKUP(F997,#REF!,3,0)),0,VLOOKUP(F997,#REF!,3,0))</f>
        <v>0</v>
      </c>
      <c r="R997" s="6">
        <f>IF(ISERROR(VLOOKUP(F997,#REF!,4,0)),0,VLOOKUP(F997,#REF!,4,0))</f>
        <v>0</v>
      </c>
      <c r="S997" s="8">
        <f>IF(ISERROR(VLOOKUP(F997,#REF!,4,0)),0,VLOOKUP(F997,#REF!,10,0)/60*K997)</f>
        <v>0</v>
      </c>
      <c r="T997" s="3"/>
      <c r="U997" s="3"/>
      <c r="V997" s="4"/>
    </row>
    <row r="998" spans="1:22" x14ac:dyDescent="0.3">
      <c r="A998" s="5">
        <f t="shared" si="46"/>
        <v>0</v>
      </c>
      <c r="B998" s="6">
        <f t="shared" si="47"/>
        <v>0</v>
      </c>
      <c r="K998" s="18">
        <f t="shared" si="45"/>
        <v>0</v>
      </c>
      <c r="L998" s="21">
        <f>IF(ISERROR(VLOOKUP($F998,#REF!,6,0)*G998/1000),0,VLOOKUP($F998,#REF!,6,0)*G998/1000)</f>
        <v>0</v>
      </c>
      <c r="M998" s="21">
        <f>IF(ISERROR(VLOOKUP($F998,#REF!,6,0)*H998/1000),0,VLOOKUP($F998,#REF!,6,0)*H998/1000)</f>
        <v>0</v>
      </c>
      <c r="N998" s="21">
        <f>IF(ISERROR(VLOOKUP($F998,#REF!,6,0)*I998/1000),0,VLOOKUP($F998,#REF!,6,0)*I998/1000)</f>
        <v>0</v>
      </c>
      <c r="O998" s="21">
        <f>IF(ISERROR(VLOOKUP($F998,#REF!,6,0)*J998/1000),0,VLOOKUP($F998,#REF!,6,0)*J998/1000)</f>
        <v>0</v>
      </c>
      <c r="P998" s="21">
        <f>IF(ISERROR(VLOOKUP(F998,#REF!,6,0)*K998/1000),0,VLOOKUP(F998,#REF!,6,0)*K998/1000)</f>
        <v>0</v>
      </c>
      <c r="Q998" s="6">
        <f>IF(ISERROR(VLOOKUP(F998,#REF!,3,0)),0,VLOOKUP(F998,#REF!,3,0))</f>
        <v>0</v>
      </c>
      <c r="R998" s="6">
        <f>IF(ISERROR(VLOOKUP(F998,#REF!,4,0)),0,VLOOKUP(F998,#REF!,4,0))</f>
        <v>0</v>
      </c>
      <c r="S998" s="8">
        <f>IF(ISERROR(VLOOKUP(F998,#REF!,4,0)),0,VLOOKUP(F998,#REF!,10,0)/60*K998)</f>
        <v>0</v>
      </c>
      <c r="T998" s="3"/>
      <c r="U998" s="3"/>
      <c r="V998" s="4"/>
    </row>
    <row r="999" spans="1:22" x14ac:dyDescent="0.3">
      <c r="A999" s="5">
        <f t="shared" si="46"/>
        <v>0</v>
      </c>
      <c r="B999" s="6">
        <f t="shared" si="47"/>
        <v>0</v>
      </c>
      <c r="K999" s="18">
        <f t="shared" si="45"/>
        <v>0</v>
      </c>
      <c r="L999" s="21">
        <f>IF(ISERROR(VLOOKUP($F999,#REF!,6,0)*G999/1000),0,VLOOKUP($F999,#REF!,6,0)*G999/1000)</f>
        <v>0</v>
      </c>
      <c r="M999" s="21">
        <f>IF(ISERROR(VLOOKUP($F999,#REF!,6,0)*H999/1000),0,VLOOKUP($F999,#REF!,6,0)*H999/1000)</f>
        <v>0</v>
      </c>
      <c r="N999" s="21">
        <f>IF(ISERROR(VLOOKUP($F999,#REF!,6,0)*I999/1000),0,VLOOKUP($F999,#REF!,6,0)*I999/1000)</f>
        <v>0</v>
      </c>
      <c r="O999" s="21">
        <f>IF(ISERROR(VLOOKUP($F999,#REF!,6,0)*J999/1000),0,VLOOKUP($F999,#REF!,6,0)*J999/1000)</f>
        <v>0</v>
      </c>
      <c r="P999" s="21">
        <f>IF(ISERROR(VLOOKUP(F999,#REF!,6,0)*K999/1000),0,VLOOKUP(F999,#REF!,6,0)*K999/1000)</f>
        <v>0</v>
      </c>
      <c r="Q999" s="6">
        <f>IF(ISERROR(VLOOKUP(F999,#REF!,3,0)),0,VLOOKUP(F999,#REF!,3,0))</f>
        <v>0</v>
      </c>
      <c r="R999" s="6">
        <f>IF(ISERROR(VLOOKUP(F999,#REF!,4,0)),0,VLOOKUP(F999,#REF!,4,0))</f>
        <v>0</v>
      </c>
      <c r="S999" s="8">
        <f>IF(ISERROR(VLOOKUP(F999,#REF!,4,0)),0,VLOOKUP(F999,#REF!,10,0)/60*K999)</f>
        <v>0</v>
      </c>
      <c r="T999" s="3"/>
      <c r="U999" s="3"/>
      <c r="V999" s="4"/>
    </row>
    <row r="1000" spans="1:22" x14ac:dyDescent="0.3">
      <c r="A1000" s="5">
        <f t="shared" si="46"/>
        <v>0</v>
      </c>
      <c r="B1000" s="6">
        <f t="shared" si="47"/>
        <v>0</v>
      </c>
      <c r="K1000" s="18">
        <f t="shared" si="45"/>
        <v>0</v>
      </c>
      <c r="L1000" s="21">
        <f>IF(ISERROR(VLOOKUP($F1000,#REF!,6,0)*G1000/1000),0,VLOOKUP($F1000,#REF!,6,0)*G1000/1000)</f>
        <v>0</v>
      </c>
      <c r="M1000" s="21">
        <f>IF(ISERROR(VLOOKUP($F1000,#REF!,6,0)*H1000/1000),0,VLOOKUP($F1000,#REF!,6,0)*H1000/1000)</f>
        <v>0</v>
      </c>
      <c r="N1000" s="21">
        <f>IF(ISERROR(VLOOKUP($F1000,#REF!,6,0)*I1000/1000),0,VLOOKUP($F1000,#REF!,6,0)*I1000/1000)</f>
        <v>0</v>
      </c>
      <c r="O1000" s="21">
        <f>IF(ISERROR(VLOOKUP($F1000,#REF!,6,0)*J1000/1000),0,VLOOKUP($F1000,#REF!,6,0)*J1000/1000)</f>
        <v>0</v>
      </c>
      <c r="P1000" s="21">
        <f>IF(ISERROR(VLOOKUP(F1000,#REF!,6,0)*K1000/1000),0,VLOOKUP(F1000,#REF!,6,0)*K1000/1000)</f>
        <v>0</v>
      </c>
      <c r="Q1000" s="6">
        <f>IF(ISERROR(VLOOKUP(F1000,#REF!,3,0)),0,VLOOKUP(F1000,#REF!,3,0))</f>
        <v>0</v>
      </c>
      <c r="R1000" s="6">
        <f>IF(ISERROR(VLOOKUP(F1000,#REF!,4,0)),0,VLOOKUP(F1000,#REF!,4,0))</f>
        <v>0</v>
      </c>
      <c r="S1000" s="8">
        <f>IF(ISERROR(VLOOKUP(F1000,#REF!,4,0)),0,VLOOKUP(F1000,#REF!,10,0)/60*K1000)</f>
        <v>0</v>
      </c>
      <c r="T1000" s="3"/>
      <c r="U1000" s="3"/>
      <c r="V1000" s="4"/>
    </row>
    <row r="1001" spans="1:22" x14ac:dyDescent="0.3">
      <c r="A1001" s="5">
        <f t="shared" si="46"/>
        <v>0</v>
      </c>
      <c r="B1001" s="6">
        <f t="shared" si="47"/>
        <v>0</v>
      </c>
      <c r="K1001" s="18">
        <f t="shared" si="45"/>
        <v>0</v>
      </c>
      <c r="L1001" s="21">
        <f>IF(ISERROR(VLOOKUP($F1001,#REF!,6,0)*G1001/1000),0,VLOOKUP($F1001,#REF!,6,0)*G1001/1000)</f>
        <v>0</v>
      </c>
      <c r="M1001" s="21">
        <f>IF(ISERROR(VLOOKUP($F1001,#REF!,6,0)*H1001/1000),0,VLOOKUP($F1001,#REF!,6,0)*H1001/1000)</f>
        <v>0</v>
      </c>
      <c r="N1001" s="21">
        <f>IF(ISERROR(VLOOKUP($F1001,#REF!,6,0)*I1001/1000),0,VLOOKUP($F1001,#REF!,6,0)*I1001/1000)</f>
        <v>0</v>
      </c>
      <c r="O1001" s="21">
        <f>IF(ISERROR(VLOOKUP($F1001,#REF!,6,0)*J1001/1000),0,VLOOKUP($F1001,#REF!,6,0)*J1001/1000)</f>
        <v>0</v>
      </c>
      <c r="P1001" s="21">
        <f>IF(ISERROR(VLOOKUP(F1001,#REF!,6,0)*K1001/1000),0,VLOOKUP(F1001,#REF!,6,0)*K1001/1000)</f>
        <v>0</v>
      </c>
      <c r="Q1001" s="6">
        <f>IF(ISERROR(VLOOKUP(F1001,#REF!,3,0)),0,VLOOKUP(F1001,#REF!,3,0))</f>
        <v>0</v>
      </c>
      <c r="R1001" s="6">
        <f>IF(ISERROR(VLOOKUP(F1001,#REF!,4,0)),0,VLOOKUP(F1001,#REF!,4,0))</f>
        <v>0</v>
      </c>
      <c r="S1001" s="8">
        <f>IF(ISERROR(VLOOKUP(F1001,#REF!,4,0)),0,VLOOKUP(F1001,#REF!,10,0)/60*K1001)</f>
        <v>0</v>
      </c>
      <c r="T1001" s="3"/>
      <c r="U1001" s="3"/>
      <c r="V1001" s="4"/>
    </row>
    <row r="1002" spans="1:22" x14ac:dyDescent="0.3">
      <c r="A1002" s="5">
        <f t="shared" si="46"/>
        <v>0</v>
      </c>
      <c r="B1002" s="6">
        <f t="shared" si="47"/>
        <v>0</v>
      </c>
      <c r="K1002" s="18">
        <f t="shared" si="45"/>
        <v>0</v>
      </c>
      <c r="L1002" s="21">
        <f>IF(ISERROR(VLOOKUP($F1002,#REF!,6,0)*G1002/1000),0,VLOOKUP($F1002,#REF!,6,0)*G1002/1000)</f>
        <v>0</v>
      </c>
      <c r="M1002" s="21">
        <f>IF(ISERROR(VLOOKUP($F1002,#REF!,6,0)*H1002/1000),0,VLOOKUP($F1002,#REF!,6,0)*H1002/1000)</f>
        <v>0</v>
      </c>
      <c r="N1002" s="21">
        <f>IF(ISERROR(VLOOKUP($F1002,#REF!,6,0)*I1002/1000),0,VLOOKUP($F1002,#REF!,6,0)*I1002/1000)</f>
        <v>0</v>
      </c>
      <c r="O1002" s="21">
        <f>IF(ISERROR(VLOOKUP($F1002,#REF!,6,0)*J1002/1000),0,VLOOKUP($F1002,#REF!,6,0)*J1002/1000)</f>
        <v>0</v>
      </c>
      <c r="P1002" s="21">
        <f>IF(ISERROR(VLOOKUP(F1002,#REF!,6,0)*K1002/1000),0,VLOOKUP(F1002,#REF!,6,0)*K1002/1000)</f>
        <v>0</v>
      </c>
      <c r="Q1002" s="6">
        <f>IF(ISERROR(VLOOKUP(F1002,#REF!,3,0)),0,VLOOKUP(F1002,#REF!,3,0))</f>
        <v>0</v>
      </c>
      <c r="R1002" s="6">
        <f>IF(ISERROR(VLOOKUP(F1002,#REF!,4,0)),0,VLOOKUP(F1002,#REF!,4,0))</f>
        <v>0</v>
      </c>
      <c r="S1002" s="8">
        <f>IF(ISERROR(VLOOKUP(F1002,#REF!,4,0)),0,VLOOKUP(F1002,#REF!,10,0)/60*K1002)</f>
        <v>0</v>
      </c>
      <c r="T1002" s="3"/>
      <c r="U1002" s="3"/>
      <c r="V1002" s="4"/>
    </row>
    <row r="1003" spans="1:22" x14ac:dyDescent="0.3">
      <c r="A1003" s="5">
        <f t="shared" si="46"/>
        <v>0</v>
      </c>
      <c r="B1003" s="6">
        <f t="shared" si="47"/>
        <v>0</v>
      </c>
      <c r="K1003" s="18">
        <f t="shared" si="45"/>
        <v>0</v>
      </c>
      <c r="L1003" s="21">
        <f>IF(ISERROR(VLOOKUP($F1003,#REF!,6,0)*G1003/1000),0,VLOOKUP($F1003,#REF!,6,0)*G1003/1000)</f>
        <v>0</v>
      </c>
      <c r="M1003" s="21">
        <f>IF(ISERROR(VLOOKUP($F1003,#REF!,6,0)*H1003/1000),0,VLOOKUP($F1003,#REF!,6,0)*H1003/1000)</f>
        <v>0</v>
      </c>
      <c r="N1003" s="21">
        <f>IF(ISERROR(VLOOKUP($F1003,#REF!,6,0)*I1003/1000),0,VLOOKUP($F1003,#REF!,6,0)*I1003/1000)</f>
        <v>0</v>
      </c>
      <c r="O1003" s="21">
        <f>IF(ISERROR(VLOOKUP($F1003,#REF!,6,0)*J1003/1000),0,VLOOKUP($F1003,#REF!,6,0)*J1003/1000)</f>
        <v>0</v>
      </c>
      <c r="P1003" s="21">
        <f>IF(ISERROR(VLOOKUP(F1003,#REF!,6,0)*K1003/1000),0,VLOOKUP(F1003,#REF!,6,0)*K1003/1000)</f>
        <v>0</v>
      </c>
      <c r="Q1003" s="6">
        <f>IF(ISERROR(VLOOKUP(F1003,#REF!,3,0)),0,VLOOKUP(F1003,#REF!,3,0))</f>
        <v>0</v>
      </c>
      <c r="R1003" s="6">
        <f>IF(ISERROR(VLOOKUP(F1003,#REF!,4,0)),0,VLOOKUP(F1003,#REF!,4,0))</f>
        <v>0</v>
      </c>
      <c r="S1003" s="8">
        <f>IF(ISERROR(VLOOKUP(F1003,#REF!,4,0)),0,VLOOKUP(F1003,#REF!,10,0)/60*K1003)</f>
        <v>0</v>
      </c>
      <c r="T1003" s="3"/>
      <c r="U1003" s="3"/>
      <c r="V1003" s="4"/>
    </row>
    <row r="1004" spans="1:22" x14ac:dyDescent="0.3">
      <c r="A1004" s="5">
        <f t="shared" si="46"/>
        <v>0</v>
      </c>
      <c r="B1004" s="6">
        <f t="shared" si="47"/>
        <v>0</v>
      </c>
      <c r="K1004" s="18">
        <f t="shared" si="45"/>
        <v>0</v>
      </c>
      <c r="L1004" s="21">
        <f>IF(ISERROR(VLOOKUP($F1004,#REF!,6,0)*G1004/1000),0,VLOOKUP($F1004,#REF!,6,0)*G1004/1000)</f>
        <v>0</v>
      </c>
      <c r="M1004" s="21">
        <f>IF(ISERROR(VLOOKUP($F1004,#REF!,6,0)*H1004/1000),0,VLOOKUP($F1004,#REF!,6,0)*H1004/1000)</f>
        <v>0</v>
      </c>
      <c r="N1004" s="21">
        <f>IF(ISERROR(VLOOKUP($F1004,#REF!,6,0)*I1004/1000),0,VLOOKUP($F1004,#REF!,6,0)*I1004/1000)</f>
        <v>0</v>
      </c>
      <c r="O1004" s="21">
        <f>IF(ISERROR(VLOOKUP($F1004,#REF!,6,0)*J1004/1000),0,VLOOKUP($F1004,#REF!,6,0)*J1004/1000)</f>
        <v>0</v>
      </c>
      <c r="P1004" s="21">
        <f>IF(ISERROR(VLOOKUP(F1004,#REF!,6,0)*K1004/1000),0,VLOOKUP(F1004,#REF!,6,0)*K1004/1000)</f>
        <v>0</v>
      </c>
      <c r="Q1004" s="6">
        <f>IF(ISERROR(VLOOKUP(F1004,#REF!,3,0)),0,VLOOKUP(F1004,#REF!,3,0))</f>
        <v>0</v>
      </c>
      <c r="R1004" s="6">
        <f>IF(ISERROR(VLOOKUP(F1004,#REF!,4,0)),0,VLOOKUP(F1004,#REF!,4,0))</f>
        <v>0</v>
      </c>
      <c r="S1004" s="8">
        <f>IF(ISERROR(VLOOKUP(F1004,#REF!,4,0)),0,VLOOKUP(F1004,#REF!,10,0)/60*K1004)</f>
        <v>0</v>
      </c>
      <c r="T1004" s="3"/>
      <c r="U1004" s="3"/>
      <c r="V1004" s="4"/>
    </row>
    <row r="1005" spans="1:22" x14ac:dyDescent="0.3">
      <c r="A1005" s="5">
        <f t="shared" si="46"/>
        <v>0</v>
      </c>
      <c r="B1005" s="6">
        <f t="shared" si="47"/>
        <v>0</v>
      </c>
      <c r="K1005" s="18">
        <f t="shared" si="45"/>
        <v>0</v>
      </c>
      <c r="L1005" s="21">
        <f>IF(ISERROR(VLOOKUP($F1005,#REF!,6,0)*G1005/1000),0,VLOOKUP($F1005,#REF!,6,0)*G1005/1000)</f>
        <v>0</v>
      </c>
      <c r="M1005" s="21">
        <f>IF(ISERROR(VLOOKUP($F1005,#REF!,6,0)*H1005/1000),0,VLOOKUP($F1005,#REF!,6,0)*H1005/1000)</f>
        <v>0</v>
      </c>
      <c r="N1005" s="21">
        <f>IF(ISERROR(VLOOKUP($F1005,#REF!,6,0)*I1005/1000),0,VLOOKUP($F1005,#REF!,6,0)*I1005/1000)</f>
        <v>0</v>
      </c>
      <c r="O1005" s="21">
        <f>IF(ISERROR(VLOOKUP($F1005,#REF!,6,0)*J1005/1000),0,VLOOKUP($F1005,#REF!,6,0)*J1005/1000)</f>
        <v>0</v>
      </c>
      <c r="P1005" s="21">
        <f>IF(ISERROR(VLOOKUP(F1005,#REF!,6,0)*K1005/1000),0,VLOOKUP(F1005,#REF!,6,0)*K1005/1000)</f>
        <v>0</v>
      </c>
      <c r="Q1005" s="6">
        <f>IF(ISERROR(VLOOKUP(F1005,#REF!,3,0)),0,VLOOKUP(F1005,#REF!,3,0))</f>
        <v>0</v>
      </c>
      <c r="R1005" s="6">
        <f>IF(ISERROR(VLOOKUP(F1005,#REF!,4,0)),0,VLOOKUP(F1005,#REF!,4,0))</f>
        <v>0</v>
      </c>
      <c r="S1005" s="8">
        <f>IF(ISERROR(VLOOKUP(F1005,#REF!,4,0)),0,VLOOKUP(F1005,#REF!,10,0)/60*K1005)</f>
        <v>0</v>
      </c>
      <c r="T1005" s="3"/>
      <c r="U1005" s="3"/>
      <c r="V1005" s="4"/>
    </row>
    <row r="1006" spans="1:22" x14ac:dyDescent="0.3">
      <c r="A1006" s="5">
        <f t="shared" si="46"/>
        <v>0</v>
      </c>
      <c r="B1006" s="6">
        <f t="shared" si="47"/>
        <v>0</v>
      </c>
      <c r="K1006" s="18">
        <f t="shared" si="45"/>
        <v>0</v>
      </c>
      <c r="L1006" s="21">
        <f>IF(ISERROR(VLOOKUP($F1006,#REF!,6,0)*G1006/1000),0,VLOOKUP($F1006,#REF!,6,0)*G1006/1000)</f>
        <v>0</v>
      </c>
      <c r="M1006" s="21">
        <f>IF(ISERROR(VLOOKUP($F1006,#REF!,6,0)*H1006/1000),0,VLOOKUP($F1006,#REF!,6,0)*H1006/1000)</f>
        <v>0</v>
      </c>
      <c r="N1006" s="21">
        <f>IF(ISERROR(VLOOKUP($F1006,#REF!,6,0)*I1006/1000),0,VLOOKUP($F1006,#REF!,6,0)*I1006/1000)</f>
        <v>0</v>
      </c>
      <c r="O1006" s="21">
        <f>IF(ISERROR(VLOOKUP($F1006,#REF!,6,0)*J1006/1000),0,VLOOKUP($F1006,#REF!,6,0)*J1006/1000)</f>
        <v>0</v>
      </c>
      <c r="P1006" s="21">
        <f>IF(ISERROR(VLOOKUP(F1006,#REF!,6,0)*K1006/1000),0,VLOOKUP(F1006,#REF!,6,0)*K1006/1000)</f>
        <v>0</v>
      </c>
      <c r="Q1006" s="6">
        <f>IF(ISERROR(VLOOKUP(F1006,#REF!,3,0)),0,VLOOKUP(F1006,#REF!,3,0))</f>
        <v>0</v>
      </c>
      <c r="R1006" s="6">
        <f>IF(ISERROR(VLOOKUP(F1006,#REF!,4,0)),0,VLOOKUP(F1006,#REF!,4,0))</f>
        <v>0</v>
      </c>
      <c r="S1006" s="8">
        <f>IF(ISERROR(VLOOKUP(F1006,#REF!,4,0)),0,VLOOKUP(F1006,#REF!,10,0)/60*K1006)</f>
        <v>0</v>
      </c>
      <c r="T1006" s="3"/>
      <c r="U1006" s="3"/>
      <c r="V1006" s="4"/>
    </row>
    <row r="1007" spans="1:22" x14ac:dyDescent="0.3">
      <c r="A1007" s="5">
        <f t="shared" si="46"/>
        <v>0</v>
      </c>
      <c r="B1007" s="6">
        <f t="shared" si="47"/>
        <v>0</v>
      </c>
      <c r="K1007" s="18">
        <f t="shared" si="45"/>
        <v>0</v>
      </c>
      <c r="L1007" s="21">
        <f>IF(ISERROR(VLOOKUP($F1007,#REF!,6,0)*G1007/1000),0,VLOOKUP($F1007,#REF!,6,0)*G1007/1000)</f>
        <v>0</v>
      </c>
      <c r="M1007" s="21">
        <f>IF(ISERROR(VLOOKUP($F1007,#REF!,6,0)*H1007/1000),0,VLOOKUP($F1007,#REF!,6,0)*H1007/1000)</f>
        <v>0</v>
      </c>
      <c r="N1007" s="21">
        <f>IF(ISERROR(VLOOKUP($F1007,#REF!,6,0)*I1007/1000),0,VLOOKUP($F1007,#REF!,6,0)*I1007/1000)</f>
        <v>0</v>
      </c>
      <c r="O1007" s="21">
        <f>IF(ISERROR(VLOOKUP($F1007,#REF!,6,0)*J1007/1000),0,VLOOKUP($F1007,#REF!,6,0)*J1007/1000)</f>
        <v>0</v>
      </c>
      <c r="P1007" s="21">
        <f>IF(ISERROR(VLOOKUP(F1007,#REF!,6,0)*K1007/1000),0,VLOOKUP(F1007,#REF!,6,0)*K1007/1000)</f>
        <v>0</v>
      </c>
      <c r="Q1007" s="6">
        <f>IF(ISERROR(VLOOKUP(F1007,#REF!,3,0)),0,VLOOKUP(F1007,#REF!,3,0))</f>
        <v>0</v>
      </c>
      <c r="R1007" s="6">
        <f>IF(ISERROR(VLOOKUP(F1007,#REF!,4,0)),0,VLOOKUP(F1007,#REF!,4,0))</f>
        <v>0</v>
      </c>
      <c r="S1007" s="8">
        <f>IF(ISERROR(VLOOKUP(F1007,#REF!,4,0)),0,VLOOKUP(F1007,#REF!,10,0)/60*K1007)</f>
        <v>0</v>
      </c>
      <c r="T1007" s="3"/>
      <c r="U1007" s="3"/>
      <c r="V1007" s="4"/>
    </row>
    <row r="1008" spans="1:22" x14ac:dyDescent="0.3">
      <c r="A1008" s="5">
        <f t="shared" si="46"/>
        <v>0</v>
      </c>
      <c r="B1008" s="6">
        <f t="shared" si="47"/>
        <v>0</v>
      </c>
      <c r="K1008" s="18">
        <f t="shared" si="45"/>
        <v>0</v>
      </c>
      <c r="L1008" s="21">
        <f>IF(ISERROR(VLOOKUP($F1008,#REF!,6,0)*G1008/1000),0,VLOOKUP($F1008,#REF!,6,0)*G1008/1000)</f>
        <v>0</v>
      </c>
      <c r="M1008" s="21">
        <f>IF(ISERROR(VLOOKUP($F1008,#REF!,6,0)*H1008/1000),0,VLOOKUP($F1008,#REF!,6,0)*H1008/1000)</f>
        <v>0</v>
      </c>
      <c r="N1008" s="21">
        <f>IF(ISERROR(VLOOKUP($F1008,#REF!,6,0)*I1008/1000),0,VLOOKUP($F1008,#REF!,6,0)*I1008/1000)</f>
        <v>0</v>
      </c>
      <c r="O1008" s="21">
        <f>IF(ISERROR(VLOOKUP($F1008,#REF!,6,0)*J1008/1000),0,VLOOKUP($F1008,#REF!,6,0)*J1008/1000)</f>
        <v>0</v>
      </c>
      <c r="P1008" s="21">
        <f>IF(ISERROR(VLOOKUP(F1008,#REF!,6,0)*K1008/1000),0,VLOOKUP(F1008,#REF!,6,0)*K1008/1000)</f>
        <v>0</v>
      </c>
      <c r="Q1008" s="6">
        <f>IF(ISERROR(VLOOKUP(F1008,#REF!,3,0)),0,VLOOKUP(F1008,#REF!,3,0))</f>
        <v>0</v>
      </c>
      <c r="R1008" s="6">
        <f>IF(ISERROR(VLOOKUP(F1008,#REF!,4,0)),0,VLOOKUP(F1008,#REF!,4,0))</f>
        <v>0</v>
      </c>
      <c r="S1008" s="8">
        <f>IF(ISERROR(VLOOKUP(F1008,#REF!,4,0)),0,VLOOKUP(F1008,#REF!,10,0)/60*K1008)</f>
        <v>0</v>
      </c>
      <c r="T1008" s="3"/>
      <c r="U1008" s="3"/>
      <c r="V1008" s="4"/>
    </row>
    <row r="1009" spans="1:22" x14ac:dyDescent="0.3">
      <c r="A1009" s="5">
        <f t="shared" si="46"/>
        <v>0</v>
      </c>
      <c r="B1009" s="6">
        <f t="shared" si="47"/>
        <v>0</v>
      </c>
      <c r="K1009" s="18">
        <f t="shared" si="45"/>
        <v>0</v>
      </c>
      <c r="L1009" s="21">
        <f>IF(ISERROR(VLOOKUP($F1009,#REF!,6,0)*G1009/1000),0,VLOOKUP($F1009,#REF!,6,0)*G1009/1000)</f>
        <v>0</v>
      </c>
      <c r="M1009" s="21">
        <f>IF(ISERROR(VLOOKUP($F1009,#REF!,6,0)*H1009/1000),0,VLOOKUP($F1009,#REF!,6,0)*H1009/1000)</f>
        <v>0</v>
      </c>
      <c r="N1009" s="21">
        <f>IF(ISERROR(VLOOKUP($F1009,#REF!,6,0)*I1009/1000),0,VLOOKUP($F1009,#REF!,6,0)*I1009/1000)</f>
        <v>0</v>
      </c>
      <c r="O1009" s="21">
        <f>IF(ISERROR(VLOOKUP($F1009,#REF!,6,0)*J1009/1000),0,VLOOKUP($F1009,#REF!,6,0)*J1009/1000)</f>
        <v>0</v>
      </c>
      <c r="P1009" s="21">
        <f>IF(ISERROR(VLOOKUP(F1009,#REF!,6,0)*K1009/1000),0,VLOOKUP(F1009,#REF!,6,0)*K1009/1000)</f>
        <v>0</v>
      </c>
      <c r="Q1009" s="6">
        <f>IF(ISERROR(VLOOKUP(F1009,#REF!,3,0)),0,VLOOKUP(F1009,#REF!,3,0))</f>
        <v>0</v>
      </c>
      <c r="R1009" s="6">
        <f>IF(ISERROR(VLOOKUP(F1009,#REF!,4,0)),0,VLOOKUP(F1009,#REF!,4,0))</f>
        <v>0</v>
      </c>
      <c r="S1009" s="8">
        <f>IF(ISERROR(VLOOKUP(F1009,#REF!,4,0)),0,VLOOKUP(F1009,#REF!,10,0)/60*K1009)</f>
        <v>0</v>
      </c>
      <c r="T1009" s="3"/>
      <c r="U1009" s="3"/>
      <c r="V1009" s="4"/>
    </row>
    <row r="1010" spans="1:22" x14ac:dyDescent="0.3">
      <c r="A1010" s="5">
        <f t="shared" si="46"/>
        <v>0</v>
      </c>
      <c r="B1010" s="6">
        <f t="shared" si="47"/>
        <v>0</v>
      </c>
      <c r="K1010" s="18">
        <f t="shared" si="45"/>
        <v>0</v>
      </c>
      <c r="L1010" s="21">
        <f>IF(ISERROR(VLOOKUP($F1010,#REF!,6,0)*G1010/1000),0,VLOOKUP($F1010,#REF!,6,0)*G1010/1000)</f>
        <v>0</v>
      </c>
      <c r="M1010" s="21">
        <f>IF(ISERROR(VLOOKUP($F1010,#REF!,6,0)*H1010/1000),0,VLOOKUP($F1010,#REF!,6,0)*H1010/1000)</f>
        <v>0</v>
      </c>
      <c r="N1010" s="21">
        <f>IF(ISERROR(VLOOKUP($F1010,#REF!,6,0)*I1010/1000),0,VLOOKUP($F1010,#REF!,6,0)*I1010/1000)</f>
        <v>0</v>
      </c>
      <c r="O1010" s="21">
        <f>IF(ISERROR(VLOOKUP($F1010,#REF!,6,0)*J1010/1000),0,VLOOKUP($F1010,#REF!,6,0)*J1010/1000)</f>
        <v>0</v>
      </c>
      <c r="P1010" s="21">
        <f>IF(ISERROR(VLOOKUP(F1010,#REF!,6,0)*K1010/1000),0,VLOOKUP(F1010,#REF!,6,0)*K1010/1000)</f>
        <v>0</v>
      </c>
      <c r="Q1010" s="6">
        <f>IF(ISERROR(VLOOKUP(F1010,#REF!,3,0)),0,VLOOKUP(F1010,#REF!,3,0))</f>
        <v>0</v>
      </c>
      <c r="R1010" s="6">
        <f>IF(ISERROR(VLOOKUP(F1010,#REF!,4,0)),0,VLOOKUP(F1010,#REF!,4,0))</f>
        <v>0</v>
      </c>
      <c r="S1010" s="8">
        <f>IF(ISERROR(VLOOKUP(F1010,#REF!,4,0)),0,VLOOKUP(F1010,#REF!,10,0)/60*K1010)</f>
        <v>0</v>
      </c>
      <c r="T1010" s="3"/>
      <c r="U1010" s="3"/>
      <c r="V1010" s="4"/>
    </row>
    <row r="1011" spans="1:22" x14ac:dyDescent="0.3">
      <c r="A1011" s="5">
        <f t="shared" si="46"/>
        <v>0</v>
      </c>
      <c r="B1011" s="6">
        <f t="shared" si="47"/>
        <v>0</v>
      </c>
      <c r="K1011" s="18">
        <f t="shared" si="45"/>
        <v>0</v>
      </c>
      <c r="L1011" s="21">
        <f>IF(ISERROR(VLOOKUP($F1011,#REF!,6,0)*G1011/1000),0,VLOOKUP($F1011,#REF!,6,0)*G1011/1000)</f>
        <v>0</v>
      </c>
      <c r="M1011" s="21">
        <f>IF(ISERROR(VLOOKUP($F1011,#REF!,6,0)*H1011/1000),0,VLOOKUP($F1011,#REF!,6,0)*H1011/1000)</f>
        <v>0</v>
      </c>
      <c r="N1011" s="21">
        <f>IF(ISERROR(VLOOKUP($F1011,#REF!,6,0)*I1011/1000),0,VLOOKUP($F1011,#REF!,6,0)*I1011/1000)</f>
        <v>0</v>
      </c>
      <c r="O1011" s="21">
        <f>IF(ISERROR(VLOOKUP($F1011,#REF!,6,0)*J1011/1000),0,VLOOKUP($F1011,#REF!,6,0)*J1011/1000)</f>
        <v>0</v>
      </c>
      <c r="P1011" s="21">
        <f>IF(ISERROR(VLOOKUP(F1011,#REF!,6,0)*K1011/1000),0,VLOOKUP(F1011,#REF!,6,0)*K1011/1000)</f>
        <v>0</v>
      </c>
      <c r="Q1011" s="6">
        <f>IF(ISERROR(VLOOKUP(F1011,#REF!,3,0)),0,VLOOKUP(F1011,#REF!,3,0))</f>
        <v>0</v>
      </c>
      <c r="R1011" s="6">
        <f>IF(ISERROR(VLOOKUP(F1011,#REF!,4,0)),0,VLOOKUP(F1011,#REF!,4,0))</f>
        <v>0</v>
      </c>
      <c r="S1011" s="8">
        <f>IF(ISERROR(VLOOKUP(F1011,#REF!,4,0)),0,VLOOKUP(F1011,#REF!,10,0)/60*K1011)</f>
        <v>0</v>
      </c>
      <c r="T1011" s="3"/>
      <c r="U1011" s="3"/>
      <c r="V1011" s="4"/>
    </row>
    <row r="1012" spans="1:22" x14ac:dyDescent="0.3">
      <c r="A1012" s="5">
        <f t="shared" si="46"/>
        <v>0</v>
      </c>
      <c r="B1012" s="6">
        <f t="shared" si="47"/>
        <v>0</v>
      </c>
      <c r="K1012" s="18">
        <f t="shared" si="45"/>
        <v>0</v>
      </c>
      <c r="L1012" s="21">
        <f>IF(ISERROR(VLOOKUP($F1012,#REF!,6,0)*G1012/1000),0,VLOOKUP($F1012,#REF!,6,0)*G1012/1000)</f>
        <v>0</v>
      </c>
      <c r="M1012" s="21">
        <f>IF(ISERROR(VLOOKUP($F1012,#REF!,6,0)*H1012/1000),0,VLOOKUP($F1012,#REF!,6,0)*H1012/1000)</f>
        <v>0</v>
      </c>
      <c r="N1012" s="21">
        <f>IF(ISERROR(VLOOKUP($F1012,#REF!,6,0)*I1012/1000),0,VLOOKUP($F1012,#REF!,6,0)*I1012/1000)</f>
        <v>0</v>
      </c>
      <c r="O1012" s="21">
        <f>IF(ISERROR(VLOOKUP($F1012,#REF!,6,0)*J1012/1000),0,VLOOKUP($F1012,#REF!,6,0)*J1012/1000)</f>
        <v>0</v>
      </c>
      <c r="P1012" s="21">
        <f>IF(ISERROR(VLOOKUP(F1012,#REF!,6,0)*K1012/1000),0,VLOOKUP(F1012,#REF!,6,0)*K1012/1000)</f>
        <v>0</v>
      </c>
      <c r="Q1012" s="6">
        <f>IF(ISERROR(VLOOKUP(F1012,#REF!,3,0)),0,VLOOKUP(F1012,#REF!,3,0))</f>
        <v>0</v>
      </c>
      <c r="R1012" s="6">
        <f>IF(ISERROR(VLOOKUP(F1012,#REF!,4,0)),0,VLOOKUP(F1012,#REF!,4,0))</f>
        <v>0</v>
      </c>
      <c r="S1012" s="8">
        <f>IF(ISERROR(VLOOKUP(F1012,#REF!,4,0)),0,VLOOKUP(F1012,#REF!,10,0)/60*K1012)</f>
        <v>0</v>
      </c>
      <c r="T1012" s="3"/>
      <c r="U1012" s="3"/>
      <c r="V1012" s="4"/>
    </row>
    <row r="1013" spans="1:22" x14ac:dyDescent="0.3">
      <c r="A1013" s="5">
        <f t="shared" si="46"/>
        <v>0</v>
      </c>
      <c r="B1013" s="6">
        <f t="shared" si="47"/>
        <v>0</v>
      </c>
      <c r="K1013" s="18">
        <f t="shared" si="45"/>
        <v>0</v>
      </c>
      <c r="L1013" s="21">
        <f>IF(ISERROR(VLOOKUP($F1013,#REF!,6,0)*G1013/1000),0,VLOOKUP($F1013,#REF!,6,0)*G1013/1000)</f>
        <v>0</v>
      </c>
      <c r="M1013" s="21">
        <f>IF(ISERROR(VLOOKUP($F1013,#REF!,6,0)*H1013/1000),0,VLOOKUP($F1013,#REF!,6,0)*H1013/1000)</f>
        <v>0</v>
      </c>
      <c r="N1013" s="21">
        <f>IF(ISERROR(VLOOKUP($F1013,#REF!,6,0)*I1013/1000),0,VLOOKUP($F1013,#REF!,6,0)*I1013/1000)</f>
        <v>0</v>
      </c>
      <c r="O1013" s="21">
        <f>IF(ISERROR(VLOOKUP($F1013,#REF!,6,0)*J1013/1000),0,VLOOKUP($F1013,#REF!,6,0)*J1013/1000)</f>
        <v>0</v>
      </c>
      <c r="P1013" s="21">
        <f>IF(ISERROR(VLOOKUP(F1013,#REF!,6,0)*K1013/1000),0,VLOOKUP(F1013,#REF!,6,0)*K1013/1000)</f>
        <v>0</v>
      </c>
      <c r="Q1013" s="6">
        <f>IF(ISERROR(VLOOKUP(F1013,#REF!,3,0)),0,VLOOKUP(F1013,#REF!,3,0))</f>
        <v>0</v>
      </c>
      <c r="R1013" s="6">
        <f>IF(ISERROR(VLOOKUP(F1013,#REF!,4,0)),0,VLOOKUP(F1013,#REF!,4,0))</f>
        <v>0</v>
      </c>
      <c r="S1013" s="8">
        <f>IF(ISERROR(VLOOKUP(F1013,#REF!,4,0)),0,VLOOKUP(F1013,#REF!,10,0)/60*K1013)</f>
        <v>0</v>
      </c>
      <c r="T1013" s="3"/>
      <c r="U1013" s="3"/>
      <c r="V1013" s="4"/>
    </row>
    <row r="1014" spans="1:22" x14ac:dyDescent="0.3">
      <c r="A1014" s="5">
        <f t="shared" si="46"/>
        <v>0</v>
      </c>
      <c r="B1014" s="6">
        <f t="shared" si="47"/>
        <v>0</v>
      </c>
      <c r="K1014" s="18">
        <f t="shared" si="45"/>
        <v>0</v>
      </c>
      <c r="L1014" s="21">
        <f>IF(ISERROR(VLOOKUP($F1014,#REF!,6,0)*G1014/1000),0,VLOOKUP($F1014,#REF!,6,0)*G1014/1000)</f>
        <v>0</v>
      </c>
      <c r="M1014" s="21">
        <f>IF(ISERROR(VLOOKUP($F1014,#REF!,6,0)*H1014/1000),0,VLOOKUP($F1014,#REF!,6,0)*H1014/1000)</f>
        <v>0</v>
      </c>
      <c r="N1014" s="21">
        <f>IF(ISERROR(VLOOKUP($F1014,#REF!,6,0)*I1014/1000),0,VLOOKUP($F1014,#REF!,6,0)*I1014/1000)</f>
        <v>0</v>
      </c>
      <c r="O1014" s="21">
        <f>IF(ISERROR(VLOOKUP($F1014,#REF!,6,0)*J1014/1000),0,VLOOKUP($F1014,#REF!,6,0)*J1014/1000)</f>
        <v>0</v>
      </c>
      <c r="P1014" s="21">
        <f>IF(ISERROR(VLOOKUP(F1014,#REF!,6,0)*K1014/1000),0,VLOOKUP(F1014,#REF!,6,0)*K1014/1000)</f>
        <v>0</v>
      </c>
      <c r="Q1014" s="6">
        <f>IF(ISERROR(VLOOKUP(F1014,#REF!,3,0)),0,VLOOKUP(F1014,#REF!,3,0))</f>
        <v>0</v>
      </c>
      <c r="R1014" s="6">
        <f>IF(ISERROR(VLOOKUP(F1014,#REF!,4,0)),0,VLOOKUP(F1014,#REF!,4,0))</f>
        <v>0</v>
      </c>
      <c r="S1014" s="8">
        <f>IF(ISERROR(VLOOKUP(F1014,#REF!,4,0)),0,VLOOKUP(F1014,#REF!,10,0)/60*K1014)</f>
        <v>0</v>
      </c>
      <c r="T1014" s="3"/>
      <c r="U1014" s="3"/>
      <c r="V1014" s="4"/>
    </row>
    <row r="1015" spans="1:22" x14ac:dyDescent="0.3">
      <c r="A1015" s="5">
        <f t="shared" si="46"/>
        <v>0</v>
      </c>
      <c r="B1015" s="6">
        <f t="shared" si="47"/>
        <v>0</v>
      </c>
      <c r="K1015" s="18">
        <f t="shared" si="45"/>
        <v>0</v>
      </c>
      <c r="L1015" s="21">
        <f>IF(ISERROR(VLOOKUP($F1015,#REF!,6,0)*G1015/1000),0,VLOOKUP($F1015,#REF!,6,0)*G1015/1000)</f>
        <v>0</v>
      </c>
      <c r="M1015" s="21">
        <f>IF(ISERROR(VLOOKUP($F1015,#REF!,6,0)*H1015/1000),0,VLOOKUP($F1015,#REF!,6,0)*H1015/1000)</f>
        <v>0</v>
      </c>
      <c r="N1015" s="21">
        <f>IF(ISERROR(VLOOKUP($F1015,#REF!,6,0)*I1015/1000),0,VLOOKUP($F1015,#REF!,6,0)*I1015/1000)</f>
        <v>0</v>
      </c>
      <c r="O1015" s="21">
        <f>IF(ISERROR(VLOOKUP($F1015,#REF!,6,0)*J1015/1000),0,VLOOKUP($F1015,#REF!,6,0)*J1015/1000)</f>
        <v>0</v>
      </c>
      <c r="P1015" s="21">
        <f>IF(ISERROR(VLOOKUP(F1015,#REF!,6,0)*K1015/1000),0,VLOOKUP(F1015,#REF!,6,0)*K1015/1000)</f>
        <v>0</v>
      </c>
      <c r="Q1015" s="6">
        <f>IF(ISERROR(VLOOKUP(F1015,#REF!,3,0)),0,VLOOKUP(F1015,#REF!,3,0))</f>
        <v>0</v>
      </c>
      <c r="R1015" s="6">
        <f>IF(ISERROR(VLOOKUP(F1015,#REF!,4,0)),0,VLOOKUP(F1015,#REF!,4,0))</f>
        <v>0</v>
      </c>
      <c r="S1015" s="8">
        <f>IF(ISERROR(VLOOKUP(F1015,#REF!,4,0)),0,VLOOKUP(F1015,#REF!,10,0)/60*K1015)</f>
        <v>0</v>
      </c>
      <c r="T1015" s="3"/>
      <c r="U1015" s="3"/>
      <c r="V1015" s="4"/>
    </row>
    <row r="1016" spans="1:22" x14ac:dyDescent="0.3">
      <c r="A1016" s="5">
        <f t="shared" si="46"/>
        <v>0</v>
      </c>
      <c r="B1016" s="6">
        <f t="shared" si="47"/>
        <v>0</v>
      </c>
      <c r="K1016" s="18">
        <f t="shared" si="45"/>
        <v>0</v>
      </c>
      <c r="L1016" s="21">
        <f>IF(ISERROR(VLOOKUP($F1016,#REF!,6,0)*G1016/1000),0,VLOOKUP($F1016,#REF!,6,0)*G1016/1000)</f>
        <v>0</v>
      </c>
      <c r="M1016" s="21">
        <f>IF(ISERROR(VLOOKUP($F1016,#REF!,6,0)*H1016/1000),0,VLOOKUP($F1016,#REF!,6,0)*H1016/1000)</f>
        <v>0</v>
      </c>
      <c r="N1016" s="21">
        <f>IF(ISERROR(VLOOKUP($F1016,#REF!,6,0)*I1016/1000),0,VLOOKUP($F1016,#REF!,6,0)*I1016/1000)</f>
        <v>0</v>
      </c>
      <c r="O1016" s="21">
        <f>IF(ISERROR(VLOOKUP($F1016,#REF!,6,0)*J1016/1000),0,VLOOKUP($F1016,#REF!,6,0)*J1016/1000)</f>
        <v>0</v>
      </c>
      <c r="P1016" s="21">
        <f>IF(ISERROR(VLOOKUP(F1016,#REF!,6,0)*K1016/1000),0,VLOOKUP(F1016,#REF!,6,0)*K1016/1000)</f>
        <v>0</v>
      </c>
      <c r="Q1016" s="6">
        <f>IF(ISERROR(VLOOKUP(F1016,#REF!,3,0)),0,VLOOKUP(F1016,#REF!,3,0))</f>
        <v>0</v>
      </c>
      <c r="R1016" s="6">
        <f>IF(ISERROR(VLOOKUP(F1016,#REF!,4,0)),0,VLOOKUP(F1016,#REF!,4,0))</f>
        <v>0</v>
      </c>
      <c r="S1016" s="8">
        <f>IF(ISERROR(VLOOKUP(F1016,#REF!,4,0)),0,VLOOKUP(F1016,#REF!,10,0)/60*K1016)</f>
        <v>0</v>
      </c>
      <c r="T1016" s="3"/>
      <c r="U1016" s="3"/>
      <c r="V1016" s="4"/>
    </row>
    <row r="1017" spans="1:22" x14ac:dyDescent="0.3">
      <c r="A1017" s="5">
        <f t="shared" si="46"/>
        <v>0</v>
      </c>
      <c r="B1017" s="6">
        <f t="shared" si="47"/>
        <v>0</v>
      </c>
      <c r="K1017" s="18">
        <f t="shared" si="45"/>
        <v>0</v>
      </c>
      <c r="L1017" s="21">
        <f>IF(ISERROR(VLOOKUP($F1017,#REF!,6,0)*G1017/1000),0,VLOOKUP($F1017,#REF!,6,0)*G1017/1000)</f>
        <v>0</v>
      </c>
      <c r="M1017" s="21">
        <f>IF(ISERROR(VLOOKUP($F1017,#REF!,6,0)*H1017/1000),0,VLOOKUP($F1017,#REF!,6,0)*H1017/1000)</f>
        <v>0</v>
      </c>
      <c r="N1017" s="21">
        <f>IF(ISERROR(VLOOKUP($F1017,#REF!,6,0)*I1017/1000),0,VLOOKUP($F1017,#REF!,6,0)*I1017/1000)</f>
        <v>0</v>
      </c>
      <c r="O1017" s="21">
        <f>IF(ISERROR(VLOOKUP($F1017,#REF!,6,0)*J1017/1000),0,VLOOKUP($F1017,#REF!,6,0)*J1017/1000)</f>
        <v>0</v>
      </c>
      <c r="P1017" s="21">
        <f>IF(ISERROR(VLOOKUP(F1017,#REF!,6,0)*K1017/1000),0,VLOOKUP(F1017,#REF!,6,0)*K1017/1000)</f>
        <v>0</v>
      </c>
      <c r="Q1017" s="6">
        <f>IF(ISERROR(VLOOKUP(F1017,#REF!,3,0)),0,VLOOKUP(F1017,#REF!,3,0))</f>
        <v>0</v>
      </c>
      <c r="R1017" s="6">
        <f>IF(ISERROR(VLOOKUP(F1017,#REF!,4,0)),0,VLOOKUP(F1017,#REF!,4,0))</f>
        <v>0</v>
      </c>
      <c r="S1017" s="8">
        <f>IF(ISERROR(VLOOKUP(F1017,#REF!,4,0)),0,VLOOKUP(F1017,#REF!,10,0)/60*K1017)</f>
        <v>0</v>
      </c>
      <c r="T1017" s="3"/>
      <c r="U1017" s="3"/>
      <c r="V1017" s="4"/>
    </row>
    <row r="1018" spans="1:22" x14ac:dyDescent="0.3">
      <c r="A1018" s="5">
        <f t="shared" si="46"/>
        <v>0</v>
      </c>
      <c r="B1018" s="6">
        <f t="shared" si="47"/>
        <v>0</v>
      </c>
      <c r="K1018" s="18">
        <f t="shared" si="45"/>
        <v>0</v>
      </c>
      <c r="L1018" s="21">
        <f>IF(ISERROR(VLOOKUP($F1018,#REF!,6,0)*G1018/1000),0,VLOOKUP($F1018,#REF!,6,0)*G1018/1000)</f>
        <v>0</v>
      </c>
      <c r="M1018" s="21">
        <f>IF(ISERROR(VLOOKUP($F1018,#REF!,6,0)*H1018/1000),0,VLOOKUP($F1018,#REF!,6,0)*H1018/1000)</f>
        <v>0</v>
      </c>
      <c r="N1018" s="21">
        <f>IF(ISERROR(VLOOKUP($F1018,#REF!,6,0)*I1018/1000),0,VLOOKUP($F1018,#REF!,6,0)*I1018/1000)</f>
        <v>0</v>
      </c>
      <c r="O1018" s="21">
        <f>IF(ISERROR(VLOOKUP($F1018,#REF!,6,0)*J1018/1000),0,VLOOKUP($F1018,#REF!,6,0)*J1018/1000)</f>
        <v>0</v>
      </c>
      <c r="P1018" s="21">
        <f>IF(ISERROR(VLOOKUP(F1018,#REF!,6,0)*K1018/1000),0,VLOOKUP(F1018,#REF!,6,0)*K1018/1000)</f>
        <v>0</v>
      </c>
      <c r="Q1018" s="6">
        <f>IF(ISERROR(VLOOKUP(F1018,#REF!,3,0)),0,VLOOKUP(F1018,#REF!,3,0))</f>
        <v>0</v>
      </c>
      <c r="R1018" s="6">
        <f>IF(ISERROR(VLOOKUP(F1018,#REF!,4,0)),0,VLOOKUP(F1018,#REF!,4,0))</f>
        <v>0</v>
      </c>
      <c r="S1018" s="8">
        <f>IF(ISERROR(VLOOKUP(F1018,#REF!,4,0)),0,VLOOKUP(F1018,#REF!,10,0)/60*K1018)</f>
        <v>0</v>
      </c>
      <c r="T1018" s="3"/>
      <c r="U1018" s="3"/>
      <c r="V1018" s="4"/>
    </row>
    <row r="1019" spans="1:22" x14ac:dyDescent="0.3">
      <c r="A1019" s="5">
        <f t="shared" si="46"/>
        <v>0</v>
      </c>
      <c r="B1019" s="6">
        <f t="shared" si="47"/>
        <v>0</v>
      </c>
      <c r="K1019" s="18">
        <f t="shared" si="45"/>
        <v>0</v>
      </c>
      <c r="L1019" s="21">
        <f>IF(ISERROR(VLOOKUP($F1019,#REF!,6,0)*G1019/1000),0,VLOOKUP($F1019,#REF!,6,0)*G1019/1000)</f>
        <v>0</v>
      </c>
      <c r="M1019" s="21">
        <f>IF(ISERROR(VLOOKUP($F1019,#REF!,6,0)*H1019/1000),0,VLOOKUP($F1019,#REF!,6,0)*H1019/1000)</f>
        <v>0</v>
      </c>
      <c r="N1019" s="21">
        <f>IF(ISERROR(VLOOKUP($F1019,#REF!,6,0)*I1019/1000),0,VLOOKUP($F1019,#REF!,6,0)*I1019/1000)</f>
        <v>0</v>
      </c>
      <c r="O1019" s="21">
        <f>IF(ISERROR(VLOOKUP($F1019,#REF!,6,0)*J1019/1000),0,VLOOKUP($F1019,#REF!,6,0)*J1019/1000)</f>
        <v>0</v>
      </c>
      <c r="P1019" s="21">
        <f>IF(ISERROR(VLOOKUP(F1019,#REF!,6,0)*K1019/1000),0,VLOOKUP(F1019,#REF!,6,0)*K1019/1000)</f>
        <v>0</v>
      </c>
      <c r="Q1019" s="6">
        <f>IF(ISERROR(VLOOKUP(F1019,#REF!,3,0)),0,VLOOKUP(F1019,#REF!,3,0))</f>
        <v>0</v>
      </c>
      <c r="R1019" s="6">
        <f>IF(ISERROR(VLOOKUP(F1019,#REF!,4,0)),0,VLOOKUP(F1019,#REF!,4,0))</f>
        <v>0</v>
      </c>
      <c r="S1019" s="8">
        <f>IF(ISERROR(VLOOKUP(F1019,#REF!,4,0)),0,VLOOKUP(F1019,#REF!,10,0)/60*K1019)</f>
        <v>0</v>
      </c>
      <c r="T1019" s="3"/>
      <c r="U1019" s="3"/>
      <c r="V1019" s="4"/>
    </row>
    <row r="1020" spans="1:22" x14ac:dyDescent="0.3">
      <c r="A1020" s="5">
        <f t="shared" si="46"/>
        <v>0</v>
      </c>
      <c r="B1020" s="6">
        <f t="shared" si="47"/>
        <v>0</v>
      </c>
      <c r="K1020" s="18">
        <f t="shared" si="45"/>
        <v>0</v>
      </c>
      <c r="L1020" s="21">
        <f>IF(ISERROR(VLOOKUP($F1020,#REF!,6,0)*G1020/1000),0,VLOOKUP($F1020,#REF!,6,0)*G1020/1000)</f>
        <v>0</v>
      </c>
      <c r="M1020" s="21">
        <f>IF(ISERROR(VLOOKUP($F1020,#REF!,6,0)*H1020/1000),0,VLOOKUP($F1020,#REF!,6,0)*H1020/1000)</f>
        <v>0</v>
      </c>
      <c r="N1020" s="21">
        <f>IF(ISERROR(VLOOKUP($F1020,#REF!,6,0)*I1020/1000),0,VLOOKUP($F1020,#REF!,6,0)*I1020/1000)</f>
        <v>0</v>
      </c>
      <c r="O1020" s="21">
        <f>IF(ISERROR(VLOOKUP($F1020,#REF!,6,0)*J1020/1000),0,VLOOKUP($F1020,#REF!,6,0)*J1020/1000)</f>
        <v>0</v>
      </c>
      <c r="P1020" s="21">
        <f>IF(ISERROR(VLOOKUP(F1020,#REF!,6,0)*K1020/1000),0,VLOOKUP(F1020,#REF!,6,0)*K1020/1000)</f>
        <v>0</v>
      </c>
      <c r="Q1020" s="6">
        <f>IF(ISERROR(VLOOKUP(F1020,#REF!,3,0)),0,VLOOKUP(F1020,#REF!,3,0))</f>
        <v>0</v>
      </c>
      <c r="R1020" s="6">
        <f>IF(ISERROR(VLOOKUP(F1020,#REF!,4,0)),0,VLOOKUP(F1020,#REF!,4,0))</f>
        <v>0</v>
      </c>
      <c r="S1020" s="8">
        <f>IF(ISERROR(VLOOKUP(F1020,#REF!,4,0)),0,VLOOKUP(F1020,#REF!,10,0)/60*K1020)</f>
        <v>0</v>
      </c>
      <c r="T1020" s="3"/>
      <c r="U1020" s="3"/>
      <c r="V1020" s="4"/>
    </row>
    <row r="1021" spans="1:22" x14ac:dyDescent="0.3">
      <c r="A1021" s="5">
        <f t="shared" si="46"/>
        <v>0</v>
      </c>
      <c r="B1021" s="6">
        <f t="shared" si="47"/>
        <v>0</v>
      </c>
      <c r="K1021" s="18">
        <f t="shared" si="45"/>
        <v>0</v>
      </c>
      <c r="L1021" s="21">
        <f>IF(ISERROR(VLOOKUP($F1021,#REF!,6,0)*G1021/1000),0,VLOOKUP($F1021,#REF!,6,0)*G1021/1000)</f>
        <v>0</v>
      </c>
      <c r="M1021" s="21">
        <f>IF(ISERROR(VLOOKUP($F1021,#REF!,6,0)*H1021/1000),0,VLOOKUP($F1021,#REF!,6,0)*H1021/1000)</f>
        <v>0</v>
      </c>
      <c r="N1021" s="21">
        <f>IF(ISERROR(VLOOKUP($F1021,#REF!,6,0)*I1021/1000),0,VLOOKUP($F1021,#REF!,6,0)*I1021/1000)</f>
        <v>0</v>
      </c>
      <c r="O1021" s="21">
        <f>IF(ISERROR(VLOOKUP($F1021,#REF!,6,0)*J1021/1000),0,VLOOKUP($F1021,#REF!,6,0)*J1021/1000)</f>
        <v>0</v>
      </c>
      <c r="P1021" s="21">
        <f>IF(ISERROR(VLOOKUP(F1021,#REF!,6,0)*K1021/1000),0,VLOOKUP(F1021,#REF!,6,0)*K1021/1000)</f>
        <v>0</v>
      </c>
      <c r="Q1021" s="6">
        <f>IF(ISERROR(VLOOKUP(F1021,#REF!,3,0)),0,VLOOKUP(F1021,#REF!,3,0))</f>
        <v>0</v>
      </c>
      <c r="R1021" s="6">
        <f>IF(ISERROR(VLOOKUP(F1021,#REF!,4,0)),0,VLOOKUP(F1021,#REF!,4,0))</f>
        <v>0</v>
      </c>
      <c r="S1021" s="8">
        <f>IF(ISERROR(VLOOKUP(F1021,#REF!,4,0)),0,VLOOKUP(F1021,#REF!,10,0)/60*K1021)</f>
        <v>0</v>
      </c>
      <c r="T1021" s="3"/>
      <c r="U1021" s="3"/>
      <c r="V1021" s="4"/>
    </row>
    <row r="1022" spans="1:22" x14ac:dyDescent="0.3">
      <c r="A1022" s="5">
        <f t="shared" si="46"/>
        <v>0</v>
      </c>
      <c r="B1022" s="6">
        <f t="shared" si="47"/>
        <v>0</v>
      </c>
      <c r="K1022" s="18">
        <f t="shared" si="45"/>
        <v>0</v>
      </c>
      <c r="L1022" s="21">
        <f>IF(ISERROR(VLOOKUP($F1022,#REF!,6,0)*G1022/1000),0,VLOOKUP($F1022,#REF!,6,0)*G1022/1000)</f>
        <v>0</v>
      </c>
      <c r="M1022" s="21">
        <f>IF(ISERROR(VLOOKUP($F1022,#REF!,6,0)*H1022/1000),0,VLOOKUP($F1022,#REF!,6,0)*H1022/1000)</f>
        <v>0</v>
      </c>
      <c r="N1022" s="21">
        <f>IF(ISERROR(VLOOKUP($F1022,#REF!,6,0)*I1022/1000),0,VLOOKUP($F1022,#REF!,6,0)*I1022/1000)</f>
        <v>0</v>
      </c>
      <c r="O1022" s="21">
        <f>IF(ISERROR(VLOOKUP($F1022,#REF!,6,0)*J1022/1000),0,VLOOKUP($F1022,#REF!,6,0)*J1022/1000)</f>
        <v>0</v>
      </c>
      <c r="P1022" s="21">
        <f>IF(ISERROR(VLOOKUP(F1022,#REF!,6,0)*K1022/1000),0,VLOOKUP(F1022,#REF!,6,0)*K1022/1000)</f>
        <v>0</v>
      </c>
      <c r="Q1022" s="6">
        <f>IF(ISERROR(VLOOKUP(F1022,#REF!,3,0)),0,VLOOKUP(F1022,#REF!,3,0))</f>
        <v>0</v>
      </c>
      <c r="R1022" s="6">
        <f>IF(ISERROR(VLOOKUP(F1022,#REF!,4,0)),0,VLOOKUP(F1022,#REF!,4,0))</f>
        <v>0</v>
      </c>
      <c r="S1022" s="8">
        <f>IF(ISERROR(VLOOKUP(F1022,#REF!,4,0)),0,VLOOKUP(F1022,#REF!,10,0)/60*K1022)</f>
        <v>0</v>
      </c>
      <c r="T1022" s="3"/>
      <c r="U1022" s="3"/>
      <c r="V1022" s="4"/>
    </row>
    <row r="1023" spans="1:22" x14ac:dyDescent="0.3">
      <c r="A1023" s="5">
        <f t="shared" si="46"/>
        <v>0</v>
      </c>
      <c r="B1023" s="6">
        <f t="shared" si="47"/>
        <v>0</v>
      </c>
      <c r="K1023" s="18">
        <f t="shared" si="45"/>
        <v>0</v>
      </c>
      <c r="L1023" s="21">
        <f>IF(ISERROR(VLOOKUP($F1023,#REF!,6,0)*G1023/1000),0,VLOOKUP($F1023,#REF!,6,0)*G1023/1000)</f>
        <v>0</v>
      </c>
      <c r="M1023" s="21">
        <f>IF(ISERROR(VLOOKUP($F1023,#REF!,6,0)*H1023/1000),0,VLOOKUP($F1023,#REF!,6,0)*H1023/1000)</f>
        <v>0</v>
      </c>
      <c r="N1023" s="21">
        <f>IF(ISERROR(VLOOKUP($F1023,#REF!,6,0)*I1023/1000),0,VLOOKUP($F1023,#REF!,6,0)*I1023/1000)</f>
        <v>0</v>
      </c>
      <c r="O1023" s="21">
        <f>IF(ISERROR(VLOOKUP($F1023,#REF!,6,0)*J1023/1000),0,VLOOKUP($F1023,#REF!,6,0)*J1023/1000)</f>
        <v>0</v>
      </c>
      <c r="P1023" s="21">
        <f>IF(ISERROR(VLOOKUP(F1023,#REF!,6,0)*K1023/1000),0,VLOOKUP(F1023,#REF!,6,0)*K1023/1000)</f>
        <v>0</v>
      </c>
      <c r="Q1023" s="6">
        <f>IF(ISERROR(VLOOKUP(F1023,#REF!,3,0)),0,VLOOKUP(F1023,#REF!,3,0))</f>
        <v>0</v>
      </c>
      <c r="R1023" s="6">
        <f>IF(ISERROR(VLOOKUP(F1023,#REF!,4,0)),0,VLOOKUP(F1023,#REF!,4,0))</f>
        <v>0</v>
      </c>
      <c r="S1023" s="8">
        <f>IF(ISERROR(VLOOKUP(F1023,#REF!,4,0)),0,VLOOKUP(F1023,#REF!,10,0)/60*K1023)</f>
        <v>0</v>
      </c>
      <c r="T1023" s="3"/>
      <c r="U1023" s="3"/>
      <c r="V1023" s="4"/>
    </row>
    <row r="1024" spans="1:22" x14ac:dyDescent="0.3">
      <c r="A1024" s="5">
        <f t="shared" si="46"/>
        <v>0</v>
      </c>
      <c r="B1024" s="6">
        <f t="shared" si="47"/>
        <v>0</v>
      </c>
      <c r="K1024" s="18">
        <f t="shared" si="45"/>
        <v>0</v>
      </c>
      <c r="L1024" s="21">
        <f>IF(ISERROR(VLOOKUP($F1024,#REF!,6,0)*G1024/1000),0,VLOOKUP($F1024,#REF!,6,0)*G1024/1000)</f>
        <v>0</v>
      </c>
      <c r="M1024" s="21">
        <f>IF(ISERROR(VLOOKUP($F1024,#REF!,6,0)*H1024/1000),0,VLOOKUP($F1024,#REF!,6,0)*H1024/1000)</f>
        <v>0</v>
      </c>
      <c r="N1024" s="21">
        <f>IF(ISERROR(VLOOKUP($F1024,#REF!,6,0)*I1024/1000),0,VLOOKUP($F1024,#REF!,6,0)*I1024/1000)</f>
        <v>0</v>
      </c>
      <c r="O1024" s="21">
        <f>IF(ISERROR(VLOOKUP($F1024,#REF!,6,0)*J1024/1000),0,VLOOKUP($F1024,#REF!,6,0)*J1024/1000)</f>
        <v>0</v>
      </c>
      <c r="P1024" s="21">
        <f>IF(ISERROR(VLOOKUP(F1024,#REF!,6,0)*K1024/1000),0,VLOOKUP(F1024,#REF!,6,0)*K1024/1000)</f>
        <v>0</v>
      </c>
      <c r="Q1024" s="6">
        <f>IF(ISERROR(VLOOKUP(F1024,#REF!,3,0)),0,VLOOKUP(F1024,#REF!,3,0))</f>
        <v>0</v>
      </c>
      <c r="R1024" s="6">
        <f>IF(ISERROR(VLOOKUP(F1024,#REF!,4,0)),0,VLOOKUP(F1024,#REF!,4,0))</f>
        <v>0</v>
      </c>
      <c r="S1024" s="8">
        <f>IF(ISERROR(VLOOKUP(F1024,#REF!,4,0)),0,VLOOKUP(F1024,#REF!,10,0)/60*K1024)</f>
        <v>0</v>
      </c>
      <c r="T1024" s="3"/>
      <c r="U1024" s="3"/>
      <c r="V1024" s="4"/>
    </row>
    <row r="1025" spans="1:22" x14ac:dyDescent="0.3">
      <c r="A1025" s="5">
        <f t="shared" si="46"/>
        <v>0</v>
      </c>
      <c r="B1025" s="6">
        <f t="shared" si="47"/>
        <v>0</v>
      </c>
      <c r="K1025" s="18">
        <f t="shared" si="45"/>
        <v>0</v>
      </c>
      <c r="L1025" s="21">
        <f>IF(ISERROR(VLOOKUP($F1025,#REF!,6,0)*G1025/1000),0,VLOOKUP($F1025,#REF!,6,0)*G1025/1000)</f>
        <v>0</v>
      </c>
      <c r="M1025" s="21">
        <f>IF(ISERROR(VLOOKUP($F1025,#REF!,6,0)*H1025/1000),0,VLOOKUP($F1025,#REF!,6,0)*H1025/1000)</f>
        <v>0</v>
      </c>
      <c r="N1025" s="21">
        <f>IF(ISERROR(VLOOKUP($F1025,#REF!,6,0)*I1025/1000),0,VLOOKUP($F1025,#REF!,6,0)*I1025/1000)</f>
        <v>0</v>
      </c>
      <c r="O1025" s="21">
        <f>IF(ISERROR(VLOOKUP($F1025,#REF!,6,0)*J1025/1000),0,VLOOKUP($F1025,#REF!,6,0)*J1025/1000)</f>
        <v>0</v>
      </c>
      <c r="P1025" s="21">
        <f>IF(ISERROR(VLOOKUP(F1025,#REF!,6,0)*K1025/1000),0,VLOOKUP(F1025,#REF!,6,0)*K1025/1000)</f>
        <v>0</v>
      </c>
      <c r="Q1025" s="6">
        <f>IF(ISERROR(VLOOKUP(F1025,#REF!,3,0)),0,VLOOKUP(F1025,#REF!,3,0))</f>
        <v>0</v>
      </c>
      <c r="R1025" s="6">
        <f>IF(ISERROR(VLOOKUP(F1025,#REF!,4,0)),0,VLOOKUP(F1025,#REF!,4,0))</f>
        <v>0</v>
      </c>
      <c r="S1025" s="8">
        <f>IF(ISERROR(VLOOKUP(F1025,#REF!,4,0)),0,VLOOKUP(F1025,#REF!,10,0)/60*K1025)</f>
        <v>0</v>
      </c>
      <c r="T1025" s="3"/>
      <c r="U1025" s="3"/>
      <c r="V1025" s="4"/>
    </row>
    <row r="1026" spans="1:22" x14ac:dyDescent="0.3">
      <c r="A1026" s="5">
        <f t="shared" si="46"/>
        <v>0</v>
      </c>
      <c r="B1026" s="6">
        <f t="shared" si="47"/>
        <v>0</v>
      </c>
      <c r="K1026" s="18">
        <f t="shared" si="45"/>
        <v>0</v>
      </c>
      <c r="L1026" s="21">
        <f>IF(ISERROR(VLOOKUP($F1026,#REF!,6,0)*G1026/1000),0,VLOOKUP($F1026,#REF!,6,0)*G1026/1000)</f>
        <v>0</v>
      </c>
      <c r="M1026" s="21">
        <f>IF(ISERROR(VLOOKUP($F1026,#REF!,6,0)*H1026/1000),0,VLOOKUP($F1026,#REF!,6,0)*H1026/1000)</f>
        <v>0</v>
      </c>
      <c r="N1026" s="21">
        <f>IF(ISERROR(VLOOKUP($F1026,#REF!,6,0)*I1026/1000),0,VLOOKUP($F1026,#REF!,6,0)*I1026/1000)</f>
        <v>0</v>
      </c>
      <c r="O1026" s="21">
        <f>IF(ISERROR(VLOOKUP($F1026,#REF!,6,0)*J1026/1000),0,VLOOKUP($F1026,#REF!,6,0)*J1026/1000)</f>
        <v>0</v>
      </c>
      <c r="P1026" s="21">
        <f>IF(ISERROR(VLOOKUP(F1026,#REF!,6,0)*K1026/1000),0,VLOOKUP(F1026,#REF!,6,0)*K1026/1000)</f>
        <v>0</v>
      </c>
      <c r="Q1026" s="6">
        <f>IF(ISERROR(VLOOKUP(F1026,#REF!,3,0)),0,VLOOKUP(F1026,#REF!,3,0))</f>
        <v>0</v>
      </c>
      <c r="R1026" s="6">
        <f>IF(ISERROR(VLOOKUP(F1026,#REF!,4,0)),0,VLOOKUP(F1026,#REF!,4,0))</f>
        <v>0</v>
      </c>
      <c r="S1026" s="8">
        <f>IF(ISERROR(VLOOKUP(F1026,#REF!,4,0)),0,VLOOKUP(F1026,#REF!,10,0)/60*K1026)</f>
        <v>0</v>
      </c>
      <c r="T1026" s="3"/>
      <c r="U1026" s="3"/>
      <c r="V1026" s="4"/>
    </row>
    <row r="1027" spans="1:22" x14ac:dyDescent="0.3">
      <c r="A1027" s="5">
        <f t="shared" si="46"/>
        <v>0</v>
      </c>
      <c r="B1027" s="6">
        <f t="shared" si="47"/>
        <v>0</v>
      </c>
      <c r="K1027" s="18">
        <f t="shared" si="45"/>
        <v>0</v>
      </c>
      <c r="L1027" s="21">
        <f>IF(ISERROR(VLOOKUP($F1027,#REF!,6,0)*G1027/1000),0,VLOOKUP($F1027,#REF!,6,0)*G1027/1000)</f>
        <v>0</v>
      </c>
      <c r="M1027" s="21">
        <f>IF(ISERROR(VLOOKUP($F1027,#REF!,6,0)*H1027/1000),0,VLOOKUP($F1027,#REF!,6,0)*H1027/1000)</f>
        <v>0</v>
      </c>
      <c r="N1027" s="21">
        <f>IF(ISERROR(VLOOKUP($F1027,#REF!,6,0)*I1027/1000),0,VLOOKUP($F1027,#REF!,6,0)*I1027/1000)</f>
        <v>0</v>
      </c>
      <c r="O1027" s="21">
        <f>IF(ISERROR(VLOOKUP($F1027,#REF!,6,0)*J1027/1000),0,VLOOKUP($F1027,#REF!,6,0)*J1027/1000)</f>
        <v>0</v>
      </c>
      <c r="P1027" s="21">
        <f>IF(ISERROR(VLOOKUP(F1027,#REF!,6,0)*K1027/1000),0,VLOOKUP(F1027,#REF!,6,0)*K1027/1000)</f>
        <v>0</v>
      </c>
      <c r="Q1027" s="6">
        <f>IF(ISERROR(VLOOKUP(F1027,#REF!,3,0)),0,VLOOKUP(F1027,#REF!,3,0))</f>
        <v>0</v>
      </c>
      <c r="R1027" s="6">
        <f>IF(ISERROR(VLOOKUP(F1027,#REF!,4,0)),0,VLOOKUP(F1027,#REF!,4,0))</f>
        <v>0</v>
      </c>
      <c r="S1027" s="8">
        <f>IF(ISERROR(VLOOKUP(F1027,#REF!,4,0)),0,VLOOKUP(F1027,#REF!,10,0)/60*K1027)</f>
        <v>0</v>
      </c>
      <c r="T1027" s="3"/>
      <c r="U1027" s="3"/>
      <c r="V1027" s="4"/>
    </row>
    <row r="1028" spans="1:22" x14ac:dyDescent="0.3">
      <c r="A1028" s="5">
        <f t="shared" si="46"/>
        <v>0</v>
      </c>
      <c r="B1028" s="6">
        <f t="shared" si="47"/>
        <v>0</v>
      </c>
      <c r="K1028" s="18">
        <f t="shared" ref="K1028:K1091" si="48">SUM(G1028:J1028)</f>
        <v>0</v>
      </c>
      <c r="L1028" s="21">
        <f>IF(ISERROR(VLOOKUP($F1028,#REF!,6,0)*G1028/1000),0,VLOOKUP($F1028,#REF!,6,0)*G1028/1000)</f>
        <v>0</v>
      </c>
      <c r="M1028" s="21">
        <f>IF(ISERROR(VLOOKUP($F1028,#REF!,6,0)*H1028/1000),0,VLOOKUP($F1028,#REF!,6,0)*H1028/1000)</f>
        <v>0</v>
      </c>
      <c r="N1028" s="21">
        <f>IF(ISERROR(VLOOKUP($F1028,#REF!,6,0)*I1028/1000),0,VLOOKUP($F1028,#REF!,6,0)*I1028/1000)</f>
        <v>0</v>
      </c>
      <c r="O1028" s="21">
        <f>IF(ISERROR(VLOOKUP($F1028,#REF!,6,0)*J1028/1000),0,VLOOKUP($F1028,#REF!,6,0)*J1028/1000)</f>
        <v>0</v>
      </c>
      <c r="P1028" s="21">
        <f>IF(ISERROR(VLOOKUP(F1028,#REF!,6,0)*K1028/1000),0,VLOOKUP(F1028,#REF!,6,0)*K1028/1000)</f>
        <v>0</v>
      </c>
      <c r="Q1028" s="6">
        <f>IF(ISERROR(VLOOKUP(F1028,#REF!,3,0)),0,VLOOKUP(F1028,#REF!,3,0))</f>
        <v>0</v>
      </c>
      <c r="R1028" s="6">
        <f>IF(ISERROR(VLOOKUP(F1028,#REF!,4,0)),0,VLOOKUP(F1028,#REF!,4,0))</f>
        <v>0</v>
      </c>
      <c r="S1028" s="8">
        <f>IF(ISERROR(VLOOKUP(F1028,#REF!,4,0)),0,VLOOKUP(F1028,#REF!,10,0)/60*K1028)</f>
        <v>0</v>
      </c>
      <c r="T1028" s="3"/>
      <c r="U1028" s="3"/>
      <c r="V1028" s="4"/>
    </row>
    <row r="1029" spans="1:22" x14ac:dyDescent="0.3">
      <c r="A1029" s="5">
        <f t="shared" ref="A1029:A1092" si="49">IF(C1029=0,0,YEAR(C1029))</f>
        <v>0</v>
      </c>
      <c r="B1029" s="6">
        <f t="shared" ref="B1029:B1092" si="50">IF(C1029&gt;0,VLOOKUP(MONTH($C1029),$AJ$3:$AK$14,2,0),0)</f>
        <v>0</v>
      </c>
      <c r="K1029" s="18">
        <f t="shared" si="48"/>
        <v>0</v>
      </c>
      <c r="L1029" s="21">
        <f>IF(ISERROR(VLOOKUP($F1029,#REF!,6,0)*G1029/1000),0,VLOOKUP($F1029,#REF!,6,0)*G1029/1000)</f>
        <v>0</v>
      </c>
      <c r="M1029" s="21">
        <f>IF(ISERROR(VLOOKUP($F1029,#REF!,6,0)*H1029/1000),0,VLOOKUP($F1029,#REF!,6,0)*H1029/1000)</f>
        <v>0</v>
      </c>
      <c r="N1029" s="21">
        <f>IF(ISERROR(VLOOKUP($F1029,#REF!,6,0)*I1029/1000),0,VLOOKUP($F1029,#REF!,6,0)*I1029/1000)</f>
        <v>0</v>
      </c>
      <c r="O1029" s="21">
        <f>IF(ISERROR(VLOOKUP($F1029,#REF!,6,0)*J1029/1000),0,VLOOKUP($F1029,#REF!,6,0)*J1029/1000)</f>
        <v>0</v>
      </c>
      <c r="P1029" s="21">
        <f>IF(ISERROR(VLOOKUP(F1029,#REF!,6,0)*K1029/1000),0,VLOOKUP(F1029,#REF!,6,0)*K1029/1000)</f>
        <v>0</v>
      </c>
      <c r="Q1029" s="6">
        <f>IF(ISERROR(VLOOKUP(F1029,#REF!,3,0)),0,VLOOKUP(F1029,#REF!,3,0))</f>
        <v>0</v>
      </c>
      <c r="R1029" s="6">
        <f>IF(ISERROR(VLOOKUP(F1029,#REF!,4,0)),0,VLOOKUP(F1029,#REF!,4,0))</f>
        <v>0</v>
      </c>
      <c r="S1029" s="8">
        <f>IF(ISERROR(VLOOKUP(F1029,#REF!,4,0)),0,VLOOKUP(F1029,#REF!,10,0)/60*K1029)</f>
        <v>0</v>
      </c>
      <c r="T1029" s="3"/>
      <c r="U1029" s="3"/>
      <c r="V1029" s="4"/>
    </row>
    <row r="1030" spans="1:22" x14ac:dyDescent="0.3">
      <c r="A1030" s="5">
        <f t="shared" si="49"/>
        <v>0</v>
      </c>
      <c r="B1030" s="6">
        <f t="shared" si="50"/>
        <v>0</v>
      </c>
      <c r="K1030" s="18">
        <f t="shared" si="48"/>
        <v>0</v>
      </c>
      <c r="L1030" s="21">
        <f>IF(ISERROR(VLOOKUP($F1030,#REF!,6,0)*G1030/1000),0,VLOOKUP($F1030,#REF!,6,0)*G1030/1000)</f>
        <v>0</v>
      </c>
      <c r="M1030" s="21">
        <f>IF(ISERROR(VLOOKUP($F1030,#REF!,6,0)*H1030/1000),0,VLOOKUP($F1030,#REF!,6,0)*H1030/1000)</f>
        <v>0</v>
      </c>
      <c r="N1030" s="21">
        <f>IF(ISERROR(VLOOKUP($F1030,#REF!,6,0)*I1030/1000),0,VLOOKUP($F1030,#REF!,6,0)*I1030/1000)</f>
        <v>0</v>
      </c>
      <c r="O1030" s="21">
        <f>IF(ISERROR(VLOOKUP($F1030,#REF!,6,0)*J1030/1000),0,VLOOKUP($F1030,#REF!,6,0)*J1030/1000)</f>
        <v>0</v>
      </c>
      <c r="P1030" s="21">
        <f>IF(ISERROR(VLOOKUP(F1030,#REF!,6,0)*K1030/1000),0,VLOOKUP(F1030,#REF!,6,0)*K1030/1000)</f>
        <v>0</v>
      </c>
      <c r="Q1030" s="6">
        <f>IF(ISERROR(VLOOKUP(F1030,#REF!,3,0)),0,VLOOKUP(F1030,#REF!,3,0))</f>
        <v>0</v>
      </c>
      <c r="R1030" s="6">
        <f>IF(ISERROR(VLOOKUP(F1030,#REF!,4,0)),0,VLOOKUP(F1030,#REF!,4,0))</f>
        <v>0</v>
      </c>
      <c r="S1030" s="8">
        <f>IF(ISERROR(VLOOKUP(F1030,#REF!,4,0)),0,VLOOKUP(F1030,#REF!,10,0)/60*K1030)</f>
        <v>0</v>
      </c>
      <c r="T1030" s="3"/>
      <c r="U1030" s="3"/>
      <c r="V1030" s="4"/>
    </row>
    <row r="1031" spans="1:22" x14ac:dyDescent="0.3">
      <c r="A1031" s="5">
        <f t="shared" si="49"/>
        <v>0</v>
      </c>
      <c r="B1031" s="6">
        <f t="shared" si="50"/>
        <v>0</v>
      </c>
      <c r="K1031" s="18">
        <f t="shared" si="48"/>
        <v>0</v>
      </c>
      <c r="L1031" s="21">
        <f>IF(ISERROR(VLOOKUP($F1031,#REF!,6,0)*G1031/1000),0,VLOOKUP($F1031,#REF!,6,0)*G1031/1000)</f>
        <v>0</v>
      </c>
      <c r="M1031" s="21">
        <f>IF(ISERROR(VLOOKUP($F1031,#REF!,6,0)*H1031/1000),0,VLOOKUP($F1031,#REF!,6,0)*H1031/1000)</f>
        <v>0</v>
      </c>
      <c r="N1031" s="21">
        <f>IF(ISERROR(VLOOKUP($F1031,#REF!,6,0)*I1031/1000),0,VLOOKUP($F1031,#REF!,6,0)*I1031/1000)</f>
        <v>0</v>
      </c>
      <c r="O1031" s="21">
        <f>IF(ISERROR(VLOOKUP($F1031,#REF!,6,0)*J1031/1000),0,VLOOKUP($F1031,#REF!,6,0)*J1031/1000)</f>
        <v>0</v>
      </c>
      <c r="P1031" s="21">
        <f>IF(ISERROR(VLOOKUP(F1031,#REF!,6,0)*K1031/1000),0,VLOOKUP(F1031,#REF!,6,0)*K1031/1000)</f>
        <v>0</v>
      </c>
      <c r="Q1031" s="6">
        <f>IF(ISERROR(VLOOKUP(F1031,#REF!,3,0)),0,VLOOKUP(F1031,#REF!,3,0))</f>
        <v>0</v>
      </c>
      <c r="R1031" s="6">
        <f>IF(ISERROR(VLOOKUP(F1031,#REF!,4,0)),0,VLOOKUP(F1031,#REF!,4,0))</f>
        <v>0</v>
      </c>
      <c r="S1031" s="8">
        <f>IF(ISERROR(VLOOKUP(F1031,#REF!,4,0)),0,VLOOKUP(F1031,#REF!,10,0)/60*K1031)</f>
        <v>0</v>
      </c>
      <c r="T1031" s="3"/>
      <c r="U1031" s="3"/>
      <c r="V1031" s="4"/>
    </row>
    <row r="1032" spans="1:22" x14ac:dyDescent="0.3">
      <c r="A1032" s="5">
        <f t="shared" si="49"/>
        <v>0</v>
      </c>
      <c r="B1032" s="6">
        <f t="shared" si="50"/>
        <v>0</v>
      </c>
      <c r="K1032" s="18">
        <f t="shared" si="48"/>
        <v>0</v>
      </c>
      <c r="L1032" s="21">
        <f>IF(ISERROR(VLOOKUP($F1032,#REF!,6,0)*G1032/1000),0,VLOOKUP($F1032,#REF!,6,0)*G1032/1000)</f>
        <v>0</v>
      </c>
      <c r="M1032" s="21">
        <f>IF(ISERROR(VLOOKUP($F1032,#REF!,6,0)*H1032/1000),0,VLOOKUP($F1032,#REF!,6,0)*H1032/1000)</f>
        <v>0</v>
      </c>
      <c r="N1032" s="21">
        <f>IF(ISERROR(VLOOKUP($F1032,#REF!,6,0)*I1032/1000),0,VLOOKUP($F1032,#REF!,6,0)*I1032/1000)</f>
        <v>0</v>
      </c>
      <c r="O1032" s="21">
        <f>IF(ISERROR(VLOOKUP($F1032,#REF!,6,0)*J1032/1000),0,VLOOKUP($F1032,#REF!,6,0)*J1032/1000)</f>
        <v>0</v>
      </c>
      <c r="P1032" s="21">
        <f>IF(ISERROR(VLOOKUP(F1032,#REF!,6,0)*K1032/1000),0,VLOOKUP(F1032,#REF!,6,0)*K1032/1000)</f>
        <v>0</v>
      </c>
      <c r="Q1032" s="6">
        <f>IF(ISERROR(VLOOKUP(F1032,#REF!,3,0)),0,VLOOKUP(F1032,#REF!,3,0))</f>
        <v>0</v>
      </c>
      <c r="R1032" s="6">
        <f>IF(ISERROR(VLOOKUP(F1032,#REF!,4,0)),0,VLOOKUP(F1032,#REF!,4,0))</f>
        <v>0</v>
      </c>
      <c r="S1032" s="8">
        <f>IF(ISERROR(VLOOKUP(F1032,#REF!,4,0)),0,VLOOKUP(F1032,#REF!,10,0)/60*K1032)</f>
        <v>0</v>
      </c>
      <c r="T1032" s="3"/>
      <c r="U1032" s="3"/>
      <c r="V1032" s="4"/>
    </row>
    <row r="1033" spans="1:22" x14ac:dyDescent="0.3">
      <c r="A1033" s="5">
        <f t="shared" si="49"/>
        <v>0</v>
      </c>
      <c r="B1033" s="6">
        <f t="shared" si="50"/>
        <v>0</v>
      </c>
      <c r="K1033" s="18">
        <f t="shared" si="48"/>
        <v>0</v>
      </c>
      <c r="L1033" s="21">
        <f>IF(ISERROR(VLOOKUP($F1033,#REF!,6,0)*G1033/1000),0,VLOOKUP($F1033,#REF!,6,0)*G1033/1000)</f>
        <v>0</v>
      </c>
      <c r="M1033" s="21">
        <f>IF(ISERROR(VLOOKUP($F1033,#REF!,6,0)*H1033/1000),0,VLOOKUP($F1033,#REF!,6,0)*H1033/1000)</f>
        <v>0</v>
      </c>
      <c r="N1033" s="21">
        <f>IF(ISERROR(VLOOKUP($F1033,#REF!,6,0)*I1033/1000),0,VLOOKUP($F1033,#REF!,6,0)*I1033/1000)</f>
        <v>0</v>
      </c>
      <c r="O1033" s="21">
        <f>IF(ISERROR(VLOOKUP($F1033,#REF!,6,0)*J1033/1000),0,VLOOKUP($F1033,#REF!,6,0)*J1033/1000)</f>
        <v>0</v>
      </c>
      <c r="P1033" s="21">
        <f>IF(ISERROR(VLOOKUP(F1033,#REF!,6,0)*K1033/1000),0,VLOOKUP(F1033,#REF!,6,0)*K1033/1000)</f>
        <v>0</v>
      </c>
      <c r="Q1033" s="6">
        <f>IF(ISERROR(VLOOKUP(F1033,#REF!,3,0)),0,VLOOKUP(F1033,#REF!,3,0))</f>
        <v>0</v>
      </c>
      <c r="R1033" s="6">
        <f>IF(ISERROR(VLOOKUP(F1033,#REF!,4,0)),0,VLOOKUP(F1033,#REF!,4,0))</f>
        <v>0</v>
      </c>
      <c r="S1033" s="8">
        <f>IF(ISERROR(VLOOKUP(F1033,#REF!,4,0)),0,VLOOKUP(F1033,#REF!,10,0)/60*K1033)</f>
        <v>0</v>
      </c>
      <c r="T1033" s="3"/>
      <c r="U1033" s="3"/>
      <c r="V1033" s="4"/>
    </row>
    <row r="1034" spans="1:22" x14ac:dyDescent="0.3">
      <c r="A1034" s="5">
        <f t="shared" si="49"/>
        <v>0</v>
      </c>
      <c r="B1034" s="6">
        <f t="shared" si="50"/>
        <v>0</v>
      </c>
      <c r="K1034" s="18">
        <f t="shared" si="48"/>
        <v>0</v>
      </c>
      <c r="L1034" s="21">
        <f>IF(ISERROR(VLOOKUP($F1034,#REF!,6,0)*G1034/1000),0,VLOOKUP($F1034,#REF!,6,0)*G1034/1000)</f>
        <v>0</v>
      </c>
      <c r="M1034" s="21">
        <f>IF(ISERROR(VLOOKUP($F1034,#REF!,6,0)*H1034/1000),0,VLOOKUP($F1034,#REF!,6,0)*H1034/1000)</f>
        <v>0</v>
      </c>
      <c r="N1034" s="21">
        <f>IF(ISERROR(VLOOKUP($F1034,#REF!,6,0)*I1034/1000),0,VLOOKUP($F1034,#REF!,6,0)*I1034/1000)</f>
        <v>0</v>
      </c>
      <c r="O1034" s="21">
        <f>IF(ISERROR(VLOOKUP($F1034,#REF!,6,0)*J1034/1000),0,VLOOKUP($F1034,#REF!,6,0)*J1034/1000)</f>
        <v>0</v>
      </c>
      <c r="P1034" s="21">
        <f>IF(ISERROR(VLOOKUP(F1034,#REF!,6,0)*K1034/1000),0,VLOOKUP(F1034,#REF!,6,0)*K1034/1000)</f>
        <v>0</v>
      </c>
      <c r="Q1034" s="6">
        <f>IF(ISERROR(VLOOKUP(F1034,#REF!,3,0)),0,VLOOKUP(F1034,#REF!,3,0))</f>
        <v>0</v>
      </c>
      <c r="R1034" s="6">
        <f>IF(ISERROR(VLOOKUP(F1034,#REF!,4,0)),0,VLOOKUP(F1034,#REF!,4,0))</f>
        <v>0</v>
      </c>
      <c r="S1034" s="8">
        <f>IF(ISERROR(VLOOKUP(F1034,#REF!,4,0)),0,VLOOKUP(F1034,#REF!,10,0)/60*K1034)</f>
        <v>0</v>
      </c>
      <c r="T1034" s="3"/>
      <c r="U1034" s="3"/>
      <c r="V1034" s="4"/>
    </row>
    <row r="1035" spans="1:22" x14ac:dyDescent="0.3">
      <c r="A1035" s="5">
        <f t="shared" si="49"/>
        <v>0</v>
      </c>
      <c r="B1035" s="6">
        <f t="shared" si="50"/>
        <v>0</v>
      </c>
      <c r="K1035" s="18">
        <f t="shared" si="48"/>
        <v>0</v>
      </c>
      <c r="L1035" s="21">
        <f>IF(ISERROR(VLOOKUP($F1035,#REF!,6,0)*G1035/1000),0,VLOOKUP($F1035,#REF!,6,0)*G1035/1000)</f>
        <v>0</v>
      </c>
      <c r="M1035" s="21">
        <f>IF(ISERROR(VLOOKUP($F1035,#REF!,6,0)*H1035/1000),0,VLOOKUP($F1035,#REF!,6,0)*H1035/1000)</f>
        <v>0</v>
      </c>
      <c r="N1035" s="21">
        <f>IF(ISERROR(VLOOKUP($F1035,#REF!,6,0)*I1035/1000),0,VLOOKUP($F1035,#REF!,6,0)*I1035/1000)</f>
        <v>0</v>
      </c>
      <c r="O1035" s="21">
        <f>IF(ISERROR(VLOOKUP($F1035,#REF!,6,0)*J1035/1000),0,VLOOKUP($F1035,#REF!,6,0)*J1035/1000)</f>
        <v>0</v>
      </c>
      <c r="P1035" s="21">
        <f>IF(ISERROR(VLOOKUP(F1035,#REF!,6,0)*K1035/1000),0,VLOOKUP(F1035,#REF!,6,0)*K1035/1000)</f>
        <v>0</v>
      </c>
      <c r="Q1035" s="6">
        <f>IF(ISERROR(VLOOKUP(F1035,#REF!,3,0)),0,VLOOKUP(F1035,#REF!,3,0))</f>
        <v>0</v>
      </c>
      <c r="R1035" s="6">
        <f>IF(ISERROR(VLOOKUP(F1035,#REF!,4,0)),0,VLOOKUP(F1035,#REF!,4,0))</f>
        <v>0</v>
      </c>
      <c r="S1035" s="8">
        <f>IF(ISERROR(VLOOKUP(F1035,#REF!,4,0)),0,VLOOKUP(F1035,#REF!,10,0)/60*K1035)</f>
        <v>0</v>
      </c>
      <c r="T1035" s="3"/>
      <c r="U1035" s="3"/>
      <c r="V1035" s="4"/>
    </row>
    <row r="1036" spans="1:22" x14ac:dyDescent="0.3">
      <c r="A1036" s="5">
        <f t="shared" si="49"/>
        <v>0</v>
      </c>
      <c r="B1036" s="6">
        <f t="shared" si="50"/>
        <v>0</v>
      </c>
      <c r="K1036" s="18">
        <f t="shared" si="48"/>
        <v>0</v>
      </c>
      <c r="L1036" s="21">
        <f>IF(ISERROR(VLOOKUP($F1036,#REF!,6,0)*G1036/1000),0,VLOOKUP($F1036,#REF!,6,0)*G1036/1000)</f>
        <v>0</v>
      </c>
      <c r="M1036" s="21">
        <f>IF(ISERROR(VLOOKUP($F1036,#REF!,6,0)*H1036/1000),0,VLOOKUP($F1036,#REF!,6,0)*H1036/1000)</f>
        <v>0</v>
      </c>
      <c r="N1036" s="21">
        <f>IF(ISERROR(VLOOKUP($F1036,#REF!,6,0)*I1036/1000),0,VLOOKUP($F1036,#REF!,6,0)*I1036/1000)</f>
        <v>0</v>
      </c>
      <c r="O1036" s="21">
        <f>IF(ISERROR(VLOOKUP($F1036,#REF!,6,0)*J1036/1000),0,VLOOKUP($F1036,#REF!,6,0)*J1036/1000)</f>
        <v>0</v>
      </c>
      <c r="P1036" s="21">
        <f>IF(ISERROR(VLOOKUP(F1036,#REF!,6,0)*K1036/1000),0,VLOOKUP(F1036,#REF!,6,0)*K1036/1000)</f>
        <v>0</v>
      </c>
      <c r="Q1036" s="6">
        <f>IF(ISERROR(VLOOKUP(F1036,#REF!,3,0)),0,VLOOKUP(F1036,#REF!,3,0))</f>
        <v>0</v>
      </c>
      <c r="R1036" s="6">
        <f>IF(ISERROR(VLOOKUP(F1036,#REF!,4,0)),0,VLOOKUP(F1036,#REF!,4,0))</f>
        <v>0</v>
      </c>
      <c r="S1036" s="8">
        <f>IF(ISERROR(VLOOKUP(F1036,#REF!,4,0)),0,VLOOKUP(F1036,#REF!,10,0)/60*K1036)</f>
        <v>0</v>
      </c>
      <c r="T1036" s="3"/>
      <c r="U1036" s="3"/>
      <c r="V1036" s="4"/>
    </row>
    <row r="1037" spans="1:22" x14ac:dyDescent="0.3">
      <c r="A1037" s="5">
        <f t="shared" si="49"/>
        <v>0</v>
      </c>
      <c r="B1037" s="6">
        <f t="shared" si="50"/>
        <v>0</v>
      </c>
      <c r="K1037" s="18">
        <f t="shared" si="48"/>
        <v>0</v>
      </c>
      <c r="L1037" s="21">
        <f>IF(ISERROR(VLOOKUP($F1037,#REF!,6,0)*G1037/1000),0,VLOOKUP($F1037,#REF!,6,0)*G1037/1000)</f>
        <v>0</v>
      </c>
      <c r="M1037" s="21">
        <f>IF(ISERROR(VLOOKUP($F1037,#REF!,6,0)*H1037/1000),0,VLOOKUP($F1037,#REF!,6,0)*H1037/1000)</f>
        <v>0</v>
      </c>
      <c r="N1037" s="21">
        <f>IF(ISERROR(VLOOKUP($F1037,#REF!,6,0)*I1037/1000),0,VLOOKUP($F1037,#REF!,6,0)*I1037/1000)</f>
        <v>0</v>
      </c>
      <c r="O1037" s="21">
        <f>IF(ISERROR(VLOOKUP($F1037,#REF!,6,0)*J1037/1000),0,VLOOKUP($F1037,#REF!,6,0)*J1037/1000)</f>
        <v>0</v>
      </c>
      <c r="P1037" s="21">
        <f>IF(ISERROR(VLOOKUP(F1037,#REF!,6,0)*K1037/1000),0,VLOOKUP(F1037,#REF!,6,0)*K1037/1000)</f>
        <v>0</v>
      </c>
      <c r="Q1037" s="6">
        <f>IF(ISERROR(VLOOKUP(F1037,#REF!,3,0)),0,VLOOKUP(F1037,#REF!,3,0))</f>
        <v>0</v>
      </c>
      <c r="R1037" s="6">
        <f>IF(ISERROR(VLOOKUP(F1037,#REF!,4,0)),0,VLOOKUP(F1037,#REF!,4,0))</f>
        <v>0</v>
      </c>
      <c r="S1037" s="8">
        <f>IF(ISERROR(VLOOKUP(F1037,#REF!,4,0)),0,VLOOKUP(F1037,#REF!,10,0)/60*K1037)</f>
        <v>0</v>
      </c>
      <c r="T1037" s="3"/>
      <c r="U1037" s="3"/>
      <c r="V1037" s="4"/>
    </row>
    <row r="1038" spans="1:22" x14ac:dyDescent="0.3">
      <c r="A1038" s="5">
        <f t="shared" si="49"/>
        <v>0</v>
      </c>
      <c r="B1038" s="6">
        <f t="shared" si="50"/>
        <v>0</v>
      </c>
      <c r="K1038" s="18">
        <f t="shared" si="48"/>
        <v>0</v>
      </c>
      <c r="L1038" s="21">
        <f>IF(ISERROR(VLOOKUP($F1038,#REF!,6,0)*G1038/1000),0,VLOOKUP($F1038,#REF!,6,0)*G1038/1000)</f>
        <v>0</v>
      </c>
      <c r="M1038" s="21">
        <f>IF(ISERROR(VLOOKUP($F1038,#REF!,6,0)*H1038/1000),0,VLOOKUP($F1038,#REF!,6,0)*H1038/1000)</f>
        <v>0</v>
      </c>
      <c r="N1038" s="21">
        <f>IF(ISERROR(VLOOKUP($F1038,#REF!,6,0)*I1038/1000),0,VLOOKUP($F1038,#REF!,6,0)*I1038/1000)</f>
        <v>0</v>
      </c>
      <c r="O1038" s="21">
        <f>IF(ISERROR(VLOOKUP($F1038,#REF!,6,0)*J1038/1000),0,VLOOKUP($F1038,#REF!,6,0)*J1038/1000)</f>
        <v>0</v>
      </c>
      <c r="P1038" s="21">
        <f>IF(ISERROR(VLOOKUP(F1038,#REF!,6,0)*K1038/1000),0,VLOOKUP(F1038,#REF!,6,0)*K1038/1000)</f>
        <v>0</v>
      </c>
      <c r="Q1038" s="6">
        <f>IF(ISERROR(VLOOKUP(F1038,#REF!,3,0)),0,VLOOKUP(F1038,#REF!,3,0))</f>
        <v>0</v>
      </c>
      <c r="R1038" s="6">
        <f>IF(ISERROR(VLOOKUP(F1038,#REF!,4,0)),0,VLOOKUP(F1038,#REF!,4,0))</f>
        <v>0</v>
      </c>
      <c r="S1038" s="8">
        <f>IF(ISERROR(VLOOKUP(F1038,#REF!,4,0)),0,VLOOKUP(F1038,#REF!,10,0)/60*K1038)</f>
        <v>0</v>
      </c>
      <c r="T1038" s="3"/>
      <c r="U1038" s="3"/>
      <c r="V1038" s="4"/>
    </row>
    <row r="1039" spans="1:22" x14ac:dyDescent="0.3">
      <c r="A1039" s="5">
        <f t="shared" si="49"/>
        <v>0</v>
      </c>
      <c r="B1039" s="6">
        <f t="shared" si="50"/>
        <v>0</v>
      </c>
      <c r="K1039" s="18">
        <f t="shared" si="48"/>
        <v>0</v>
      </c>
      <c r="L1039" s="21">
        <f>IF(ISERROR(VLOOKUP($F1039,#REF!,6,0)*G1039/1000),0,VLOOKUP($F1039,#REF!,6,0)*G1039/1000)</f>
        <v>0</v>
      </c>
      <c r="M1039" s="21">
        <f>IF(ISERROR(VLOOKUP($F1039,#REF!,6,0)*H1039/1000),0,VLOOKUP($F1039,#REF!,6,0)*H1039/1000)</f>
        <v>0</v>
      </c>
      <c r="N1039" s="21">
        <f>IF(ISERROR(VLOOKUP($F1039,#REF!,6,0)*I1039/1000),0,VLOOKUP($F1039,#REF!,6,0)*I1039/1000)</f>
        <v>0</v>
      </c>
      <c r="O1039" s="21">
        <f>IF(ISERROR(VLOOKUP($F1039,#REF!,6,0)*J1039/1000),0,VLOOKUP($F1039,#REF!,6,0)*J1039/1000)</f>
        <v>0</v>
      </c>
      <c r="P1039" s="21">
        <f>IF(ISERROR(VLOOKUP(F1039,#REF!,6,0)*K1039/1000),0,VLOOKUP(F1039,#REF!,6,0)*K1039/1000)</f>
        <v>0</v>
      </c>
      <c r="Q1039" s="6">
        <f>IF(ISERROR(VLOOKUP(F1039,#REF!,3,0)),0,VLOOKUP(F1039,#REF!,3,0))</f>
        <v>0</v>
      </c>
      <c r="R1039" s="6">
        <f>IF(ISERROR(VLOOKUP(F1039,#REF!,4,0)),0,VLOOKUP(F1039,#REF!,4,0))</f>
        <v>0</v>
      </c>
      <c r="S1039" s="8">
        <f>IF(ISERROR(VLOOKUP(F1039,#REF!,4,0)),0,VLOOKUP(F1039,#REF!,10,0)/60*K1039)</f>
        <v>0</v>
      </c>
      <c r="T1039" s="3"/>
      <c r="U1039" s="3"/>
      <c r="V1039" s="4"/>
    </row>
    <row r="1040" spans="1:22" x14ac:dyDescent="0.3">
      <c r="A1040" s="5">
        <f t="shared" si="49"/>
        <v>0</v>
      </c>
      <c r="B1040" s="6">
        <f t="shared" si="50"/>
        <v>0</v>
      </c>
      <c r="K1040" s="18">
        <f t="shared" si="48"/>
        <v>0</v>
      </c>
      <c r="L1040" s="21">
        <f>IF(ISERROR(VLOOKUP($F1040,#REF!,6,0)*G1040/1000),0,VLOOKUP($F1040,#REF!,6,0)*G1040/1000)</f>
        <v>0</v>
      </c>
      <c r="M1040" s="21">
        <f>IF(ISERROR(VLOOKUP($F1040,#REF!,6,0)*H1040/1000),0,VLOOKUP($F1040,#REF!,6,0)*H1040/1000)</f>
        <v>0</v>
      </c>
      <c r="N1040" s="21">
        <f>IF(ISERROR(VLOOKUP($F1040,#REF!,6,0)*I1040/1000),0,VLOOKUP($F1040,#REF!,6,0)*I1040/1000)</f>
        <v>0</v>
      </c>
      <c r="O1040" s="21">
        <f>IF(ISERROR(VLOOKUP($F1040,#REF!,6,0)*J1040/1000),0,VLOOKUP($F1040,#REF!,6,0)*J1040/1000)</f>
        <v>0</v>
      </c>
      <c r="P1040" s="21">
        <f>IF(ISERROR(VLOOKUP(F1040,#REF!,6,0)*K1040/1000),0,VLOOKUP(F1040,#REF!,6,0)*K1040/1000)</f>
        <v>0</v>
      </c>
      <c r="Q1040" s="6">
        <f>IF(ISERROR(VLOOKUP(F1040,#REF!,3,0)),0,VLOOKUP(F1040,#REF!,3,0))</f>
        <v>0</v>
      </c>
      <c r="R1040" s="6">
        <f>IF(ISERROR(VLOOKUP(F1040,#REF!,4,0)),0,VLOOKUP(F1040,#REF!,4,0))</f>
        <v>0</v>
      </c>
      <c r="S1040" s="8">
        <f>IF(ISERROR(VLOOKUP(F1040,#REF!,4,0)),0,VLOOKUP(F1040,#REF!,10,0)/60*K1040)</f>
        <v>0</v>
      </c>
      <c r="T1040" s="3"/>
      <c r="U1040" s="3"/>
      <c r="V1040" s="4"/>
    </row>
    <row r="1041" spans="1:22" x14ac:dyDescent="0.3">
      <c r="A1041" s="5">
        <f t="shared" si="49"/>
        <v>0</v>
      </c>
      <c r="B1041" s="6">
        <f t="shared" si="50"/>
        <v>0</v>
      </c>
      <c r="K1041" s="18">
        <f t="shared" si="48"/>
        <v>0</v>
      </c>
      <c r="L1041" s="21">
        <f>IF(ISERROR(VLOOKUP($F1041,#REF!,6,0)*G1041/1000),0,VLOOKUP($F1041,#REF!,6,0)*G1041/1000)</f>
        <v>0</v>
      </c>
      <c r="M1041" s="21">
        <f>IF(ISERROR(VLOOKUP($F1041,#REF!,6,0)*H1041/1000),0,VLOOKUP($F1041,#REF!,6,0)*H1041/1000)</f>
        <v>0</v>
      </c>
      <c r="N1041" s="21">
        <f>IF(ISERROR(VLOOKUP($F1041,#REF!,6,0)*I1041/1000),0,VLOOKUP($F1041,#REF!,6,0)*I1041/1000)</f>
        <v>0</v>
      </c>
      <c r="O1041" s="21">
        <f>IF(ISERROR(VLOOKUP($F1041,#REF!,6,0)*J1041/1000),0,VLOOKUP($F1041,#REF!,6,0)*J1041/1000)</f>
        <v>0</v>
      </c>
      <c r="P1041" s="21">
        <f>IF(ISERROR(VLOOKUP(F1041,#REF!,6,0)*K1041/1000),0,VLOOKUP(F1041,#REF!,6,0)*K1041/1000)</f>
        <v>0</v>
      </c>
      <c r="Q1041" s="6">
        <f>IF(ISERROR(VLOOKUP(F1041,#REF!,3,0)),0,VLOOKUP(F1041,#REF!,3,0))</f>
        <v>0</v>
      </c>
      <c r="R1041" s="6">
        <f>IF(ISERROR(VLOOKUP(F1041,#REF!,4,0)),0,VLOOKUP(F1041,#REF!,4,0))</f>
        <v>0</v>
      </c>
      <c r="S1041" s="8">
        <f>IF(ISERROR(VLOOKUP(F1041,#REF!,4,0)),0,VLOOKUP(F1041,#REF!,10,0)/60*K1041)</f>
        <v>0</v>
      </c>
      <c r="T1041" s="3"/>
      <c r="U1041" s="3"/>
      <c r="V1041" s="4"/>
    </row>
    <row r="1042" spans="1:22" x14ac:dyDescent="0.3">
      <c r="A1042" s="5">
        <f t="shared" si="49"/>
        <v>0</v>
      </c>
      <c r="B1042" s="6">
        <f t="shared" si="50"/>
        <v>0</v>
      </c>
      <c r="K1042" s="18">
        <f t="shared" si="48"/>
        <v>0</v>
      </c>
      <c r="L1042" s="21">
        <f>IF(ISERROR(VLOOKUP($F1042,#REF!,6,0)*G1042/1000),0,VLOOKUP($F1042,#REF!,6,0)*G1042/1000)</f>
        <v>0</v>
      </c>
      <c r="M1042" s="21">
        <f>IF(ISERROR(VLOOKUP($F1042,#REF!,6,0)*H1042/1000),0,VLOOKUP($F1042,#REF!,6,0)*H1042/1000)</f>
        <v>0</v>
      </c>
      <c r="N1042" s="21">
        <f>IF(ISERROR(VLOOKUP($F1042,#REF!,6,0)*I1042/1000),0,VLOOKUP($F1042,#REF!,6,0)*I1042/1000)</f>
        <v>0</v>
      </c>
      <c r="O1042" s="21">
        <f>IF(ISERROR(VLOOKUP($F1042,#REF!,6,0)*J1042/1000),0,VLOOKUP($F1042,#REF!,6,0)*J1042/1000)</f>
        <v>0</v>
      </c>
      <c r="P1042" s="21">
        <f>IF(ISERROR(VLOOKUP(F1042,#REF!,6,0)*K1042/1000),0,VLOOKUP(F1042,#REF!,6,0)*K1042/1000)</f>
        <v>0</v>
      </c>
      <c r="Q1042" s="6">
        <f>IF(ISERROR(VLOOKUP(F1042,#REF!,3,0)),0,VLOOKUP(F1042,#REF!,3,0))</f>
        <v>0</v>
      </c>
      <c r="R1042" s="6">
        <f>IF(ISERROR(VLOOKUP(F1042,#REF!,4,0)),0,VLOOKUP(F1042,#REF!,4,0))</f>
        <v>0</v>
      </c>
      <c r="S1042" s="8">
        <f>IF(ISERROR(VLOOKUP(F1042,#REF!,4,0)),0,VLOOKUP(F1042,#REF!,10,0)/60*K1042)</f>
        <v>0</v>
      </c>
      <c r="T1042" s="3"/>
      <c r="U1042" s="3"/>
      <c r="V1042" s="4"/>
    </row>
    <row r="1043" spans="1:22" x14ac:dyDescent="0.3">
      <c r="A1043" s="5">
        <f t="shared" si="49"/>
        <v>0</v>
      </c>
      <c r="B1043" s="6">
        <f t="shared" si="50"/>
        <v>0</v>
      </c>
      <c r="K1043" s="18">
        <f t="shared" si="48"/>
        <v>0</v>
      </c>
      <c r="L1043" s="21">
        <f>IF(ISERROR(VLOOKUP($F1043,#REF!,6,0)*G1043/1000),0,VLOOKUP($F1043,#REF!,6,0)*G1043/1000)</f>
        <v>0</v>
      </c>
      <c r="M1043" s="21">
        <f>IF(ISERROR(VLOOKUP($F1043,#REF!,6,0)*H1043/1000),0,VLOOKUP($F1043,#REF!,6,0)*H1043/1000)</f>
        <v>0</v>
      </c>
      <c r="N1043" s="21">
        <f>IF(ISERROR(VLOOKUP($F1043,#REF!,6,0)*I1043/1000),0,VLOOKUP($F1043,#REF!,6,0)*I1043/1000)</f>
        <v>0</v>
      </c>
      <c r="O1043" s="21">
        <f>IF(ISERROR(VLOOKUP($F1043,#REF!,6,0)*J1043/1000),0,VLOOKUP($F1043,#REF!,6,0)*J1043/1000)</f>
        <v>0</v>
      </c>
      <c r="P1043" s="21">
        <f>IF(ISERROR(VLOOKUP(F1043,#REF!,6,0)*K1043/1000),0,VLOOKUP(F1043,#REF!,6,0)*K1043/1000)</f>
        <v>0</v>
      </c>
      <c r="Q1043" s="6">
        <f>IF(ISERROR(VLOOKUP(F1043,#REF!,3,0)),0,VLOOKUP(F1043,#REF!,3,0))</f>
        <v>0</v>
      </c>
      <c r="R1043" s="6">
        <f>IF(ISERROR(VLOOKUP(F1043,#REF!,4,0)),0,VLOOKUP(F1043,#REF!,4,0))</f>
        <v>0</v>
      </c>
      <c r="S1043" s="8">
        <f>IF(ISERROR(VLOOKUP(F1043,#REF!,4,0)),0,VLOOKUP(F1043,#REF!,10,0)/60*K1043)</f>
        <v>0</v>
      </c>
      <c r="T1043" s="3"/>
      <c r="U1043" s="3"/>
      <c r="V1043" s="4"/>
    </row>
    <row r="1044" spans="1:22" x14ac:dyDescent="0.3">
      <c r="A1044" s="5">
        <f t="shared" si="49"/>
        <v>0</v>
      </c>
      <c r="B1044" s="6">
        <f t="shared" si="50"/>
        <v>0</v>
      </c>
      <c r="K1044" s="18">
        <f t="shared" si="48"/>
        <v>0</v>
      </c>
      <c r="L1044" s="21">
        <f>IF(ISERROR(VLOOKUP($F1044,#REF!,6,0)*G1044/1000),0,VLOOKUP($F1044,#REF!,6,0)*G1044/1000)</f>
        <v>0</v>
      </c>
      <c r="M1044" s="21">
        <f>IF(ISERROR(VLOOKUP($F1044,#REF!,6,0)*H1044/1000),0,VLOOKUP($F1044,#REF!,6,0)*H1044/1000)</f>
        <v>0</v>
      </c>
      <c r="N1044" s="21">
        <f>IF(ISERROR(VLOOKUP($F1044,#REF!,6,0)*I1044/1000),0,VLOOKUP($F1044,#REF!,6,0)*I1044/1000)</f>
        <v>0</v>
      </c>
      <c r="O1044" s="21">
        <f>IF(ISERROR(VLOOKUP($F1044,#REF!,6,0)*J1044/1000),0,VLOOKUP($F1044,#REF!,6,0)*J1044/1000)</f>
        <v>0</v>
      </c>
      <c r="P1044" s="21">
        <f>IF(ISERROR(VLOOKUP(F1044,#REF!,6,0)*K1044/1000),0,VLOOKUP(F1044,#REF!,6,0)*K1044/1000)</f>
        <v>0</v>
      </c>
      <c r="Q1044" s="6">
        <f>IF(ISERROR(VLOOKUP(F1044,#REF!,3,0)),0,VLOOKUP(F1044,#REF!,3,0))</f>
        <v>0</v>
      </c>
      <c r="R1044" s="6">
        <f>IF(ISERROR(VLOOKUP(F1044,#REF!,4,0)),0,VLOOKUP(F1044,#REF!,4,0))</f>
        <v>0</v>
      </c>
      <c r="S1044" s="8">
        <f>IF(ISERROR(VLOOKUP(F1044,#REF!,4,0)),0,VLOOKUP(F1044,#REF!,10,0)/60*K1044)</f>
        <v>0</v>
      </c>
      <c r="T1044" s="3"/>
      <c r="U1044" s="3"/>
      <c r="V1044" s="4"/>
    </row>
    <row r="1045" spans="1:22" x14ac:dyDescent="0.3">
      <c r="A1045" s="5">
        <f t="shared" si="49"/>
        <v>0</v>
      </c>
      <c r="B1045" s="6">
        <f t="shared" si="50"/>
        <v>0</v>
      </c>
      <c r="K1045" s="18">
        <f t="shared" si="48"/>
        <v>0</v>
      </c>
      <c r="L1045" s="21">
        <f>IF(ISERROR(VLOOKUP($F1045,#REF!,6,0)*G1045/1000),0,VLOOKUP($F1045,#REF!,6,0)*G1045/1000)</f>
        <v>0</v>
      </c>
      <c r="M1045" s="21">
        <f>IF(ISERROR(VLOOKUP($F1045,#REF!,6,0)*H1045/1000),0,VLOOKUP($F1045,#REF!,6,0)*H1045/1000)</f>
        <v>0</v>
      </c>
      <c r="N1045" s="21">
        <f>IF(ISERROR(VLOOKUP($F1045,#REF!,6,0)*I1045/1000),0,VLOOKUP($F1045,#REF!,6,0)*I1045/1000)</f>
        <v>0</v>
      </c>
      <c r="O1045" s="21">
        <f>IF(ISERROR(VLOOKUP($F1045,#REF!,6,0)*J1045/1000),0,VLOOKUP($F1045,#REF!,6,0)*J1045/1000)</f>
        <v>0</v>
      </c>
      <c r="P1045" s="21">
        <f>IF(ISERROR(VLOOKUP(F1045,#REF!,6,0)*K1045/1000),0,VLOOKUP(F1045,#REF!,6,0)*K1045/1000)</f>
        <v>0</v>
      </c>
      <c r="Q1045" s="6">
        <f>IF(ISERROR(VLOOKUP(F1045,#REF!,3,0)),0,VLOOKUP(F1045,#REF!,3,0))</f>
        <v>0</v>
      </c>
      <c r="R1045" s="6">
        <f>IF(ISERROR(VLOOKUP(F1045,#REF!,4,0)),0,VLOOKUP(F1045,#REF!,4,0))</f>
        <v>0</v>
      </c>
      <c r="S1045" s="8">
        <f>IF(ISERROR(VLOOKUP(F1045,#REF!,4,0)),0,VLOOKUP(F1045,#REF!,10,0)/60*K1045)</f>
        <v>0</v>
      </c>
      <c r="T1045" s="3"/>
      <c r="U1045" s="3"/>
      <c r="V1045" s="4"/>
    </row>
    <row r="1046" spans="1:22" x14ac:dyDescent="0.3">
      <c r="A1046" s="5">
        <f t="shared" si="49"/>
        <v>0</v>
      </c>
      <c r="B1046" s="6">
        <f t="shared" si="50"/>
        <v>0</v>
      </c>
      <c r="K1046" s="18">
        <f t="shared" si="48"/>
        <v>0</v>
      </c>
      <c r="L1046" s="21">
        <f>IF(ISERROR(VLOOKUP($F1046,#REF!,6,0)*G1046/1000),0,VLOOKUP($F1046,#REF!,6,0)*G1046/1000)</f>
        <v>0</v>
      </c>
      <c r="M1046" s="21">
        <f>IF(ISERROR(VLOOKUP($F1046,#REF!,6,0)*H1046/1000),0,VLOOKUP($F1046,#REF!,6,0)*H1046/1000)</f>
        <v>0</v>
      </c>
      <c r="N1046" s="21">
        <f>IF(ISERROR(VLOOKUP($F1046,#REF!,6,0)*I1046/1000),0,VLOOKUP($F1046,#REF!,6,0)*I1046/1000)</f>
        <v>0</v>
      </c>
      <c r="O1046" s="21">
        <f>IF(ISERROR(VLOOKUP($F1046,#REF!,6,0)*J1046/1000),0,VLOOKUP($F1046,#REF!,6,0)*J1046/1000)</f>
        <v>0</v>
      </c>
      <c r="P1046" s="21">
        <f>IF(ISERROR(VLOOKUP(F1046,#REF!,6,0)*K1046/1000),0,VLOOKUP(F1046,#REF!,6,0)*K1046/1000)</f>
        <v>0</v>
      </c>
      <c r="Q1046" s="6">
        <f>IF(ISERROR(VLOOKUP(F1046,#REF!,3,0)),0,VLOOKUP(F1046,#REF!,3,0))</f>
        <v>0</v>
      </c>
      <c r="R1046" s="6">
        <f>IF(ISERROR(VLOOKUP(F1046,#REF!,4,0)),0,VLOOKUP(F1046,#REF!,4,0))</f>
        <v>0</v>
      </c>
      <c r="S1046" s="8">
        <f>IF(ISERROR(VLOOKUP(F1046,#REF!,4,0)),0,VLOOKUP(F1046,#REF!,10,0)/60*K1046)</f>
        <v>0</v>
      </c>
      <c r="T1046" s="3"/>
      <c r="U1046" s="3"/>
      <c r="V1046" s="4"/>
    </row>
    <row r="1047" spans="1:22" x14ac:dyDescent="0.3">
      <c r="A1047" s="5">
        <f t="shared" si="49"/>
        <v>0</v>
      </c>
      <c r="B1047" s="6">
        <f t="shared" si="50"/>
        <v>0</v>
      </c>
      <c r="K1047" s="18">
        <f t="shared" si="48"/>
        <v>0</v>
      </c>
      <c r="L1047" s="21">
        <f>IF(ISERROR(VLOOKUP($F1047,#REF!,6,0)*G1047/1000),0,VLOOKUP($F1047,#REF!,6,0)*G1047/1000)</f>
        <v>0</v>
      </c>
      <c r="M1047" s="21">
        <f>IF(ISERROR(VLOOKUP($F1047,#REF!,6,0)*H1047/1000),0,VLOOKUP($F1047,#REF!,6,0)*H1047/1000)</f>
        <v>0</v>
      </c>
      <c r="N1047" s="21">
        <f>IF(ISERROR(VLOOKUP($F1047,#REF!,6,0)*I1047/1000),0,VLOOKUP($F1047,#REF!,6,0)*I1047/1000)</f>
        <v>0</v>
      </c>
      <c r="O1047" s="21">
        <f>IF(ISERROR(VLOOKUP($F1047,#REF!,6,0)*J1047/1000),0,VLOOKUP($F1047,#REF!,6,0)*J1047/1000)</f>
        <v>0</v>
      </c>
      <c r="P1047" s="21">
        <f>IF(ISERROR(VLOOKUP(F1047,#REF!,6,0)*K1047/1000),0,VLOOKUP(F1047,#REF!,6,0)*K1047/1000)</f>
        <v>0</v>
      </c>
      <c r="Q1047" s="6">
        <f>IF(ISERROR(VLOOKUP(F1047,#REF!,3,0)),0,VLOOKUP(F1047,#REF!,3,0))</f>
        <v>0</v>
      </c>
      <c r="R1047" s="6">
        <f>IF(ISERROR(VLOOKUP(F1047,#REF!,4,0)),0,VLOOKUP(F1047,#REF!,4,0))</f>
        <v>0</v>
      </c>
      <c r="S1047" s="8">
        <f>IF(ISERROR(VLOOKUP(F1047,#REF!,4,0)),0,VLOOKUP(F1047,#REF!,10,0)/60*K1047)</f>
        <v>0</v>
      </c>
      <c r="T1047" s="3"/>
      <c r="U1047" s="3"/>
      <c r="V1047" s="4"/>
    </row>
    <row r="1048" spans="1:22" x14ac:dyDescent="0.3">
      <c r="A1048" s="5">
        <f t="shared" si="49"/>
        <v>0</v>
      </c>
      <c r="B1048" s="6">
        <f t="shared" si="50"/>
        <v>0</v>
      </c>
      <c r="K1048" s="18">
        <f t="shared" si="48"/>
        <v>0</v>
      </c>
      <c r="L1048" s="21">
        <f>IF(ISERROR(VLOOKUP($F1048,#REF!,6,0)*G1048/1000),0,VLOOKUP($F1048,#REF!,6,0)*G1048/1000)</f>
        <v>0</v>
      </c>
      <c r="M1048" s="21">
        <f>IF(ISERROR(VLOOKUP($F1048,#REF!,6,0)*H1048/1000),0,VLOOKUP($F1048,#REF!,6,0)*H1048/1000)</f>
        <v>0</v>
      </c>
      <c r="N1048" s="21">
        <f>IF(ISERROR(VLOOKUP($F1048,#REF!,6,0)*I1048/1000),0,VLOOKUP($F1048,#REF!,6,0)*I1048/1000)</f>
        <v>0</v>
      </c>
      <c r="O1048" s="21">
        <f>IF(ISERROR(VLOOKUP($F1048,#REF!,6,0)*J1048/1000),0,VLOOKUP($F1048,#REF!,6,0)*J1048/1000)</f>
        <v>0</v>
      </c>
      <c r="P1048" s="21">
        <f>IF(ISERROR(VLOOKUP(F1048,#REF!,6,0)*K1048/1000),0,VLOOKUP(F1048,#REF!,6,0)*K1048/1000)</f>
        <v>0</v>
      </c>
      <c r="Q1048" s="6">
        <f>IF(ISERROR(VLOOKUP(F1048,#REF!,3,0)),0,VLOOKUP(F1048,#REF!,3,0))</f>
        <v>0</v>
      </c>
      <c r="R1048" s="6">
        <f>IF(ISERROR(VLOOKUP(F1048,#REF!,4,0)),0,VLOOKUP(F1048,#REF!,4,0))</f>
        <v>0</v>
      </c>
      <c r="S1048" s="8">
        <f>IF(ISERROR(VLOOKUP(F1048,#REF!,4,0)),0,VLOOKUP(F1048,#REF!,10,0)/60*K1048)</f>
        <v>0</v>
      </c>
      <c r="T1048" s="3"/>
      <c r="U1048" s="3"/>
      <c r="V1048" s="4"/>
    </row>
    <row r="1049" spans="1:22" x14ac:dyDescent="0.3">
      <c r="A1049" s="5">
        <f t="shared" si="49"/>
        <v>0</v>
      </c>
      <c r="B1049" s="6">
        <f t="shared" si="50"/>
        <v>0</v>
      </c>
      <c r="K1049" s="18">
        <f t="shared" si="48"/>
        <v>0</v>
      </c>
      <c r="L1049" s="21">
        <f>IF(ISERROR(VLOOKUP($F1049,#REF!,6,0)*G1049/1000),0,VLOOKUP($F1049,#REF!,6,0)*G1049/1000)</f>
        <v>0</v>
      </c>
      <c r="M1049" s="21">
        <f>IF(ISERROR(VLOOKUP($F1049,#REF!,6,0)*H1049/1000),0,VLOOKUP($F1049,#REF!,6,0)*H1049/1000)</f>
        <v>0</v>
      </c>
      <c r="N1049" s="21">
        <f>IF(ISERROR(VLOOKUP($F1049,#REF!,6,0)*I1049/1000),0,VLOOKUP($F1049,#REF!,6,0)*I1049/1000)</f>
        <v>0</v>
      </c>
      <c r="O1049" s="21">
        <f>IF(ISERROR(VLOOKUP($F1049,#REF!,6,0)*J1049/1000),0,VLOOKUP($F1049,#REF!,6,0)*J1049/1000)</f>
        <v>0</v>
      </c>
      <c r="P1049" s="21">
        <f>IF(ISERROR(VLOOKUP(F1049,#REF!,6,0)*K1049/1000),0,VLOOKUP(F1049,#REF!,6,0)*K1049/1000)</f>
        <v>0</v>
      </c>
      <c r="Q1049" s="6">
        <f>IF(ISERROR(VLOOKUP(F1049,#REF!,3,0)),0,VLOOKUP(F1049,#REF!,3,0))</f>
        <v>0</v>
      </c>
      <c r="R1049" s="6">
        <f>IF(ISERROR(VLOOKUP(F1049,#REF!,4,0)),0,VLOOKUP(F1049,#REF!,4,0))</f>
        <v>0</v>
      </c>
      <c r="S1049" s="8">
        <f>IF(ISERROR(VLOOKUP(F1049,#REF!,4,0)),0,VLOOKUP(F1049,#REF!,10,0)/60*K1049)</f>
        <v>0</v>
      </c>
      <c r="T1049" s="3"/>
      <c r="U1049" s="3"/>
      <c r="V1049" s="4"/>
    </row>
    <row r="1050" spans="1:22" x14ac:dyDescent="0.3">
      <c r="A1050" s="5">
        <f t="shared" si="49"/>
        <v>0</v>
      </c>
      <c r="B1050" s="6">
        <f t="shared" si="50"/>
        <v>0</v>
      </c>
      <c r="K1050" s="18">
        <f t="shared" si="48"/>
        <v>0</v>
      </c>
      <c r="L1050" s="21">
        <f>IF(ISERROR(VLOOKUP($F1050,#REF!,6,0)*G1050/1000),0,VLOOKUP($F1050,#REF!,6,0)*G1050/1000)</f>
        <v>0</v>
      </c>
      <c r="M1050" s="21">
        <f>IF(ISERROR(VLOOKUP($F1050,#REF!,6,0)*H1050/1000),0,VLOOKUP($F1050,#REF!,6,0)*H1050/1000)</f>
        <v>0</v>
      </c>
      <c r="N1050" s="21">
        <f>IF(ISERROR(VLOOKUP($F1050,#REF!,6,0)*I1050/1000),0,VLOOKUP($F1050,#REF!,6,0)*I1050/1000)</f>
        <v>0</v>
      </c>
      <c r="O1050" s="21">
        <f>IF(ISERROR(VLOOKUP($F1050,#REF!,6,0)*J1050/1000),0,VLOOKUP($F1050,#REF!,6,0)*J1050/1000)</f>
        <v>0</v>
      </c>
      <c r="P1050" s="21">
        <f>IF(ISERROR(VLOOKUP(F1050,#REF!,6,0)*K1050/1000),0,VLOOKUP(F1050,#REF!,6,0)*K1050/1000)</f>
        <v>0</v>
      </c>
      <c r="Q1050" s="6">
        <f>IF(ISERROR(VLOOKUP(F1050,#REF!,3,0)),0,VLOOKUP(F1050,#REF!,3,0))</f>
        <v>0</v>
      </c>
      <c r="R1050" s="6">
        <f>IF(ISERROR(VLOOKUP(F1050,#REF!,4,0)),0,VLOOKUP(F1050,#REF!,4,0))</f>
        <v>0</v>
      </c>
      <c r="S1050" s="8">
        <f>IF(ISERROR(VLOOKUP(F1050,#REF!,4,0)),0,VLOOKUP(F1050,#REF!,10,0)/60*K1050)</f>
        <v>0</v>
      </c>
      <c r="T1050" s="3"/>
      <c r="U1050" s="3"/>
      <c r="V1050" s="4"/>
    </row>
    <row r="1051" spans="1:22" x14ac:dyDescent="0.3">
      <c r="A1051" s="5">
        <f t="shared" si="49"/>
        <v>0</v>
      </c>
      <c r="B1051" s="6">
        <f t="shared" si="50"/>
        <v>0</v>
      </c>
      <c r="K1051" s="18">
        <f t="shared" si="48"/>
        <v>0</v>
      </c>
      <c r="L1051" s="21">
        <f>IF(ISERROR(VLOOKUP($F1051,#REF!,6,0)*G1051/1000),0,VLOOKUP($F1051,#REF!,6,0)*G1051/1000)</f>
        <v>0</v>
      </c>
      <c r="M1051" s="21">
        <f>IF(ISERROR(VLOOKUP($F1051,#REF!,6,0)*H1051/1000),0,VLOOKUP($F1051,#REF!,6,0)*H1051/1000)</f>
        <v>0</v>
      </c>
      <c r="N1051" s="21">
        <f>IF(ISERROR(VLOOKUP($F1051,#REF!,6,0)*I1051/1000),0,VLOOKUP($F1051,#REF!,6,0)*I1051/1000)</f>
        <v>0</v>
      </c>
      <c r="O1051" s="21">
        <f>IF(ISERROR(VLOOKUP($F1051,#REF!,6,0)*J1051/1000),0,VLOOKUP($F1051,#REF!,6,0)*J1051/1000)</f>
        <v>0</v>
      </c>
      <c r="P1051" s="21">
        <f>IF(ISERROR(VLOOKUP(F1051,#REF!,6,0)*K1051/1000),0,VLOOKUP(F1051,#REF!,6,0)*K1051/1000)</f>
        <v>0</v>
      </c>
      <c r="Q1051" s="6">
        <f>IF(ISERROR(VLOOKUP(F1051,#REF!,3,0)),0,VLOOKUP(F1051,#REF!,3,0))</f>
        <v>0</v>
      </c>
      <c r="R1051" s="6">
        <f>IF(ISERROR(VLOOKUP(F1051,#REF!,4,0)),0,VLOOKUP(F1051,#REF!,4,0))</f>
        <v>0</v>
      </c>
      <c r="S1051" s="8">
        <f>IF(ISERROR(VLOOKUP(F1051,#REF!,4,0)),0,VLOOKUP(F1051,#REF!,10,0)/60*K1051)</f>
        <v>0</v>
      </c>
      <c r="T1051" s="3"/>
      <c r="U1051" s="3"/>
      <c r="V1051" s="4"/>
    </row>
    <row r="1052" spans="1:22" x14ac:dyDescent="0.3">
      <c r="A1052" s="5">
        <f t="shared" si="49"/>
        <v>0</v>
      </c>
      <c r="B1052" s="6">
        <f t="shared" si="50"/>
        <v>0</v>
      </c>
      <c r="K1052" s="18">
        <f t="shared" si="48"/>
        <v>0</v>
      </c>
      <c r="L1052" s="21">
        <f>IF(ISERROR(VLOOKUP($F1052,#REF!,6,0)*G1052/1000),0,VLOOKUP($F1052,#REF!,6,0)*G1052/1000)</f>
        <v>0</v>
      </c>
      <c r="M1052" s="21">
        <f>IF(ISERROR(VLOOKUP($F1052,#REF!,6,0)*H1052/1000),0,VLOOKUP($F1052,#REF!,6,0)*H1052/1000)</f>
        <v>0</v>
      </c>
      <c r="N1052" s="21">
        <f>IF(ISERROR(VLOOKUP($F1052,#REF!,6,0)*I1052/1000),0,VLOOKUP($F1052,#REF!,6,0)*I1052/1000)</f>
        <v>0</v>
      </c>
      <c r="O1052" s="21">
        <f>IF(ISERROR(VLOOKUP($F1052,#REF!,6,0)*J1052/1000),0,VLOOKUP($F1052,#REF!,6,0)*J1052/1000)</f>
        <v>0</v>
      </c>
      <c r="P1052" s="21">
        <f>IF(ISERROR(VLOOKUP(F1052,#REF!,6,0)*K1052/1000),0,VLOOKUP(F1052,#REF!,6,0)*K1052/1000)</f>
        <v>0</v>
      </c>
      <c r="Q1052" s="6">
        <f>IF(ISERROR(VLOOKUP(F1052,#REF!,3,0)),0,VLOOKUP(F1052,#REF!,3,0))</f>
        <v>0</v>
      </c>
      <c r="R1052" s="6">
        <f>IF(ISERROR(VLOOKUP(F1052,#REF!,4,0)),0,VLOOKUP(F1052,#REF!,4,0))</f>
        <v>0</v>
      </c>
      <c r="S1052" s="8">
        <f>IF(ISERROR(VLOOKUP(F1052,#REF!,4,0)),0,VLOOKUP(F1052,#REF!,10,0)/60*K1052)</f>
        <v>0</v>
      </c>
      <c r="T1052" s="3"/>
      <c r="U1052" s="3"/>
      <c r="V1052" s="4"/>
    </row>
    <row r="1053" spans="1:22" x14ac:dyDescent="0.3">
      <c r="A1053" s="5">
        <f t="shared" si="49"/>
        <v>0</v>
      </c>
      <c r="B1053" s="6">
        <f t="shared" si="50"/>
        <v>0</v>
      </c>
      <c r="K1053" s="18">
        <f t="shared" si="48"/>
        <v>0</v>
      </c>
      <c r="L1053" s="21">
        <f>IF(ISERROR(VLOOKUP($F1053,#REF!,6,0)*G1053/1000),0,VLOOKUP($F1053,#REF!,6,0)*G1053/1000)</f>
        <v>0</v>
      </c>
      <c r="M1053" s="21">
        <f>IF(ISERROR(VLOOKUP($F1053,#REF!,6,0)*H1053/1000),0,VLOOKUP($F1053,#REF!,6,0)*H1053/1000)</f>
        <v>0</v>
      </c>
      <c r="N1053" s="21">
        <f>IF(ISERROR(VLOOKUP($F1053,#REF!,6,0)*I1053/1000),0,VLOOKUP($F1053,#REF!,6,0)*I1053/1000)</f>
        <v>0</v>
      </c>
      <c r="O1053" s="21">
        <f>IF(ISERROR(VLOOKUP($F1053,#REF!,6,0)*J1053/1000),0,VLOOKUP($F1053,#REF!,6,0)*J1053/1000)</f>
        <v>0</v>
      </c>
      <c r="P1053" s="21">
        <f>IF(ISERROR(VLOOKUP(F1053,#REF!,6,0)*K1053/1000),0,VLOOKUP(F1053,#REF!,6,0)*K1053/1000)</f>
        <v>0</v>
      </c>
      <c r="Q1053" s="6">
        <f>IF(ISERROR(VLOOKUP(F1053,#REF!,3,0)),0,VLOOKUP(F1053,#REF!,3,0))</f>
        <v>0</v>
      </c>
      <c r="R1053" s="6">
        <f>IF(ISERROR(VLOOKUP(F1053,#REF!,4,0)),0,VLOOKUP(F1053,#REF!,4,0))</f>
        <v>0</v>
      </c>
      <c r="S1053" s="8">
        <f>IF(ISERROR(VLOOKUP(F1053,#REF!,4,0)),0,VLOOKUP(F1053,#REF!,10,0)/60*K1053)</f>
        <v>0</v>
      </c>
      <c r="T1053" s="3"/>
      <c r="U1053" s="3"/>
      <c r="V1053" s="4"/>
    </row>
    <row r="1054" spans="1:22" x14ac:dyDescent="0.3">
      <c r="A1054" s="5">
        <f t="shared" si="49"/>
        <v>0</v>
      </c>
      <c r="B1054" s="6">
        <f t="shared" si="50"/>
        <v>0</v>
      </c>
      <c r="K1054" s="18">
        <f t="shared" si="48"/>
        <v>0</v>
      </c>
      <c r="L1054" s="21">
        <f>IF(ISERROR(VLOOKUP($F1054,#REF!,6,0)*G1054/1000),0,VLOOKUP($F1054,#REF!,6,0)*G1054/1000)</f>
        <v>0</v>
      </c>
      <c r="M1054" s="21">
        <f>IF(ISERROR(VLOOKUP($F1054,#REF!,6,0)*H1054/1000),0,VLOOKUP($F1054,#REF!,6,0)*H1054/1000)</f>
        <v>0</v>
      </c>
      <c r="N1054" s="21">
        <f>IF(ISERROR(VLOOKUP($F1054,#REF!,6,0)*I1054/1000),0,VLOOKUP($F1054,#REF!,6,0)*I1054/1000)</f>
        <v>0</v>
      </c>
      <c r="O1054" s="21">
        <f>IF(ISERROR(VLOOKUP($F1054,#REF!,6,0)*J1054/1000),0,VLOOKUP($F1054,#REF!,6,0)*J1054/1000)</f>
        <v>0</v>
      </c>
      <c r="P1054" s="21">
        <f>IF(ISERROR(VLOOKUP(F1054,#REF!,6,0)*K1054/1000),0,VLOOKUP(F1054,#REF!,6,0)*K1054/1000)</f>
        <v>0</v>
      </c>
      <c r="Q1054" s="6">
        <f>IF(ISERROR(VLOOKUP(F1054,#REF!,3,0)),0,VLOOKUP(F1054,#REF!,3,0))</f>
        <v>0</v>
      </c>
      <c r="R1054" s="6">
        <f>IF(ISERROR(VLOOKUP(F1054,#REF!,4,0)),0,VLOOKUP(F1054,#REF!,4,0))</f>
        <v>0</v>
      </c>
      <c r="S1054" s="8">
        <f>IF(ISERROR(VLOOKUP(F1054,#REF!,4,0)),0,VLOOKUP(F1054,#REF!,10,0)/60*K1054)</f>
        <v>0</v>
      </c>
      <c r="T1054" s="3"/>
      <c r="U1054" s="3"/>
      <c r="V1054" s="4"/>
    </row>
    <row r="1055" spans="1:22" x14ac:dyDescent="0.3">
      <c r="A1055" s="5">
        <f t="shared" si="49"/>
        <v>0</v>
      </c>
      <c r="B1055" s="6">
        <f t="shared" si="50"/>
        <v>0</v>
      </c>
      <c r="K1055" s="18">
        <f t="shared" si="48"/>
        <v>0</v>
      </c>
      <c r="L1055" s="21">
        <f>IF(ISERROR(VLOOKUP($F1055,#REF!,6,0)*G1055/1000),0,VLOOKUP($F1055,#REF!,6,0)*G1055/1000)</f>
        <v>0</v>
      </c>
      <c r="M1055" s="21">
        <f>IF(ISERROR(VLOOKUP($F1055,#REF!,6,0)*H1055/1000),0,VLOOKUP($F1055,#REF!,6,0)*H1055/1000)</f>
        <v>0</v>
      </c>
      <c r="N1055" s="21">
        <f>IF(ISERROR(VLOOKUP($F1055,#REF!,6,0)*I1055/1000),0,VLOOKUP($F1055,#REF!,6,0)*I1055/1000)</f>
        <v>0</v>
      </c>
      <c r="O1055" s="21">
        <f>IF(ISERROR(VLOOKUP($F1055,#REF!,6,0)*J1055/1000),0,VLOOKUP($F1055,#REF!,6,0)*J1055/1000)</f>
        <v>0</v>
      </c>
      <c r="P1055" s="21">
        <f>IF(ISERROR(VLOOKUP(F1055,#REF!,6,0)*K1055/1000),0,VLOOKUP(F1055,#REF!,6,0)*K1055/1000)</f>
        <v>0</v>
      </c>
      <c r="Q1055" s="6">
        <f>IF(ISERROR(VLOOKUP(F1055,#REF!,3,0)),0,VLOOKUP(F1055,#REF!,3,0))</f>
        <v>0</v>
      </c>
      <c r="R1055" s="6">
        <f>IF(ISERROR(VLOOKUP(F1055,#REF!,4,0)),0,VLOOKUP(F1055,#REF!,4,0))</f>
        <v>0</v>
      </c>
      <c r="S1055" s="8">
        <f>IF(ISERROR(VLOOKUP(F1055,#REF!,4,0)),0,VLOOKUP(F1055,#REF!,10,0)/60*K1055)</f>
        <v>0</v>
      </c>
      <c r="T1055" s="3"/>
      <c r="U1055" s="3"/>
      <c r="V1055" s="4"/>
    </row>
    <row r="1056" spans="1:22" x14ac:dyDescent="0.3">
      <c r="A1056" s="5">
        <f t="shared" si="49"/>
        <v>0</v>
      </c>
      <c r="B1056" s="6">
        <f t="shared" si="50"/>
        <v>0</v>
      </c>
      <c r="K1056" s="18">
        <f t="shared" si="48"/>
        <v>0</v>
      </c>
      <c r="L1056" s="21">
        <f>IF(ISERROR(VLOOKUP($F1056,#REF!,6,0)*G1056/1000),0,VLOOKUP($F1056,#REF!,6,0)*G1056/1000)</f>
        <v>0</v>
      </c>
      <c r="M1056" s="21">
        <f>IF(ISERROR(VLOOKUP($F1056,#REF!,6,0)*H1056/1000),0,VLOOKUP($F1056,#REF!,6,0)*H1056/1000)</f>
        <v>0</v>
      </c>
      <c r="N1056" s="21">
        <f>IF(ISERROR(VLOOKUP($F1056,#REF!,6,0)*I1056/1000),0,VLOOKUP($F1056,#REF!,6,0)*I1056/1000)</f>
        <v>0</v>
      </c>
      <c r="O1056" s="21">
        <f>IF(ISERROR(VLOOKUP($F1056,#REF!,6,0)*J1056/1000),0,VLOOKUP($F1056,#REF!,6,0)*J1056/1000)</f>
        <v>0</v>
      </c>
      <c r="P1056" s="21">
        <f>IF(ISERROR(VLOOKUP(F1056,#REF!,6,0)*K1056/1000),0,VLOOKUP(F1056,#REF!,6,0)*K1056/1000)</f>
        <v>0</v>
      </c>
      <c r="Q1056" s="6">
        <f>IF(ISERROR(VLOOKUP(F1056,#REF!,3,0)),0,VLOOKUP(F1056,#REF!,3,0))</f>
        <v>0</v>
      </c>
      <c r="R1056" s="6">
        <f>IF(ISERROR(VLOOKUP(F1056,#REF!,4,0)),0,VLOOKUP(F1056,#REF!,4,0))</f>
        <v>0</v>
      </c>
      <c r="S1056" s="8">
        <f>IF(ISERROR(VLOOKUP(F1056,#REF!,4,0)),0,VLOOKUP(F1056,#REF!,10,0)/60*K1056)</f>
        <v>0</v>
      </c>
      <c r="T1056" s="3"/>
      <c r="U1056" s="3"/>
      <c r="V1056" s="4"/>
    </row>
    <row r="1057" spans="1:22" x14ac:dyDescent="0.3">
      <c r="A1057" s="5">
        <f t="shared" si="49"/>
        <v>0</v>
      </c>
      <c r="B1057" s="6">
        <f t="shared" si="50"/>
        <v>0</v>
      </c>
      <c r="K1057" s="18">
        <f t="shared" si="48"/>
        <v>0</v>
      </c>
      <c r="L1057" s="21">
        <f>IF(ISERROR(VLOOKUP($F1057,#REF!,6,0)*G1057/1000),0,VLOOKUP($F1057,#REF!,6,0)*G1057/1000)</f>
        <v>0</v>
      </c>
      <c r="M1057" s="21">
        <f>IF(ISERROR(VLOOKUP($F1057,#REF!,6,0)*H1057/1000),0,VLOOKUP($F1057,#REF!,6,0)*H1057/1000)</f>
        <v>0</v>
      </c>
      <c r="N1057" s="21">
        <f>IF(ISERROR(VLOOKUP($F1057,#REF!,6,0)*I1057/1000),0,VLOOKUP($F1057,#REF!,6,0)*I1057/1000)</f>
        <v>0</v>
      </c>
      <c r="O1057" s="21">
        <f>IF(ISERROR(VLOOKUP($F1057,#REF!,6,0)*J1057/1000),0,VLOOKUP($F1057,#REF!,6,0)*J1057/1000)</f>
        <v>0</v>
      </c>
      <c r="P1057" s="21">
        <f>IF(ISERROR(VLOOKUP(F1057,#REF!,6,0)*K1057/1000),0,VLOOKUP(F1057,#REF!,6,0)*K1057/1000)</f>
        <v>0</v>
      </c>
      <c r="Q1057" s="6">
        <f>IF(ISERROR(VLOOKUP(F1057,#REF!,3,0)),0,VLOOKUP(F1057,#REF!,3,0))</f>
        <v>0</v>
      </c>
      <c r="R1057" s="6">
        <f>IF(ISERROR(VLOOKUP(F1057,#REF!,4,0)),0,VLOOKUP(F1057,#REF!,4,0))</f>
        <v>0</v>
      </c>
      <c r="S1057" s="8">
        <f>IF(ISERROR(VLOOKUP(F1057,#REF!,4,0)),0,VLOOKUP(F1057,#REF!,10,0)/60*K1057)</f>
        <v>0</v>
      </c>
      <c r="T1057" s="3"/>
      <c r="U1057" s="3"/>
      <c r="V1057" s="4"/>
    </row>
    <row r="1058" spans="1:22" x14ac:dyDescent="0.3">
      <c r="A1058" s="5">
        <f t="shared" si="49"/>
        <v>0</v>
      </c>
      <c r="B1058" s="6">
        <f t="shared" si="50"/>
        <v>0</v>
      </c>
      <c r="K1058" s="18">
        <f t="shared" si="48"/>
        <v>0</v>
      </c>
      <c r="L1058" s="21">
        <f>IF(ISERROR(VLOOKUP($F1058,#REF!,6,0)*G1058/1000),0,VLOOKUP($F1058,#REF!,6,0)*G1058/1000)</f>
        <v>0</v>
      </c>
      <c r="M1058" s="21">
        <f>IF(ISERROR(VLOOKUP($F1058,#REF!,6,0)*H1058/1000),0,VLOOKUP($F1058,#REF!,6,0)*H1058/1000)</f>
        <v>0</v>
      </c>
      <c r="N1058" s="21">
        <f>IF(ISERROR(VLOOKUP($F1058,#REF!,6,0)*I1058/1000),0,VLOOKUP($F1058,#REF!,6,0)*I1058/1000)</f>
        <v>0</v>
      </c>
      <c r="O1058" s="21">
        <f>IF(ISERROR(VLOOKUP($F1058,#REF!,6,0)*J1058/1000),0,VLOOKUP($F1058,#REF!,6,0)*J1058/1000)</f>
        <v>0</v>
      </c>
      <c r="P1058" s="21">
        <f>IF(ISERROR(VLOOKUP(F1058,#REF!,6,0)*K1058/1000),0,VLOOKUP(F1058,#REF!,6,0)*K1058/1000)</f>
        <v>0</v>
      </c>
      <c r="Q1058" s="6">
        <f>IF(ISERROR(VLOOKUP(F1058,#REF!,3,0)),0,VLOOKUP(F1058,#REF!,3,0))</f>
        <v>0</v>
      </c>
      <c r="R1058" s="6">
        <f>IF(ISERROR(VLOOKUP(F1058,#REF!,4,0)),0,VLOOKUP(F1058,#REF!,4,0))</f>
        <v>0</v>
      </c>
      <c r="S1058" s="8">
        <f>IF(ISERROR(VLOOKUP(F1058,#REF!,4,0)),0,VLOOKUP(F1058,#REF!,10,0)/60*K1058)</f>
        <v>0</v>
      </c>
      <c r="T1058" s="3"/>
      <c r="U1058" s="3"/>
      <c r="V1058" s="4"/>
    </row>
    <row r="1059" spans="1:22" x14ac:dyDescent="0.3">
      <c r="A1059" s="5">
        <f t="shared" si="49"/>
        <v>0</v>
      </c>
      <c r="B1059" s="6">
        <f t="shared" si="50"/>
        <v>0</v>
      </c>
      <c r="K1059" s="18">
        <f t="shared" si="48"/>
        <v>0</v>
      </c>
      <c r="L1059" s="21">
        <f>IF(ISERROR(VLOOKUP($F1059,#REF!,6,0)*G1059/1000),0,VLOOKUP($F1059,#REF!,6,0)*G1059/1000)</f>
        <v>0</v>
      </c>
      <c r="M1059" s="21">
        <f>IF(ISERROR(VLOOKUP($F1059,#REF!,6,0)*H1059/1000),0,VLOOKUP($F1059,#REF!,6,0)*H1059/1000)</f>
        <v>0</v>
      </c>
      <c r="N1059" s="21">
        <f>IF(ISERROR(VLOOKUP($F1059,#REF!,6,0)*I1059/1000),0,VLOOKUP($F1059,#REF!,6,0)*I1059/1000)</f>
        <v>0</v>
      </c>
      <c r="O1059" s="21">
        <f>IF(ISERROR(VLOOKUP($F1059,#REF!,6,0)*J1059/1000),0,VLOOKUP($F1059,#REF!,6,0)*J1059/1000)</f>
        <v>0</v>
      </c>
      <c r="P1059" s="21">
        <f>IF(ISERROR(VLOOKUP(F1059,#REF!,6,0)*K1059/1000),0,VLOOKUP(F1059,#REF!,6,0)*K1059/1000)</f>
        <v>0</v>
      </c>
      <c r="Q1059" s="6">
        <f>IF(ISERROR(VLOOKUP(F1059,#REF!,3,0)),0,VLOOKUP(F1059,#REF!,3,0))</f>
        <v>0</v>
      </c>
      <c r="R1059" s="6">
        <f>IF(ISERROR(VLOOKUP(F1059,#REF!,4,0)),0,VLOOKUP(F1059,#REF!,4,0))</f>
        <v>0</v>
      </c>
      <c r="S1059" s="8">
        <f>IF(ISERROR(VLOOKUP(F1059,#REF!,4,0)),0,VLOOKUP(F1059,#REF!,10,0)/60*K1059)</f>
        <v>0</v>
      </c>
      <c r="T1059" s="3"/>
      <c r="U1059" s="3"/>
      <c r="V1059" s="4"/>
    </row>
    <row r="1060" spans="1:22" x14ac:dyDescent="0.3">
      <c r="A1060" s="5">
        <f t="shared" si="49"/>
        <v>0</v>
      </c>
      <c r="B1060" s="6">
        <f t="shared" si="50"/>
        <v>0</v>
      </c>
      <c r="K1060" s="18">
        <f t="shared" si="48"/>
        <v>0</v>
      </c>
      <c r="L1060" s="21">
        <f>IF(ISERROR(VLOOKUP($F1060,#REF!,6,0)*G1060/1000),0,VLOOKUP($F1060,#REF!,6,0)*G1060/1000)</f>
        <v>0</v>
      </c>
      <c r="M1060" s="21">
        <f>IF(ISERROR(VLOOKUP($F1060,#REF!,6,0)*H1060/1000),0,VLOOKUP($F1060,#REF!,6,0)*H1060/1000)</f>
        <v>0</v>
      </c>
      <c r="N1060" s="21">
        <f>IF(ISERROR(VLOOKUP($F1060,#REF!,6,0)*I1060/1000),0,VLOOKUP($F1060,#REF!,6,0)*I1060/1000)</f>
        <v>0</v>
      </c>
      <c r="O1060" s="21">
        <f>IF(ISERROR(VLOOKUP($F1060,#REF!,6,0)*J1060/1000),0,VLOOKUP($F1060,#REF!,6,0)*J1060/1000)</f>
        <v>0</v>
      </c>
      <c r="P1060" s="21">
        <f>IF(ISERROR(VLOOKUP(F1060,#REF!,6,0)*K1060/1000),0,VLOOKUP(F1060,#REF!,6,0)*K1060/1000)</f>
        <v>0</v>
      </c>
      <c r="Q1060" s="6">
        <f>IF(ISERROR(VLOOKUP(F1060,#REF!,3,0)),0,VLOOKUP(F1060,#REF!,3,0))</f>
        <v>0</v>
      </c>
      <c r="R1060" s="6">
        <f>IF(ISERROR(VLOOKUP(F1060,#REF!,4,0)),0,VLOOKUP(F1060,#REF!,4,0))</f>
        <v>0</v>
      </c>
      <c r="S1060" s="8">
        <f>IF(ISERROR(VLOOKUP(F1060,#REF!,4,0)),0,VLOOKUP(F1060,#REF!,10,0)/60*K1060)</f>
        <v>0</v>
      </c>
      <c r="T1060" s="3"/>
      <c r="U1060" s="3"/>
      <c r="V1060" s="4"/>
    </row>
    <row r="1061" spans="1:22" x14ac:dyDescent="0.3">
      <c r="A1061" s="5">
        <f t="shared" si="49"/>
        <v>0</v>
      </c>
      <c r="B1061" s="6">
        <f t="shared" si="50"/>
        <v>0</v>
      </c>
      <c r="K1061" s="18">
        <f t="shared" si="48"/>
        <v>0</v>
      </c>
      <c r="L1061" s="21">
        <f>IF(ISERROR(VLOOKUP($F1061,#REF!,6,0)*G1061/1000),0,VLOOKUP($F1061,#REF!,6,0)*G1061/1000)</f>
        <v>0</v>
      </c>
      <c r="M1061" s="21">
        <f>IF(ISERROR(VLOOKUP($F1061,#REF!,6,0)*H1061/1000),0,VLOOKUP($F1061,#REF!,6,0)*H1061/1000)</f>
        <v>0</v>
      </c>
      <c r="N1061" s="21">
        <f>IF(ISERROR(VLOOKUP($F1061,#REF!,6,0)*I1061/1000),0,VLOOKUP($F1061,#REF!,6,0)*I1061/1000)</f>
        <v>0</v>
      </c>
      <c r="O1061" s="21">
        <f>IF(ISERROR(VLOOKUP($F1061,#REF!,6,0)*J1061/1000),0,VLOOKUP($F1061,#REF!,6,0)*J1061/1000)</f>
        <v>0</v>
      </c>
      <c r="P1061" s="21">
        <f>IF(ISERROR(VLOOKUP(F1061,#REF!,6,0)*K1061/1000),0,VLOOKUP(F1061,#REF!,6,0)*K1061/1000)</f>
        <v>0</v>
      </c>
      <c r="Q1061" s="6">
        <f>IF(ISERROR(VLOOKUP(F1061,#REF!,3,0)),0,VLOOKUP(F1061,#REF!,3,0))</f>
        <v>0</v>
      </c>
      <c r="R1061" s="6">
        <f>IF(ISERROR(VLOOKUP(F1061,#REF!,4,0)),0,VLOOKUP(F1061,#REF!,4,0))</f>
        <v>0</v>
      </c>
      <c r="S1061" s="8">
        <f>IF(ISERROR(VLOOKUP(F1061,#REF!,4,0)),0,VLOOKUP(F1061,#REF!,10,0)/60*K1061)</f>
        <v>0</v>
      </c>
      <c r="T1061" s="3"/>
      <c r="U1061" s="3"/>
      <c r="V1061" s="4"/>
    </row>
    <row r="1062" spans="1:22" x14ac:dyDescent="0.3">
      <c r="A1062" s="5">
        <f t="shared" si="49"/>
        <v>0</v>
      </c>
      <c r="B1062" s="6">
        <f t="shared" si="50"/>
        <v>0</v>
      </c>
      <c r="K1062" s="18">
        <f t="shared" si="48"/>
        <v>0</v>
      </c>
      <c r="L1062" s="21">
        <f>IF(ISERROR(VLOOKUP($F1062,#REF!,6,0)*G1062/1000),0,VLOOKUP($F1062,#REF!,6,0)*G1062/1000)</f>
        <v>0</v>
      </c>
      <c r="M1062" s="21">
        <f>IF(ISERROR(VLOOKUP($F1062,#REF!,6,0)*H1062/1000),0,VLOOKUP($F1062,#REF!,6,0)*H1062/1000)</f>
        <v>0</v>
      </c>
      <c r="N1062" s="21">
        <f>IF(ISERROR(VLOOKUP($F1062,#REF!,6,0)*I1062/1000),0,VLOOKUP($F1062,#REF!,6,0)*I1062/1000)</f>
        <v>0</v>
      </c>
      <c r="O1062" s="21">
        <f>IF(ISERROR(VLOOKUP($F1062,#REF!,6,0)*J1062/1000),0,VLOOKUP($F1062,#REF!,6,0)*J1062/1000)</f>
        <v>0</v>
      </c>
      <c r="P1062" s="21">
        <f>IF(ISERROR(VLOOKUP(F1062,#REF!,6,0)*K1062/1000),0,VLOOKUP(F1062,#REF!,6,0)*K1062/1000)</f>
        <v>0</v>
      </c>
      <c r="Q1062" s="6">
        <f>IF(ISERROR(VLOOKUP(F1062,#REF!,3,0)),0,VLOOKUP(F1062,#REF!,3,0))</f>
        <v>0</v>
      </c>
      <c r="R1062" s="6">
        <f>IF(ISERROR(VLOOKUP(F1062,#REF!,4,0)),0,VLOOKUP(F1062,#REF!,4,0))</f>
        <v>0</v>
      </c>
      <c r="S1062" s="8">
        <f>IF(ISERROR(VLOOKUP(F1062,#REF!,4,0)),0,VLOOKUP(F1062,#REF!,10,0)/60*K1062)</f>
        <v>0</v>
      </c>
      <c r="T1062" s="3"/>
      <c r="U1062" s="3"/>
      <c r="V1062" s="4"/>
    </row>
    <row r="1063" spans="1:22" x14ac:dyDescent="0.3">
      <c r="A1063" s="5">
        <f t="shared" si="49"/>
        <v>0</v>
      </c>
      <c r="B1063" s="6">
        <f t="shared" si="50"/>
        <v>0</v>
      </c>
      <c r="K1063" s="18">
        <f t="shared" si="48"/>
        <v>0</v>
      </c>
      <c r="L1063" s="21">
        <f>IF(ISERROR(VLOOKUP($F1063,#REF!,6,0)*G1063/1000),0,VLOOKUP($F1063,#REF!,6,0)*G1063/1000)</f>
        <v>0</v>
      </c>
      <c r="M1063" s="21">
        <f>IF(ISERROR(VLOOKUP($F1063,#REF!,6,0)*H1063/1000),0,VLOOKUP($F1063,#REF!,6,0)*H1063/1000)</f>
        <v>0</v>
      </c>
      <c r="N1063" s="21">
        <f>IF(ISERROR(VLOOKUP($F1063,#REF!,6,0)*I1063/1000),0,VLOOKUP($F1063,#REF!,6,0)*I1063/1000)</f>
        <v>0</v>
      </c>
      <c r="O1063" s="21">
        <f>IF(ISERROR(VLOOKUP($F1063,#REF!,6,0)*J1063/1000),0,VLOOKUP($F1063,#REF!,6,0)*J1063/1000)</f>
        <v>0</v>
      </c>
      <c r="P1063" s="21">
        <f>IF(ISERROR(VLOOKUP(F1063,#REF!,6,0)*K1063/1000),0,VLOOKUP(F1063,#REF!,6,0)*K1063/1000)</f>
        <v>0</v>
      </c>
      <c r="Q1063" s="6">
        <f>IF(ISERROR(VLOOKUP(F1063,#REF!,3,0)),0,VLOOKUP(F1063,#REF!,3,0))</f>
        <v>0</v>
      </c>
      <c r="R1063" s="6">
        <f>IF(ISERROR(VLOOKUP(F1063,#REF!,4,0)),0,VLOOKUP(F1063,#REF!,4,0))</f>
        <v>0</v>
      </c>
      <c r="S1063" s="8">
        <f>IF(ISERROR(VLOOKUP(F1063,#REF!,4,0)),0,VLOOKUP(F1063,#REF!,10,0)/60*K1063)</f>
        <v>0</v>
      </c>
      <c r="T1063" s="3"/>
      <c r="U1063" s="3"/>
      <c r="V1063" s="4"/>
    </row>
    <row r="1064" spans="1:22" x14ac:dyDescent="0.3">
      <c r="A1064" s="5">
        <f t="shared" si="49"/>
        <v>0</v>
      </c>
      <c r="B1064" s="6">
        <f t="shared" si="50"/>
        <v>0</v>
      </c>
      <c r="K1064" s="18">
        <f t="shared" si="48"/>
        <v>0</v>
      </c>
      <c r="L1064" s="21">
        <f>IF(ISERROR(VLOOKUP($F1064,#REF!,6,0)*G1064/1000),0,VLOOKUP($F1064,#REF!,6,0)*G1064/1000)</f>
        <v>0</v>
      </c>
      <c r="M1064" s="21">
        <f>IF(ISERROR(VLOOKUP($F1064,#REF!,6,0)*H1064/1000),0,VLOOKUP($F1064,#REF!,6,0)*H1064/1000)</f>
        <v>0</v>
      </c>
      <c r="N1064" s="21">
        <f>IF(ISERROR(VLOOKUP($F1064,#REF!,6,0)*I1064/1000),0,VLOOKUP($F1064,#REF!,6,0)*I1064/1000)</f>
        <v>0</v>
      </c>
      <c r="O1064" s="21">
        <f>IF(ISERROR(VLOOKUP($F1064,#REF!,6,0)*J1064/1000),0,VLOOKUP($F1064,#REF!,6,0)*J1064/1000)</f>
        <v>0</v>
      </c>
      <c r="P1064" s="21">
        <f>IF(ISERROR(VLOOKUP(F1064,#REF!,6,0)*K1064/1000),0,VLOOKUP(F1064,#REF!,6,0)*K1064/1000)</f>
        <v>0</v>
      </c>
      <c r="Q1064" s="6">
        <f>IF(ISERROR(VLOOKUP(F1064,#REF!,3,0)),0,VLOOKUP(F1064,#REF!,3,0))</f>
        <v>0</v>
      </c>
      <c r="R1064" s="6">
        <f>IF(ISERROR(VLOOKUP(F1064,#REF!,4,0)),0,VLOOKUP(F1064,#REF!,4,0))</f>
        <v>0</v>
      </c>
      <c r="S1064" s="8">
        <f>IF(ISERROR(VLOOKUP(F1064,#REF!,4,0)),0,VLOOKUP(F1064,#REF!,10,0)/60*K1064)</f>
        <v>0</v>
      </c>
      <c r="T1064" s="3"/>
      <c r="U1064" s="3"/>
      <c r="V1064" s="4"/>
    </row>
    <row r="1065" spans="1:22" x14ac:dyDescent="0.3">
      <c r="A1065" s="5">
        <f t="shared" si="49"/>
        <v>0</v>
      </c>
      <c r="B1065" s="6">
        <f t="shared" si="50"/>
        <v>0</v>
      </c>
      <c r="K1065" s="18">
        <f t="shared" si="48"/>
        <v>0</v>
      </c>
      <c r="L1065" s="21">
        <f>IF(ISERROR(VLOOKUP($F1065,#REF!,6,0)*G1065/1000),0,VLOOKUP($F1065,#REF!,6,0)*G1065/1000)</f>
        <v>0</v>
      </c>
      <c r="M1065" s="21">
        <f>IF(ISERROR(VLOOKUP($F1065,#REF!,6,0)*H1065/1000),0,VLOOKUP($F1065,#REF!,6,0)*H1065/1000)</f>
        <v>0</v>
      </c>
      <c r="N1065" s="21">
        <f>IF(ISERROR(VLOOKUP($F1065,#REF!,6,0)*I1065/1000),0,VLOOKUP($F1065,#REF!,6,0)*I1065/1000)</f>
        <v>0</v>
      </c>
      <c r="O1065" s="21">
        <f>IF(ISERROR(VLOOKUP($F1065,#REF!,6,0)*J1065/1000),0,VLOOKUP($F1065,#REF!,6,0)*J1065/1000)</f>
        <v>0</v>
      </c>
      <c r="P1065" s="21">
        <f>IF(ISERROR(VLOOKUP(F1065,#REF!,6,0)*K1065/1000),0,VLOOKUP(F1065,#REF!,6,0)*K1065/1000)</f>
        <v>0</v>
      </c>
      <c r="Q1065" s="6">
        <f>IF(ISERROR(VLOOKUP(F1065,#REF!,3,0)),0,VLOOKUP(F1065,#REF!,3,0))</f>
        <v>0</v>
      </c>
      <c r="R1065" s="6">
        <f>IF(ISERROR(VLOOKUP(F1065,#REF!,4,0)),0,VLOOKUP(F1065,#REF!,4,0))</f>
        <v>0</v>
      </c>
      <c r="S1065" s="8">
        <f>IF(ISERROR(VLOOKUP(F1065,#REF!,4,0)),0,VLOOKUP(F1065,#REF!,10,0)/60*K1065)</f>
        <v>0</v>
      </c>
      <c r="T1065" s="3"/>
      <c r="U1065" s="3"/>
      <c r="V1065" s="4"/>
    </row>
    <row r="1066" spans="1:22" x14ac:dyDescent="0.3">
      <c r="A1066" s="5">
        <f t="shared" si="49"/>
        <v>0</v>
      </c>
      <c r="B1066" s="6">
        <f t="shared" si="50"/>
        <v>0</v>
      </c>
      <c r="K1066" s="18">
        <f t="shared" si="48"/>
        <v>0</v>
      </c>
      <c r="L1066" s="21">
        <f>IF(ISERROR(VLOOKUP($F1066,#REF!,6,0)*G1066/1000),0,VLOOKUP($F1066,#REF!,6,0)*G1066/1000)</f>
        <v>0</v>
      </c>
      <c r="M1066" s="21">
        <f>IF(ISERROR(VLOOKUP($F1066,#REF!,6,0)*H1066/1000),0,VLOOKUP($F1066,#REF!,6,0)*H1066/1000)</f>
        <v>0</v>
      </c>
      <c r="N1066" s="21">
        <f>IF(ISERROR(VLOOKUP($F1066,#REF!,6,0)*I1066/1000),0,VLOOKUP($F1066,#REF!,6,0)*I1066/1000)</f>
        <v>0</v>
      </c>
      <c r="O1066" s="21">
        <f>IF(ISERROR(VLOOKUP($F1066,#REF!,6,0)*J1066/1000),0,VLOOKUP($F1066,#REF!,6,0)*J1066/1000)</f>
        <v>0</v>
      </c>
      <c r="P1066" s="21">
        <f>IF(ISERROR(VLOOKUP(F1066,#REF!,6,0)*K1066/1000),0,VLOOKUP(F1066,#REF!,6,0)*K1066/1000)</f>
        <v>0</v>
      </c>
      <c r="Q1066" s="6">
        <f>IF(ISERROR(VLOOKUP(F1066,#REF!,3,0)),0,VLOOKUP(F1066,#REF!,3,0))</f>
        <v>0</v>
      </c>
      <c r="R1066" s="6">
        <f>IF(ISERROR(VLOOKUP(F1066,#REF!,4,0)),0,VLOOKUP(F1066,#REF!,4,0))</f>
        <v>0</v>
      </c>
      <c r="S1066" s="8">
        <f>IF(ISERROR(VLOOKUP(F1066,#REF!,4,0)),0,VLOOKUP(F1066,#REF!,10,0)/60*K1066)</f>
        <v>0</v>
      </c>
      <c r="T1066" s="3"/>
      <c r="U1066" s="3"/>
      <c r="V1066" s="4"/>
    </row>
    <row r="1067" spans="1:22" x14ac:dyDescent="0.3">
      <c r="A1067" s="5">
        <f t="shared" si="49"/>
        <v>0</v>
      </c>
      <c r="B1067" s="6">
        <f t="shared" si="50"/>
        <v>0</v>
      </c>
      <c r="K1067" s="18">
        <f t="shared" si="48"/>
        <v>0</v>
      </c>
      <c r="L1067" s="21">
        <f>IF(ISERROR(VLOOKUP($F1067,#REF!,6,0)*G1067/1000),0,VLOOKUP($F1067,#REF!,6,0)*G1067/1000)</f>
        <v>0</v>
      </c>
      <c r="M1067" s="21">
        <f>IF(ISERROR(VLOOKUP($F1067,#REF!,6,0)*H1067/1000),0,VLOOKUP($F1067,#REF!,6,0)*H1067/1000)</f>
        <v>0</v>
      </c>
      <c r="N1067" s="21">
        <f>IF(ISERROR(VLOOKUP($F1067,#REF!,6,0)*I1067/1000),0,VLOOKUP($F1067,#REF!,6,0)*I1067/1000)</f>
        <v>0</v>
      </c>
      <c r="O1067" s="21">
        <f>IF(ISERROR(VLOOKUP($F1067,#REF!,6,0)*J1067/1000),0,VLOOKUP($F1067,#REF!,6,0)*J1067/1000)</f>
        <v>0</v>
      </c>
      <c r="P1067" s="21">
        <f>IF(ISERROR(VLOOKUP(F1067,#REF!,6,0)*K1067/1000),0,VLOOKUP(F1067,#REF!,6,0)*K1067/1000)</f>
        <v>0</v>
      </c>
      <c r="Q1067" s="6">
        <f>IF(ISERROR(VLOOKUP(F1067,#REF!,3,0)),0,VLOOKUP(F1067,#REF!,3,0))</f>
        <v>0</v>
      </c>
      <c r="R1067" s="6">
        <f>IF(ISERROR(VLOOKUP(F1067,#REF!,4,0)),0,VLOOKUP(F1067,#REF!,4,0))</f>
        <v>0</v>
      </c>
      <c r="S1067" s="8">
        <f>IF(ISERROR(VLOOKUP(F1067,#REF!,4,0)),0,VLOOKUP(F1067,#REF!,10,0)/60*K1067)</f>
        <v>0</v>
      </c>
      <c r="T1067" s="3"/>
      <c r="U1067" s="3"/>
      <c r="V1067" s="4"/>
    </row>
    <row r="1068" spans="1:22" x14ac:dyDescent="0.3">
      <c r="A1068" s="5">
        <f t="shared" si="49"/>
        <v>0</v>
      </c>
      <c r="B1068" s="6">
        <f t="shared" si="50"/>
        <v>0</v>
      </c>
      <c r="K1068" s="18">
        <f t="shared" si="48"/>
        <v>0</v>
      </c>
      <c r="L1068" s="21">
        <f>IF(ISERROR(VLOOKUP($F1068,#REF!,6,0)*G1068/1000),0,VLOOKUP($F1068,#REF!,6,0)*G1068/1000)</f>
        <v>0</v>
      </c>
      <c r="M1068" s="21">
        <f>IF(ISERROR(VLOOKUP($F1068,#REF!,6,0)*H1068/1000),0,VLOOKUP($F1068,#REF!,6,0)*H1068/1000)</f>
        <v>0</v>
      </c>
      <c r="N1068" s="21">
        <f>IF(ISERROR(VLOOKUP($F1068,#REF!,6,0)*I1068/1000),0,VLOOKUP($F1068,#REF!,6,0)*I1068/1000)</f>
        <v>0</v>
      </c>
      <c r="O1068" s="21">
        <f>IF(ISERROR(VLOOKUP($F1068,#REF!,6,0)*J1068/1000),0,VLOOKUP($F1068,#REF!,6,0)*J1068/1000)</f>
        <v>0</v>
      </c>
      <c r="P1068" s="21">
        <f>IF(ISERROR(VLOOKUP(F1068,#REF!,6,0)*K1068/1000),0,VLOOKUP(F1068,#REF!,6,0)*K1068/1000)</f>
        <v>0</v>
      </c>
      <c r="Q1068" s="6">
        <f>IF(ISERROR(VLOOKUP(F1068,#REF!,3,0)),0,VLOOKUP(F1068,#REF!,3,0))</f>
        <v>0</v>
      </c>
      <c r="R1068" s="6">
        <f>IF(ISERROR(VLOOKUP(F1068,#REF!,4,0)),0,VLOOKUP(F1068,#REF!,4,0))</f>
        <v>0</v>
      </c>
      <c r="S1068" s="8">
        <f>IF(ISERROR(VLOOKUP(F1068,#REF!,4,0)),0,VLOOKUP(F1068,#REF!,10,0)/60*K1068)</f>
        <v>0</v>
      </c>
      <c r="T1068" s="3"/>
      <c r="U1068" s="3"/>
      <c r="V1068" s="4"/>
    </row>
    <row r="1069" spans="1:22" x14ac:dyDescent="0.3">
      <c r="A1069" s="5">
        <f t="shared" si="49"/>
        <v>0</v>
      </c>
      <c r="B1069" s="6">
        <f t="shared" si="50"/>
        <v>0</v>
      </c>
      <c r="K1069" s="18">
        <f t="shared" si="48"/>
        <v>0</v>
      </c>
      <c r="L1069" s="21">
        <f>IF(ISERROR(VLOOKUP($F1069,#REF!,6,0)*G1069/1000),0,VLOOKUP($F1069,#REF!,6,0)*G1069/1000)</f>
        <v>0</v>
      </c>
      <c r="M1069" s="21">
        <f>IF(ISERROR(VLOOKUP($F1069,#REF!,6,0)*H1069/1000),0,VLOOKUP($F1069,#REF!,6,0)*H1069/1000)</f>
        <v>0</v>
      </c>
      <c r="N1069" s="21">
        <f>IF(ISERROR(VLOOKUP($F1069,#REF!,6,0)*I1069/1000),0,VLOOKUP($F1069,#REF!,6,0)*I1069/1000)</f>
        <v>0</v>
      </c>
      <c r="O1069" s="21">
        <f>IF(ISERROR(VLOOKUP($F1069,#REF!,6,0)*J1069/1000),0,VLOOKUP($F1069,#REF!,6,0)*J1069/1000)</f>
        <v>0</v>
      </c>
      <c r="P1069" s="21">
        <f>IF(ISERROR(VLOOKUP(F1069,#REF!,6,0)*K1069/1000),0,VLOOKUP(F1069,#REF!,6,0)*K1069/1000)</f>
        <v>0</v>
      </c>
      <c r="Q1069" s="6">
        <f>IF(ISERROR(VLOOKUP(F1069,#REF!,3,0)),0,VLOOKUP(F1069,#REF!,3,0))</f>
        <v>0</v>
      </c>
      <c r="R1069" s="6">
        <f>IF(ISERROR(VLOOKUP(F1069,#REF!,4,0)),0,VLOOKUP(F1069,#REF!,4,0))</f>
        <v>0</v>
      </c>
      <c r="S1069" s="8">
        <f>IF(ISERROR(VLOOKUP(F1069,#REF!,4,0)),0,VLOOKUP(F1069,#REF!,10,0)/60*K1069)</f>
        <v>0</v>
      </c>
      <c r="T1069" s="3"/>
      <c r="U1069" s="3"/>
      <c r="V1069" s="4"/>
    </row>
    <row r="1070" spans="1:22" x14ac:dyDescent="0.3">
      <c r="A1070" s="5">
        <f t="shared" si="49"/>
        <v>0</v>
      </c>
      <c r="B1070" s="6">
        <f t="shared" si="50"/>
        <v>0</v>
      </c>
      <c r="K1070" s="18">
        <f t="shared" si="48"/>
        <v>0</v>
      </c>
      <c r="L1070" s="21">
        <f>IF(ISERROR(VLOOKUP($F1070,#REF!,6,0)*G1070/1000),0,VLOOKUP($F1070,#REF!,6,0)*G1070/1000)</f>
        <v>0</v>
      </c>
      <c r="M1070" s="21">
        <f>IF(ISERROR(VLOOKUP($F1070,#REF!,6,0)*H1070/1000),0,VLOOKUP($F1070,#REF!,6,0)*H1070/1000)</f>
        <v>0</v>
      </c>
      <c r="N1070" s="21">
        <f>IF(ISERROR(VLOOKUP($F1070,#REF!,6,0)*I1070/1000),0,VLOOKUP($F1070,#REF!,6,0)*I1070/1000)</f>
        <v>0</v>
      </c>
      <c r="O1070" s="21">
        <f>IF(ISERROR(VLOOKUP($F1070,#REF!,6,0)*J1070/1000),0,VLOOKUP($F1070,#REF!,6,0)*J1070/1000)</f>
        <v>0</v>
      </c>
      <c r="P1070" s="21">
        <f>IF(ISERROR(VLOOKUP(F1070,#REF!,6,0)*K1070/1000),0,VLOOKUP(F1070,#REF!,6,0)*K1070/1000)</f>
        <v>0</v>
      </c>
      <c r="Q1070" s="6">
        <f>IF(ISERROR(VLOOKUP(F1070,#REF!,3,0)),0,VLOOKUP(F1070,#REF!,3,0))</f>
        <v>0</v>
      </c>
      <c r="R1070" s="6">
        <f>IF(ISERROR(VLOOKUP(F1070,#REF!,4,0)),0,VLOOKUP(F1070,#REF!,4,0))</f>
        <v>0</v>
      </c>
      <c r="S1070" s="8">
        <f>IF(ISERROR(VLOOKUP(F1070,#REF!,4,0)),0,VLOOKUP(F1070,#REF!,10,0)/60*K1070)</f>
        <v>0</v>
      </c>
      <c r="T1070" s="3"/>
      <c r="U1070" s="3"/>
      <c r="V1070" s="4"/>
    </row>
    <row r="1071" spans="1:22" x14ac:dyDescent="0.3">
      <c r="A1071" s="5">
        <f t="shared" si="49"/>
        <v>0</v>
      </c>
      <c r="B1071" s="6">
        <f t="shared" si="50"/>
        <v>0</v>
      </c>
      <c r="K1071" s="18">
        <f t="shared" si="48"/>
        <v>0</v>
      </c>
      <c r="L1071" s="21">
        <f>IF(ISERROR(VLOOKUP($F1071,#REF!,6,0)*G1071/1000),0,VLOOKUP($F1071,#REF!,6,0)*G1071/1000)</f>
        <v>0</v>
      </c>
      <c r="M1071" s="21">
        <f>IF(ISERROR(VLOOKUP($F1071,#REF!,6,0)*H1071/1000),0,VLOOKUP($F1071,#REF!,6,0)*H1071/1000)</f>
        <v>0</v>
      </c>
      <c r="N1071" s="21">
        <f>IF(ISERROR(VLOOKUP($F1071,#REF!,6,0)*I1071/1000),0,VLOOKUP($F1071,#REF!,6,0)*I1071/1000)</f>
        <v>0</v>
      </c>
      <c r="O1071" s="21">
        <f>IF(ISERROR(VLOOKUP($F1071,#REF!,6,0)*J1071/1000),0,VLOOKUP($F1071,#REF!,6,0)*J1071/1000)</f>
        <v>0</v>
      </c>
      <c r="P1071" s="21">
        <f>IF(ISERROR(VLOOKUP(F1071,#REF!,6,0)*K1071/1000),0,VLOOKUP(F1071,#REF!,6,0)*K1071/1000)</f>
        <v>0</v>
      </c>
      <c r="Q1071" s="6">
        <f>IF(ISERROR(VLOOKUP(F1071,#REF!,3,0)),0,VLOOKUP(F1071,#REF!,3,0))</f>
        <v>0</v>
      </c>
      <c r="R1071" s="6">
        <f>IF(ISERROR(VLOOKUP(F1071,#REF!,4,0)),0,VLOOKUP(F1071,#REF!,4,0))</f>
        <v>0</v>
      </c>
      <c r="S1071" s="8">
        <f>IF(ISERROR(VLOOKUP(F1071,#REF!,4,0)),0,VLOOKUP(F1071,#REF!,10,0)/60*K1071)</f>
        <v>0</v>
      </c>
      <c r="T1071" s="3"/>
      <c r="U1071" s="3"/>
      <c r="V1071" s="4"/>
    </row>
    <row r="1072" spans="1:22" x14ac:dyDescent="0.3">
      <c r="A1072" s="5">
        <f t="shared" si="49"/>
        <v>0</v>
      </c>
      <c r="B1072" s="6">
        <f t="shared" si="50"/>
        <v>0</v>
      </c>
      <c r="K1072" s="18">
        <f t="shared" si="48"/>
        <v>0</v>
      </c>
      <c r="L1072" s="21">
        <f>IF(ISERROR(VLOOKUP($F1072,#REF!,6,0)*G1072/1000),0,VLOOKUP($F1072,#REF!,6,0)*G1072/1000)</f>
        <v>0</v>
      </c>
      <c r="M1072" s="21">
        <f>IF(ISERROR(VLOOKUP($F1072,#REF!,6,0)*H1072/1000),0,VLOOKUP($F1072,#REF!,6,0)*H1072/1000)</f>
        <v>0</v>
      </c>
      <c r="N1072" s="21">
        <f>IF(ISERROR(VLOOKUP($F1072,#REF!,6,0)*I1072/1000),0,VLOOKUP($F1072,#REF!,6,0)*I1072/1000)</f>
        <v>0</v>
      </c>
      <c r="O1072" s="21">
        <f>IF(ISERROR(VLOOKUP($F1072,#REF!,6,0)*J1072/1000),0,VLOOKUP($F1072,#REF!,6,0)*J1072/1000)</f>
        <v>0</v>
      </c>
      <c r="P1072" s="21">
        <f>IF(ISERROR(VLOOKUP(F1072,#REF!,6,0)*K1072/1000),0,VLOOKUP(F1072,#REF!,6,0)*K1072/1000)</f>
        <v>0</v>
      </c>
      <c r="Q1072" s="6">
        <f>IF(ISERROR(VLOOKUP(F1072,#REF!,3,0)),0,VLOOKUP(F1072,#REF!,3,0))</f>
        <v>0</v>
      </c>
      <c r="R1072" s="6">
        <f>IF(ISERROR(VLOOKUP(F1072,#REF!,4,0)),0,VLOOKUP(F1072,#REF!,4,0))</f>
        <v>0</v>
      </c>
      <c r="S1072" s="8">
        <f>IF(ISERROR(VLOOKUP(F1072,#REF!,4,0)),0,VLOOKUP(F1072,#REF!,10,0)/60*K1072)</f>
        <v>0</v>
      </c>
      <c r="T1072" s="3"/>
      <c r="U1072" s="3"/>
      <c r="V1072" s="4"/>
    </row>
    <row r="1073" spans="1:22" x14ac:dyDescent="0.3">
      <c r="A1073" s="5">
        <f t="shared" si="49"/>
        <v>0</v>
      </c>
      <c r="B1073" s="6">
        <f t="shared" si="50"/>
        <v>0</v>
      </c>
      <c r="K1073" s="18">
        <f t="shared" si="48"/>
        <v>0</v>
      </c>
      <c r="L1073" s="21">
        <f>IF(ISERROR(VLOOKUP($F1073,#REF!,6,0)*G1073/1000),0,VLOOKUP($F1073,#REF!,6,0)*G1073/1000)</f>
        <v>0</v>
      </c>
      <c r="M1073" s="21">
        <f>IF(ISERROR(VLOOKUP($F1073,#REF!,6,0)*H1073/1000),0,VLOOKUP($F1073,#REF!,6,0)*H1073/1000)</f>
        <v>0</v>
      </c>
      <c r="N1073" s="21">
        <f>IF(ISERROR(VLOOKUP($F1073,#REF!,6,0)*I1073/1000),0,VLOOKUP($F1073,#REF!,6,0)*I1073/1000)</f>
        <v>0</v>
      </c>
      <c r="O1073" s="21">
        <f>IF(ISERROR(VLOOKUP($F1073,#REF!,6,0)*J1073/1000),0,VLOOKUP($F1073,#REF!,6,0)*J1073/1000)</f>
        <v>0</v>
      </c>
      <c r="P1073" s="21">
        <f>IF(ISERROR(VLOOKUP(F1073,#REF!,6,0)*K1073/1000),0,VLOOKUP(F1073,#REF!,6,0)*K1073/1000)</f>
        <v>0</v>
      </c>
      <c r="Q1073" s="6">
        <f>IF(ISERROR(VLOOKUP(F1073,#REF!,3,0)),0,VLOOKUP(F1073,#REF!,3,0))</f>
        <v>0</v>
      </c>
      <c r="R1073" s="6">
        <f>IF(ISERROR(VLOOKUP(F1073,#REF!,4,0)),0,VLOOKUP(F1073,#REF!,4,0))</f>
        <v>0</v>
      </c>
      <c r="S1073" s="8">
        <f>IF(ISERROR(VLOOKUP(F1073,#REF!,4,0)),0,VLOOKUP(F1073,#REF!,10,0)/60*K1073)</f>
        <v>0</v>
      </c>
      <c r="T1073" s="3"/>
      <c r="U1073" s="3"/>
      <c r="V1073" s="4"/>
    </row>
    <row r="1074" spans="1:22" x14ac:dyDescent="0.3">
      <c r="A1074" s="5">
        <f t="shared" si="49"/>
        <v>0</v>
      </c>
      <c r="B1074" s="6">
        <f t="shared" si="50"/>
        <v>0</v>
      </c>
      <c r="K1074" s="18">
        <f t="shared" si="48"/>
        <v>0</v>
      </c>
      <c r="L1074" s="21">
        <f>IF(ISERROR(VLOOKUP($F1074,#REF!,6,0)*G1074/1000),0,VLOOKUP($F1074,#REF!,6,0)*G1074/1000)</f>
        <v>0</v>
      </c>
      <c r="M1074" s="21">
        <f>IF(ISERROR(VLOOKUP($F1074,#REF!,6,0)*H1074/1000),0,VLOOKUP($F1074,#REF!,6,0)*H1074/1000)</f>
        <v>0</v>
      </c>
      <c r="N1074" s="21">
        <f>IF(ISERROR(VLOOKUP($F1074,#REF!,6,0)*I1074/1000),0,VLOOKUP($F1074,#REF!,6,0)*I1074/1000)</f>
        <v>0</v>
      </c>
      <c r="O1074" s="21">
        <f>IF(ISERROR(VLOOKUP($F1074,#REF!,6,0)*J1074/1000),0,VLOOKUP($F1074,#REF!,6,0)*J1074/1000)</f>
        <v>0</v>
      </c>
      <c r="P1074" s="21">
        <f>IF(ISERROR(VLOOKUP(F1074,#REF!,6,0)*K1074/1000),0,VLOOKUP(F1074,#REF!,6,0)*K1074/1000)</f>
        <v>0</v>
      </c>
      <c r="Q1074" s="6">
        <f>IF(ISERROR(VLOOKUP(F1074,#REF!,3,0)),0,VLOOKUP(F1074,#REF!,3,0))</f>
        <v>0</v>
      </c>
      <c r="R1074" s="6">
        <f>IF(ISERROR(VLOOKUP(F1074,#REF!,4,0)),0,VLOOKUP(F1074,#REF!,4,0))</f>
        <v>0</v>
      </c>
      <c r="S1074" s="8">
        <f>IF(ISERROR(VLOOKUP(F1074,#REF!,4,0)),0,VLOOKUP(F1074,#REF!,10,0)/60*K1074)</f>
        <v>0</v>
      </c>
      <c r="T1074" s="3"/>
      <c r="U1074" s="3"/>
      <c r="V1074" s="4"/>
    </row>
    <row r="1075" spans="1:22" x14ac:dyDescent="0.3">
      <c r="A1075" s="5">
        <f t="shared" si="49"/>
        <v>0</v>
      </c>
      <c r="B1075" s="6">
        <f t="shared" si="50"/>
        <v>0</v>
      </c>
      <c r="K1075" s="18">
        <f t="shared" si="48"/>
        <v>0</v>
      </c>
      <c r="L1075" s="21">
        <f>IF(ISERROR(VLOOKUP($F1075,#REF!,6,0)*G1075/1000),0,VLOOKUP($F1075,#REF!,6,0)*G1075/1000)</f>
        <v>0</v>
      </c>
      <c r="M1075" s="21">
        <f>IF(ISERROR(VLOOKUP($F1075,#REF!,6,0)*H1075/1000),0,VLOOKUP($F1075,#REF!,6,0)*H1075/1000)</f>
        <v>0</v>
      </c>
      <c r="N1075" s="21">
        <f>IF(ISERROR(VLOOKUP($F1075,#REF!,6,0)*I1075/1000),0,VLOOKUP($F1075,#REF!,6,0)*I1075/1000)</f>
        <v>0</v>
      </c>
      <c r="O1075" s="21">
        <f>IF(ISERROR(VLOOKUP($F1075,#REF!,6,0)*J1075/1000),0,VLOOKUP($F1075,#REF!,6,0)*J1075/1000)</f>
        <v>0</v>
      </c>
      <c r="P1075" s="21">
        <f>IF(ISERROR(VLOOKUP(F1075,#REF!,6,0)*K1075/1000),0,VLOOKUP(F1075,#REF!,6,0)*K1075/1000)</f>
        <v>0</v>
      </c>
      <c r="Q1075" s="6">
        <f>IF(ISERROR(VLOOKUP(F1075,#REF!,3,0)),0,VLOOKUP(F1075,#REF!,3,0))</f>
        <v>0</v>
      </c>
      <c r="R1075" s="6">
        <f>IF(ISERROR(VLOOKUP(F1075,#REF!,4,0)),0,VLOOKUP(F1075,#REF!,4,0))</f>
        <v>0</v>
      </c>
      <c r="S1075" s="8">
        <f>IF(ISERROR(VLOOKUP(F1075,#REF!,4,0)),0,VLOOKUP(F1075,#REF!,10,0)/60*K1075)</f>
        <v>0</v>
      </c>
      <c r="T1075" s="3"/>
      <c r="U1075" s="3"/>
      <c r="V1075" s="4"/>
    </row>
    <row r="1076" spans="1:22" x14ac:dyDescent="0.3">
      <c r="A1076" s="5">
        <f t="shared" si="49"/>
        <v>0</v>
      </c>
      <c r="B1076" s="6">
        <f t="shared" si="50"/>
        <v>0</v>
      </c>
      <c r="K1076" s="18">
        <f t="shared" si="48"/>
        <v>0</v>
      </c>
      <c r="L1076" s="21">
        <f>IF(ISERROR(VLOOKUP($F1076,#REF!,6,0)*G1076/1000),0,VLOOKUP($F1076,#REF!,6,0)*G1076/1000)</f>
        <v>0</v>
      </c>
      <c r="M1076" s="21">
        <f>IF(ISERROR(VLOOKUP($F1076,#REF!,6,0)*H1076/1000),0,VLOOKUP($F1076,#REF!,6,0)*H1076/1000)</f>
        <v>0</v>
      </c>
      <c r="N1076" s="21">
        <f>IF(ISERROR(VLOOKUP($F1076,#REF!,6,0)*I1076/1000),0,VLOOKUP($F1076,#REF!,6,0)*I1076/1000)</f>
        <v>0</v>
      </c>
      <c r="O1076" s="21">
        <f>IF(ISERROR(VLOOKUP($F1076,#REF!,6,0)*J1076/1000),0,VLOOKUP($F1076,#REF!,6,0)*J1076/1000)</f>
        <v>0</v>
      </c>
      <c r="P1076" s="21">
        <f>IF(ISERROR(VLOOKUP(F1076,#REF!,6,0)*K1076/1000),0,VLOOKUP(F1076,#REF!,6,0)*K1076/1000)</f>
        <v>0</v>
      </c>
      <c r="Q1076" s="6">
        <f>IF(ISERROR(VLOOKUP(F1076,#REF!,3,0)),0,VLOOKUP(F1076,#REF!,3,0))</f>
        <v>0</v>
      </c>
      <c r="R1076" s="6">
        <f>IF(ISERROR(VLOOKUP(F1076,#REF!,4,0)),0,VLOOKUP(F1076,#REF!,4,0))</f>
        <v>0</v>
      </c>
      <c r="S1076" s="8">
        <f>IF(ISERROR(VLOOKUP(F1076,#REF!,4,0)),0,VLOOKUP(F1076,#REF!,10,0)/60*K1076)</f>
        <v>0</v>
      </c>
      <c r="T1076" s="3"/>
      <c r="U1076" s="3"/>
      <c r="V1076" s="4"/>
    </row>
    <row r="1077" spans="1:22" x14ac:dyDescent="0.3">
      <c r="A1077" s="5">
        <f t="shared" si="49"/>
        <v>0</v>
      </c>
      <c r="B1077" s="6">
        <f t="shared" si="50"/>
        <v>0</v>
      </c>
      <c r="K1077" s="18">
        <f t="shared" si="48"/>
        <v>0</v>
      </c>
      <c r="L1077" s="21">
        <f>IF(ISERROR(VLOOKUP($F1077,#REF!,6,0)*G1077/1000),0,VLOOKUP($F1077,#REF!,6,0)*G1077/1000)</f>
        <v>0</v>
      </c>
      <c r="M1077" s="21">
        <f>IF(ISERROR(VLOOKUP($F1077,#REF!,6,0)*H1077/1000),0,VLOOKUP($F1077,#REF!,6,0)*H1077/1000)</f>
        <v>0</v>
      </c>
      <c r="N1077" s="21">
        <f>IF(ISERROR(VLOOKUP($F1077,#REF!,6,0)*I1077/1000),0,VLOOKUP($F1077,#REF!,6,0)*I1077/1000)</f>
        <v>0</v>
      </c>
      <c r="O1077" s="21">
        <f>IF(ISERROR(VLOOKUP($F1077,#REF!,6,0)*J1077/1000),0,VLOOKUP($F1077,#REF!,6,0)*J1077/1000)</f>
        <v>0</v>
      </c>
      <c r="P1077" s="21">
        <f>IF(ISERROR(VLOOKUP(F1077,#REF!,6,0)*K1077/1000),0,VLOOKUP(F1077,#REF!,6,0)*K1077/1000)</f>
        <v>0</v>
      </c>
      <c r="Q1077" s="6">
        <f>IF(ISERROR(VLOOKUP(F1077,#REF!,3,0)),0,VLOOKUP(F1077,#REF!,3,0))</f>
        <v>0</v>
      </c>
      <c r="R1077" s="6">
        <f>IF(ISERROR(VLOOKUP(F1077,#REF!,4,0)),0,VLOOKUP(F1077,#REF!,4,0))</f>
        <v>0</v>
      </c>
      <c r="S1077" s="8">
        <f>IF(ISERROR(VLOOKUP(F1077,#REF!,4,0)),0,VLOOKUP(F1077,#REF!,10,0)/60*K1077)</f>
        <v>0</v>
      </c>
      <c r="T1077" s="3"/>
      <c r="U1077" s="3"/>
      <c r="V1077" s="4"/>
    </row>
    <row r="1078" spans="1:22" x14ac:dyDescent="0.3">
      <c r="A1078" s="5">
        <f t="shared" si="49"/>
        <v>0</v>
      </c>
      <c r="B1078" s="6">
        <f t="shared" si="50"/>
        <v>0</v>
      </c>
      <c r="K1078" s="18">
        <f t="shared" si="48"/>
        <v>0</v>
      </c>
      <c r="L1078" s="21">
        <f>IF(ISERROR(VLOOKUP($F1078,#REF!,6,0)*G1078/1000),0,VLOOKUP($F1078,#REF!,6,0)*G1078/1000)</f>
        <v>0</v>
      </c>
      <c r="M1078" s="21">
        <f>IF(ISERROR(VLOOKUP($F1078,#REF!,6,0)*H1078/1000),0,VLOOKUP($F1078,#REF!,6,0)*H1078/1000)</f>
        <v>0</v>
      </c>
      <c r="N1078" s="21">
        <f>IF(ISERROR(VLOOKUP($F1078,#REF!,6,0)*I1078/1000),0,VLOOKUP($F1078,#REF!,6,0)*I1078/1000)</f>
        <v>0</v>
      </c>
      <c r="O1078" s="21">
        <f>IF(ISERROR(VLOOKUP($F1078,#REF!,6,0)*J1078/1000),0,VLOOKUP($F1078,#REF!,6,0)*J1078/1000)</f>
        <v>0</v>
      </c>
      <c r="P1078" s="21">
        <f>IF(ISERROR(VLOOKUP(F1078,#REF!,6,0)*K1078/1000),0,VLOOKUP(F1078,#REF!,6,0)*K1078/1000)</f>
        <v>0</v>
      </c>
      <c r="Q1078" s="6">
        <f>IF(ISERROR(VLOOKUP(F1078,#REF!,3,0)),0,VLOOKUP(F1078,#REF!,3,0))</f>
        <v>0</v>
      </c>
      <c r="R1078" s="6">
        <f>IF(ISERROR(VLOOKUP(F1078,#REF!,4,0)),0,VLOOKUP(F1078,#REF!,4,0))</f>
        <v>0</v>
      </c>
      <c r="S1078" s="8">
        <f>IF(ISERROR(VLOOKUP(F1078,#REF!,4,0)),0,VLOOKUP(F1078,#REF!,10,0)/60*K1078)</f>
        <v>0</v>
      </c>
      <c r="T1078" s="3"/>
      <c r="U1078" s="3"/>
      <c r="V1078" s="4"/>
    </row>
    <row r="1079" spans="1:22" x14ac:dyDescent="0.3">
      <c r="A1079" s="5">
        <f t="shared" si="49"/>
        <v>0</v>
      </c>
      <c r="B1079" s="6">
        <f t="shared" si="50"/>
        <v>0</v>
      </c>
      <c r="K1079" s="18">
        <f t="shared" si="48"/>
        <v>0</v>
      </c>
      <c r="L1079" s="21">
        <f>IF(ISERROR(VLOOKUP($F1079,#REF!,6,0)*G1079/1000),0,VLOOKUP($F1079,#REF!,6,0)*G1079/1000)</f>
        <v>0</v>
      </c>
      <c r="M1079" s="21">
        <f>IF(ISERROR(VLOOKUP($F1079,#REF!,6,0)*H1079/1000),0,VLOOKUP($F1079,#REF!,6,0)*H1079/1000)</f>
        <v>0</v>
      </c>
      <c r="N1079" s="21">
        <f>IF(ISERROR(VLOOKUP($F1079,#REF!,6,0)*I1079/1000),0,VLOOKUP($F1079,#REF!,6,0)*I1079/1000)</f>
        <v>0</v>
      </c>
      <c r="O1079" s="21">
        <f>IF(ISERROR(VLOOKUP($F1079,#REF!,6,0)*J1079/1000),0,VLOOKUP($F1079,#REF!,6,0)*J1079/1000)</f>
        <v>0</v>
      </c>
      <c r="P1079" s="21">
        <f>IF(ISERROR(VLOOKUP(F1079,#REF!,6,0)*K1079/1000),0,VLOOKUP(F1079,#REF!,6,0)*K1079/1000)</f>
        <v>0</v>
      </c>
      <c r="Q1079" s="6">
        <f>IF(ISERROR(VLOOKUP(F1079,#REF!,3,0)),0,VLOOKUP(F1079,#REF!,3,0))</f>
        <v>0</v>
      </c>
      <c r="R1079" s="6">
        <f>IF(ISERROR(VLOOKUP(F1079,#REF!,4,0)),0,VLOOKUP(F1079,#REF!,4,0))</f>
        <v>0</v>
      </c>
      <c r="S1079" s="8">
        <f>IF(ISERROR(VLOOKUP(F1079,#REF!,4,0)),0,VLOOKUP(F1079,#REF!,10,0)/60*K1079)</f>
        <v>0</v>
      </c>
      <c r="T1079" s="3"/>
      <c r="U1079" s="3"/>
      <c r="V1079" s="4"/>
    </row>
    <row r="1080" spans="1:22" x14ac:dyDescent="0.3">
      <c r="A1080" s="5">
        <f t="shared" si="49"/>
        <v>0</v>
      </c>
      <c r="B1080" s="6">
        <f t="shared" si="50"/>
        <v>0</v>
      </c>
      <c r="K1080" s="18">
        <f t="shared" si="48"/>
        <v>0</v>
      </c>
      <c r="L1080" s="21">
        <f>IF(ISERROR(VLOOKUP($F1080,#REF!,6,0)*G1080/1000),0,VLOOKUP($F1080,#REF!,6,0)*G1080/1000)</f>
        <v>0</v>
      </c>
      <c r="M1080" s="21">
        <f>IF(ISERROR(VLOOKUP($F1080,#REF!,6,0)*H1080/1000),0,VLOOKUP($F1080,#REF!,6,0)*H1080/1000)</f>
        <v>0</v>
      </c>
      <c r="N1080" s="21">
        <f>IF(ISERROR(VLOOKUP($F1080,#REF!,6,0)*I1080/1000),0,VLOOKUP($F1080,#REF!,6,0)*I1080/1000)</f>
        <v>0</v>
      </c>
      <c r="O1080" s="21">
        <f>IF(ISERROR(VLOOKUP($F1080,#REF!,6,0)*J1080/1000),0,VLOOKUP($F1080,#REF!,6,0)*J1080/1000)</f>
        <v>0</v>
      </c>
      <c r="P1080" s="21">
        <f>IF(ISERROR(VLOOKUP(F1080,#REF!,6,0)*K1080/1000),0,VLOOKUP(F1080,#REF!,6,0)*K1080/1000)</f>
        <v>0</v>
      </c>
      <c r="Q1080" s="6">
        <f>IF(ISERROR(VLOOKUP(F1080,#REF!,3,0)),0,VLOOKUP(F1080,#REF!,3,0))</f>
        <v>0</v>
      </c>
      <c r="R1080" s="6">
        <f>IF(ISERROR(VLOOKUP(F1080,#REF!,4,0)),0,VLOOKUP(F1080,#REF!,4,0))</f>
        <v>0</v>
      </c>
      <c r="S1080" s="8">
        <f>IF(ISERROR(VLOOKUP(F1080,#REF!,4,0)),0,VLOOKUP(F1080,#REF!,10,0)/60*K1080)</f>
        <v>0</v>
      </c>
      <c r="T1080" s="3"/>
      <c r="U1080" s="3"/>
      <c r="V1080" s="4"/>
    </row>
    <row r="1081" spans="1:22" x14ac:dyDescent="0.3">
      <c r="A1081" s="5">
        <f t="shared" si="49"/>
        <v>0</v>
      </c>
      <c r="B1081" s="6">
        <f t="shared" si="50"/>
        <v>0</v>
      </c>
      <c r="K1081" s="18">
        <f t="shared" si="48"/>
        <v>0</v>
      </c>
      <c r="L1081" s="21">
        <f>IF(ISERROR(VLOOKUP($F1081,#REF!,6,0)*G1081/1000),0,VLOOKUP($F1081,#REF!,6,0)*G1081/1000)</f>
        <v>0</v>
      </c>
      <c r="M1081" s="21">
        <f>IF(ISERROR(VLOOKUP($F1081,#REF!,6,0)*H1081/1000),0,VLOOKUP($F1081,#REF!,6,0)*H1081/1000)</f>
        <v>0</v>
      </c>
      <c r="N1081" s="21">
        <f>IF(ISERROR(VLOOKUP($F1081,#REF!,6,0)*I1081/1000),0,VLOOKUP($F1081,#REF!,6,0)*I1081/1000)</f>
        <v>0</v>
      </c>
      <c r="O1081" s="21">
        <f>IF(ISERROR(VLOOKUP($F1081,#REF!,6,0)*J1081/1000),0,VLOOKUP($F1081,#REF!,6,0)*J1081/1000)</f>
        <v>0</v>
      </c>
      <c r="P1081" s="21">
        <f>IF(ISERROR(VLOOKUP(F1081,#REF!,6,0)*K1081/1000),0,VLOOKUP(F1081,#REF!,6,0)*K1081/1000)</f>
        <v>0</v>
      </c>
      <c r="Q1081" s="6">
        <f>IF(ISERROR(VLOOKUP(F1081,#REF!,3,0)),0,VLOOKUP(F1081,#REF!,3,0))</f>
        <v>0</v>
      </c>
      <c r="R1081" s="6">
        <f>IF(ISERROR(VLOOKUP(F1081,#REF!,4,0)),0,VLOOKUP(F1081,#REF!,4,0))</f>
        <v>0</v>
      </c>
      <c r="S1081" s="8">
        <f>IF(ISERROR(VLOOKUP(F1081,#REF!,4,0)),0,VLOOKUP(F1081,#REF!,10,0)/60*K1081)</f>
        <v>0</v>
      </c>
      <c r="T1081" s="3"/>
      <c r="U1081" s="3"/>
      <c r="V1081" s="4"/>
    </row>
    <row r="1082" spans="1:22" x14ac:dyDescent="0.3">
      <c r="A1082" s="5">
        <f t="shared" si="49"/>
        <v>0</v>
      </c>
      <c r="B1082" s="6">
        <f t="shared" si="50"/>
        <v>0</v>
      </c>
      <c r="K1082" s="18">
        <f t="shared" si="48"/>
        <v>0</v>
      </c>
      <c r="L1082" s="21">
        <f>IF(ISERROR(VLOOKUP($F1082,#REF!,6,0)*G1082/1000),0,VLOOKUP($F1082,#REF!,6,0)*G1082/1000)</f>
        <v>0</v>
      </c>
      <c r="M1082" s="21">
        <f>IF(ISERROR(VLOOKUP($F1082,#REF!,6,0)*H1082/1000),0,VLOOKUP($F1082,#REF!,6,0)*H1082/1000)</f>
        <v>0</v>
      </c>
      <c r="N1082" s="21">
        <f>IF(ISERROR(VLOOKUP($F1082,#REF!,6,0)*I1082/1000),0,VLOOKUP($F1082,#REF!,6,0)*I1082/1000)</f>
        <v>0</v>
      </c>
      <c r="O1082" s="21">
        <f>IF(ISERROR(VLOOKUP($F1082,#REF!,6,0)*J1082/1000),0,VLOOKUP($F1082,#REF!,6,0)*J1082/1000)</f>
        <v>0</v>
      </c>
      <c r="P1082" s="21">
        <f>IF(ISERROR(VLOOKUP(F1082,#REF!,6,0)*K1082/1000),0,VLOOKUP(F1082,#REF!,6,0)*K1082/1000)</f>
        <v>0</v>
      </c>
      <c r="Q1082" s="6">
        <f>IF(ISERROR(VLOOKUP(F1082,#REF!,3,0)),0,VLOOKUP(F1082,#REF!,3,0))</f>
        <v>0</v>
      </c>
      <c r="R1082" s="6">
        <f>IF(ISERROR(VLOOKUP(F1082,#REF!,4,0)),0,VLOOKUP(F1082,#REF!,4,0))</f>
        <v>0</v>
      </c>
      <c r="S1082" s="8">
        <f>IF(ISERROR(VLOOKUP(F1082,#REF!,4,0)),0,VLOOKUP(F1082,#REF!,10,0)/60*K1082)</f>
        <v>0</v>
      </c>
      <c r="T1082" s="3"/>
      <c r="U1082" s="3"/>
      <c r="V1082" s="4"/>
    </row>
    <row r="1083" spans="1:22" x14ac:dyDescent="0.3">
      <c r="A1083" s="5">
        <f t="shared" si="49"/>
        <v>0</v>
      </c>
      <c r="B1083" s="6">
        <f t="shared" si="50"/>
        <v>0</v>
      </c>
      <c r="K1083" s="18">
        <f t="shared" si="48"/>
        <v>0</v>
      </c>
      <c r="L1083" s="21">
        <f>IF(ISERROR(VLOOKUP($F1083,#REF!,6,0)*G1083/1000),0,VLOOKUP($F1083,#REF!,6,0)*G1083/1000)</f>
        <v>0</v>
      </c>
      <c r="M1083" s="21">
        <f>IF(ISERROR(VLOOKUP($F1083,#REF!,6,0)*H1083/1000),0,VLOOKUP($F1083,#REF!,6,0)*H1083/1000)</f>
        <v>0</v>
      </c>
      <c r="N1083" s="21">
        <f>IF(ISERROR(VLOOKUP($F1083,#REF!,6,0)*I1083/1000),0,VLOOKUP($F1083,#REF!,6,0)*I1083/1000)</f>
        <v>0</v>
      </c>
      <c r="O1083" s="21">
        <f>IF(ISERROR(VLOOKUP($F1083,#REF!,6,0)*J1083/1000),0,VLOOKUP($F1083,#REF!,6,0)*J1083/1000)</f>
        <v>0</v>
      </c>
      <c r="P1083" s="21">
        <f>IF(ISERROR(VLOOKUP(F1083,#REF!,6,0)*K1083/1000),0,VLOOKUP(F1083,#REF!,6,0)*K1083/1000)</f>
        <v>0</v>
      </c>
      <c r="Q1083" s="6">
        <f>IF(ISERROR(VLOOKUP(F1083,#REF!,3,0)),0,VLOOKUP(F1083,#REF!,3,0))</f>
        <v>0</v>
      </c>
      <c r="R1083" s="6">
        <f>IF(ISERROR(VLOOKUP(F1083,#REF!,4,0)),0,VLOOKUP(F1083,#REF!,4,0))</f>
        <v>0</v>
      </c>
      <c r="S1083" s="8">
        <f>IF(ISERROR(VLOOKUP(F1083,#REF!,4,0)),0,VLOOKUP(F1083,#REF!,10,0)/60*K1083)</f>
        <v>0</v>
      </c>
      <c r="T1083" s="3"/>
      <c r="U1083" s="3"/>
      <c r="V1083" s="4"/>
    </row>
    <row r="1084" spans="1:22" x14ac:dyDescent="0.3">
      <c r="A1084" s="5">
        <f t="shared" si="49"/>
        <v>0</v>
      </c>
      <c r="B1084" s="6">
        <f t="shared" si="50"/>
        <v>0</v>
      </c>
      <c r="K1084" s="18">
        <f t="shared" si="48"/>
        <v>0</v>
      </c>
      <c r="L1084" s="21">
        <f>IF(ISERROR(VLOOKUP($F1084,#REF!,6,0)*G1084/1000),0,VLOOKUP($F1084,#REF!,6,0)*G1084/1000)</f>
        <v>0</v>
      </c>
      <c r="M1084" s="21">
        <f>IF(ISERROR(VLOOKUP($F1084,#REF!,6,0)*H1084/1000),0,VLOOKUP($F1084,#REF!,6,0)*H1084/1000)</f>
        <v>0</v>
      </c>
      <c r="N1084" s="21">
        <f>IF(ISERROR(VLOOKUP($F1084,#REF!,6,0)*I1084/1000),0,VLOOKUP($F1084,#REF!,6,0)*I1084/1000)</f>
        <v>0</v>
      </c>
      <c r="O1084" s="21">
        <f>IF(ISERROR(VLOOKUP($F1084,#REF!,6,0)*J1084/1000),0,VLOOKUP($F1084,#REF!,6,0)*J1084/1000)</f>
        <v>0</v>
      </c>
      <c r="P1084" s="21">
        <f>IF(ISERROR(VLOOKUP(F1084,#REF!,6,0)*K1084/1000),0,VLOOKUP(F1084,#REF!,6,0)*K1084/1000)</f>
        <v>0</v>
      </c>
      <c r="Q1084" s="6">
        <f>IF(ISERROR(VLOOKUP(F1084,#REF!,3,0)),0,VLOOKUP(F1084,#REF!,3,0))</f>
        <v>0</v>
      </c>
      <c r="R1084" s="6">
        <f>IF(ISERROR(VLOOKUP(F1084,#REF!,4,0)),0,VLOOKUP(F1084,#REF!,4,0))</f>
        <v>0</v>
      </c>
      <c r="S1084" s="8">
        <f>IF(ISERROR(VLOOKUP(F1084,#REF!,4,0)),0,VLOOKUP(F1084,#REF!,10,0)/60*K1084)</f>
        <v>0</v>
      </c>
      <c r="T1084" s="3"/>
      <c r="U1084" s="3"/>
      <c r="V1084" s="4"/>
    </row>
    <row r="1085" spans="1:22" x14ac:dyDescent="0.3">
      <c r="A1085" s="5">
        <f t="shared" si="49"/>
        <v>0</v>
      </c>
      <c r="B1085" s="6">
        <f t="shared" si="50"/>
        <v>0</v>
      </c>
      <c r="K1085" s="18">
        <f t="shared" si="48"/>
        <v>0</v>
      </c>
      <c r="L1085" s="21">
        <f>IF(ISERROR(VLOOKUP($F1085,#REF!,6,0)*G1085/1000),0,VLOOKUP($F1085,#REF!,6,0)*G1085/1000)</f>
        <v>0</v>
      </c>
      <c r="M1085" s="21">
        <f>IF(ISERROR(VLOOKUP($F1085,#REF!,6,0)*H1085/1000),0,VLOOKUP($F1085,#REF!,6,0)*H1085/1000)</f>
        <v>0</v>
      </c>
      <c r="N1085" s="21">
        <f>IF(ISERROR(VLOOKUP($F1085,#REF!,6,0)*I1085/1000),0,VLOOKUP($F1085,#REF!,6,0)*I1085/1000)</f>
        <v>0</v>
      </c>
      <c r="O1085" s="21">
        <f>IF(ISERROR(VLOOKUP($F1085,#REF!,6,0)*J1085/1000),0,VLOOKUP($F1085,#REF!,6,0)*J1085/1000)</f>
        <v>0</v>
      </c>
      <c r="P1085" s="21">
        <f>IF(ISERROR(VLOOKUP(F1085,#REF!,6,0)*K1085/1000),0,VLOOKUP(F1085,#REF!,6,0)*K1085/1000)</f>
        <v>0</v>
      </c>
      <c r="Q1085" s="6">
        <f>IF(ISERROR(VLOOKUP(F1085,#REF!,3,0)),0,VLOOKUP(F1085,#REF!,3,0))</f>
        <v>0</v>
      </c>
      <c r="R1085" s="6">
        <f>IF(ISERROR(VLOOKUP(F1085,#REF!,4,0)),0,VLOOKUP(F1085,#REF!,4,0))</f>
        <v>0</v>
      </c>
      <c r="S1085" s="8">
        <f>IF(ISERROR(VLOOKUP(F1085,#REF!,4,0)),0,VLOOKUP(F1085,#REF!,10,0)/60*K1085)</f>
        <v>0</v>
      </c>
      <c r="T1085" s="3"/>
      <c r="U1085" s="3"/>
      <c r="V1085" s="4"/>
    </row>
    <row r="1086" spans="1:22" x14ac:dyDescent="0.3">
      <c r="A1086" s="5">
        <f t="shared" si="49"/>
        <v>0</v>
      </c>
      <c r="B1086" s="6">
        <f t="shared" si="50"/>
        <v>0</v>
      </c>
      <c r="K1086" s="18">
        <f t="shared" si="48"/>
        <v>0</v>
      </c>
      <c r="L1086" s="21">
        <f>IF(ISERROR(VLOOKUP($F1086,#REF!,6,0)*G1086/1000),0,VLOOKUP($F1086,#REF!,6,0)*G1086/1000)</f>
        <v>0</v>
      </c>
      <c r="M1086" s="21">
        <f>IF(ISERROR(VLOOKUP($F1086,#REF!,6,0)*H1086/1000),0,VLOOKUP($F1086,#REF!,6,0)*H1086/1000)</f>
        <v>0</v>
      </c>
      <c r="N1086" s="21">
        <f>IF(ISERROR(VLOOKUP($F1086,#REF!,6,0)*I1086/1000),0,VLOOKUP($F1086,#REF!,6,0)*I1086/1000)</f>
        <v>0</v>
      </c>
      <c r="O1086" s="21">
        <f>IF(ISERROR(VLOOKUP($F1086,#REF!,6,0)*J1086/1000),0,VLOOKUP($F1086,#REF!,6,0)*J1086/1000)</f>
        <v>0</v>
      </c>
      <c r="P1086" s="21">
        <f>IF(ISERROR(VLOOKUP(F1086,#REF!,6,0)*K1086/1000),0,VLOOKUP(F1086,#REF!,6,0)*K1086/1000)</f>
        <v>0</v>
      </c>
      <c r="Q1086" s="6">
        <f>IF(ISERROR(VLOOKUP(F1086,#REF!,3,0)),0,VLOOKUP(F1086,#REF!,3,0))</f>
        <v>0</v>
      </c>
      <c r="R1086" s="6">
        <f>IF(ISERROR(VLOOKUP(F1086,#REF!,4,0)),0,VLOOKUP(F1086,#REF!,4,0))</f>
        <v>0</v>
      </c>
      <c r="S1086" s="8">
        <f>IF(ISERROR(VLOOKUP(F1086,#REF!,4,0)),0,VLOOKUP(F1086,#REF!,10,0)/60*K1086)</f>
        <v>0</v>
      </c>
      <c r="T1086" s="3"/>
      <c r="U1086" s="3"/>
      <c r="V1086" s="4"/>
    </row>
    <row r="1087" spans="1:22" x14ac:dyDescent="0.3">
      <c r="A1087" s="5">
        <f t="shared" si="49"/>
        <v>0</v>
      </c>
      <c r="B1087" s="6">
        <f t="shared" si="50"/>
        <v>0</v>
      </c>
      <c r="K1087" s="18">
        <f t="shared" si="48"/>
        <v>0</v>
      </c>
      <c r="L1087" s="21">
        <f>IF(ISERROR(VLOOKUP($F1087,#REF!,6,0)*G1087/1000),0,VLOOKUP($F1087,#REF!,6,0)*G1087/1000)</f>
        <v>0</v>
      </c>
      <c r="M1087" s="21">
        <f>IF(ISERROR(VLOOKUP($F1087,#REF!,6,0)*H1087/1000),0,VLOOKUP($F1087,#REF!,6,0)*H1087/1000)</f>
        <v>0</v>
      </c>
      <c r="N1087" s="21">
        <f>IF(ISERROR(VLOOKUP($F1087,#REF!,6,0)*I1087/1000),0,VLOOKUP($F1087,#REF!,6,0)*I1087/1000)</f>
        <v>0</v>
      </c>
      <c r="O1087" s="21">
        <f>IF(ISERROR(VLOOKUP($F1087,#REF!,6,0)*J1087/1000),0,VLOOKUP($F1087,#REF!,6,0)*J1087/1000)</f>
        <v>0</v>
      </c>
      <c r="P1087" s="21">
        <f>IF(ISERROR(VLOOKUP(F1087,#REF!,6,0)*K1087/1000),0,VLOOKUP(F1087,#REF!,6,0)*K1087/1000)</f>
        <v>0</v>
      </c>
      <c r="Q1087" s="6">
        <f>IF(ISERROR(VLOOKUP(F1087,#REF!,3,0)),0,VLOOKUP(F1087,#REF!,3,0))</f>
        <v>0</v>
      </c>
      <c r="R1087" s="6">
        <f>IF(ISERROR(VLOOKUP(F1087,#REF!,4,0)),0,VLOOKUP(F1087,#REF!,4,0))</f>
        <v>0</v>
      </c>
      <c r="S1087" s="8">
        <f>IF(ISERROR(VLOOKUP(F1087,#REF!,4,0)),0,VLOOKUP(F1087,#REF!,10,0)/60*K1087)</f>
        <v>0</v>
      </c>
      <c r="T1087" s="3"/>
      <c r="U1087" s="3"/>
      <c r="V1087" s="4"/>
    </row>
    <row r="1088" spans="1:22" x14ac:dyDescent="0.3">
      <c r="A1088" s="5">
        <f t="shared" si="49"/>
        <v>0</v>
      </c>
      <c r="B1088" s="6">
        <f t="shared" si="50"/>
        <v>0</v>
      </c>
      <c r="K1088" s="18">
        <f t="shared" si="48"/>
        <v>0</v>
      </c>
      <c r="L1088" s="21">
        <f>IF(ISERROR(VLOOKUP($F1088,#REF!,6,0)*G1088/1000),0,VLOOKUP($F1088,#REF!,6,0)*G1088/1000)</f>
        <v>0</v>
      </c>
      <c r="M1088" s="21">
        <f>IF(ISERROR(VLOOKUP($F1088,#REF!,6,0)*H1088/1000),0,VLOOKUP($F1088,#REF!,6,0)*H1088/1000)</f>
        <v>0</v>
      </c>
      <c r="N1088" s="21">
        <f>IF(ISERROR(VLOOKUP($F1088,#REF!,6,0)*I1088/1000),0,VLOOKUP($F1088,#REF!,6,0)*I1088/1000)</f>
        <v>0</v>
      </c>
      <c r="O1088" s="21">
        <f>IF(ISERROR(VLOOKUP($F1088,#REF!,6,0)*J1088/1000),0,VLOOKUP($F1088,#REF!,6,0)*J1088/1000)</f>
        <v>0</v>
      </c>
      <c r="P1088" s="21">
        <f>IF(ISERROR(VLOOKUP(F1088,#REF!,6,0)*K1088/1000),0,VLOOKUP(F1088,#REF!,6,0)*K1088/1000)</f>
        <v>0</v>
      </c>
      <c r="Q1088" s="6">
        <f>IF(ISERROR(VLOOKUP(F1088,#REF!,3,0)),0,VLOOKUP(F1088,#REF!,3,0))</f>
        <v>0</v>
      </c>
      <c r="R1088" s="6">
        <f>IF(ISERROR(VLOOKUP(F1088,#REF!,4,0)),0,VLOOKUP(F1088,#REF!,4,0))</f>
        <v>0</v>
      </c>
      <c r="S1088" s="8">
        <f>IF(ISERROR(VLOOKUP(F1088,#REF!,4,0)),0,VLOOKUP(F1088,#REF!,10,0)/60*K1088)</f>
        <v>0</v>
      </c>
      <c r="T1088" s="3"/>
      <c r="U1088" s="3"/>
      <c r="V1088" s="4"/>
    </row>
    <row r="1089" spans="1:22" x14ac:dyDescent="0.3">
      <c r="A1089" s="5">
        <f t="shared" si="49"/>
        <v>0</v>
      </c>
      <c r="B1089" s="6">
        <f t="shared" si="50"/>
        <v>0</v>
      </c>
      <c r="K1089" s="18">
        <f t="shared" si="48"/>
        <v>0</v>
      </c>
      <c r="L1089" s="21">
        <f>IF(ISERROR(VLOOKUP($F1089,#REF!,6,0)*G1089/1000),0,VLOOKUP($F1089,#REF!,6,0)*G1089/1000)</f>
        <v>0</v>
      </c>
      <c r="M1089" s="21">
        <f>IF(ISERROR(VLOOKUP($F1089,#REF!,6,0)*H1089/1000),0,VLOOKUP($F1089,#REF!,6,0)*H1089/1000)</f>
        <v>0</v>
      </c>
      <c r="N1089" s="21">
        <f>IF(ISERROR(VLOOKUP($F1089,#REF!,6,0)*I1089/1000),0,VLOOKUP($F1089,#REF!,6,0)*I1089/1000)</f>
        <v>0</v>
      </c>
      <c r="O1089" s="21">
        <f>IF(ISERROR(VLOOKUP($F1089,#REF!,6,0)*J1089/1000),0,VLOOKUP($F1089,#REF!,6,0)*J1089/1000)</f>
        <v>0</v>
      </c>
      <c r="P1089" s="21">
        <f>IF(ISERROR(VLOOKUP(F1089,#REF!,6,0)*K1089/1000),0,VLOOKUP(F1089,#REF!,6,0)*K1089/1000)</f>
        <v>0</v>
      </c>
      <c r="Q1089" s="6">
        <f>IF(ISERROR(VLOOKUP(F1089,#REF!,3,0)),0,VLOOKUP(F1089,#REF!,3,0))</f>
        <v>0</v>
      </c>
      <c r="R1089" s="6">
        <f>IF(ISERROR(VLOOKUP(F1089,#REF!,4,0)),0,VLOOKUP(F1089,#REF!,4,0))</f>
        <v>0</v>
      </c>
      <c r="S1089" s="8">
        <f>IF(ISERROR(VLOOKUP(F1089,#REF!,4,0)),0,VLOOKUP(F1089,#REF!,10,0)/60*K1089)</f>
        <v>0</v>
      </c>
      <c r="T1089" s="3"/>
      <c r="U1089" s="3"/>
      <c r="V1089" s="4"/>
    </row>
    <row r="1090" spans="1:22" x14ac:dyDescent="0.3">
      <c r="A1090" s="5">
        <f t="shared" si="49"/>
        <v>0</v>
      </c>
      <c r="B1090" s="6">
        <f t="shared" si="50"/>
        <v>0</v>
      </c>
      <c r="K1090" s="18">
        <f t="shared" si="48"/>
        <v>0</v>
      </c>
      <c r="L1090" s="21">
        <f>IF(ISERROR(VLOOKUP($F1090,#REF!,6,0)*G1090/1000),0,VLOOKUP($F1090,#REF!,6,0)*G1090/1000)</f>
        <v>0</v>
      </c>
      <c r="M1090" s="21">
        <f>IF(ISERROR(VLOOKUP($F1090,#REF!,6,0)*H1090/1000),0,VLOOKUP($F1090,#REF!,6,0)*H1090/1000)</f>
        <v>0</v>
      </c>
      <c r="N1090" s="21">
        <f>IF(ISERROR(VLOOKUP($F1090,#REF!,6,0)*I1090/1000),0,VLOOKUP($F1090,#REF!,6,0)*I1090/1000)</f>
        <v>0</v>
      </c>
      <c r="O1090" s="21">
        <f>IF(ISERROR(VLOOKUP($F1090,#REF!,6,0)*J1090/1000),0,VLOOKUP($F1090,#REF!,6,0)*J1090/1000)</f>
        <v>0</v>
      </c>
      <c r="P1090" s="21">
        <f>IF(ISERROR(VLOOKUP(F1090,#REF!,6,0)*K1090/1000),0,VLOOKUP(F1090,#REF!,6,0)*K1090/1000)</f>
        <v>0</v>
      </c>
      <c r="Q1090" s="6">
        <f>IF(ISERROR(VLOOKUP(F1090,#REF!,3,0)),0,VLOOKUP(F1090,#REF!,3,0))</f>
        <v>0</v>
      </c>
      <c r="R1090" s="6">
        <f>IF(ISERROR(VLOOKUP(F1090,#REF!,4,0)),0,VLOOKUP(F1090,#REF!,4,0))</f>
        <v>0</v>
      </c>
      <c r="S1090" s="8">
        <f>IF(ISERROR(VLOOKUP(F1090,#REF!,4,0)),0,VLOOKUP(F1090,#REF!,10,0)/60*K1090)</f>
        <v>0</v>
      </c>
      <c r="T1090" s="3"/>
      <c r="U1090" s="3"/>
      <c r="V1090" s="4"/>
    </row>
    <row r="1091" spans="1:22" x14ac:dyDescent="0.3">
      <c r="A1091" s="5">
        <f t="shared" si="49"/>
        <v>0</v>
      </c>
      <c r="B1091" s="6">
        <f t="shared" si="50"/>
        <v>0</v>
      </c>
      <c r="K1091" s="18">
        <f t="shared" si="48"/>
        <v>0</v>
      </c>
      <c r="L1091" s="21">
        <f>IF(ISERROR(VLOOKUP($F1091,#REF!,6,0)*G1091/1000),0,VLOOKUP($F1091,#REF!,6,0)*G1091/1000)</f>
        <v>0</v>
      </c>
      <c r="M1091" s="21">
        <f>IF(ISERROR(VLOOKUP($F1091,#REF!,6,0)*H1091/1000),0,VLOOKUP($F1091,#REF!,6,0)*H1091/1000)</f>
        <v>0</v>
      </c>
      <c r="N1091" s="21">
        <f>IF(ISERROR(VLOOKUP($F1091,#REF!,6,0)*I1091/1000),0,VLOOKUP($F1091,#REF!,6,0)*I1091/1000)</f>
        <v>0</v>
      </c>
      <c r="O1091" s="21">
        <f>IF(ISERROR(VLOOKUP($F1091,#REF!,6,0)*J1091/1000),0,VLOOKUP($F1091,#REF!,6,0)*J1091/1000)</f>
        <v>0</v>
      </c>
      <c r="P1091" s="21">
        <f>IF(ISERROR(VLOOKUP(F1091,#REF!,6,0)*K1091/1000),0,VLOOKUP(F1091,#REF!,6,0)*K1091/1000)</f>
        <v>0</v>
      </c>
      <c r="Q1091" s="6">
        <f>IF(ISERROR(VLOOKUP(F1091,#REF!,3,0)),0,VLOOKUP(F1091,#REF!,3,0))</f>
        <v>0</v>
      </c>
      <c r="R1091" s="6">
        <f>IF(ISERROR(VLOOKUP(F1091,#REF!,4,0)),0,VLOOKUP(F1091,#REF!,4,0))</f>
        <v>0</v>
      </c>
      <c r="S1091" s="8">
        <f>IF(ISERROR(VLOOKUP(F1091,#REF!,4,0)),0,VLOOKUP(F1091,#REF!,10,0)/60*K1091)</f>
        <v>0</v>
      </c>
      <c r="T1091" s="3"/>
      <c r="U1091" s="3"/>
      <c r="V1091" s="4"/>
    </row>
    <row r="1092" spans="1:22" x14ac:dyDescent="0.3">
      <c r="A1092" s="5">
        <f t="shared" si="49"/>
        <v>0</v>
      </c>
      <c r="B1092" s="6">
        <f t="shared" si="50"/>
        <v>0</v>
      </c>
      <c r="K1092" s="18">
        <f t="shared" ref="K1092:K1155" si="51">SUM(G1092:J1092)</f>
        <v>0</v>
      </c>
      <c r="L1092" s="21">
        <f>IF(ISERROR(VLOOKUP($F1092,#REF!,6,0)*G1092/1000),0,VLOOKUP($F1092,#REF!,6,0)*G1092/1000)</f>
        <v>0</v>
      </c>
      <c r="M1092" s="21">
        <f>IF(ISERROR(VLOOKUP($F1092,#REF!,6,0)*H1092/1000),0,VLOOKUP($F1092,#REF!,6,0)*H1092/1000)</f>
        <v>0</v>
      </c>
      <c r="N1092" s="21">
        <f>IF(ISERROR(VLOOKUP($F1092,#REF!,6,0)*I1092/1000),0,VLOOKUP($F1092,#REF!,6,0)*I1092/1000)</f>
        <v>0</v>
      </c>
      <c r="O1092" s="21">
        <f>IF(ISERROR(VLOOKUP($F1092,#REF!,6,0)*J1092/1000),0,VLOOKUP($F1092,#REF!,6,0)*J1092/1000)</f>
        <v>0</v>
      </c>
      <c r="P1092" s="21">
        <f>IF(ISERROR(VLOOKUP(F1092,#REF!,6,0)*K1092/1000),0,VLOOKUP(F1092,#REF!,6,0)*K1092/1000)</f>
        <v>0</v>
      </c>
      <c r="Q1092" s="6">
        <f>IF(ISERROR(VLOOKUP(F1092,#REF!,3,0)),0,VLOOKUP(F1092,#REF!,3,0))</f>
        <v>0</v>
      </c>
      <c r="R1092" s="6">
        <f>IF(ISERROR(VLOOKUP(F1092,#REF!,4,0)),0,VLOOKUP(F1092,#REF!,4,0))</f>
        <v>0</v>
      </c>
      <c r="S1092" s="8">
        <f>IF(ISERROR(VLOOKUP(F1092,#REF!,4,0)),0,VLOOKUP(F1092,#REF!,10,0)/60*K1092)</f>
        <v>0</v>
      </c>
      <c r="T1092" s="3"/>
      <c r="U1092" s="3"/>
      <c r="V1092" s="4"/>
    </row>
    <row r="1093" spans="1:22" x14ac:dyDescent="0.3">
      <c r="A1093" s="5">
        <f t="shared" ref="A1093:A1156" si="52">IF(C1093=0,0,YEAR(C1093))</f>
        <v>0</v>
      </c>
      <c r="B1093" s="6">
        <f t="shared" ref="B1093:B1156" si="53">IF(C1093&gt;0,VLOOKUP(MONTH($C1093),$AJ$3:$AK$14,2,0),0)</f>
        <v>0</v>
      </c>
      <c r="K1093" s="18">
        <f t="shared" si="51"/>
        <v>0</v>
      </c>
      <c r="L1093" s="21">
        <f>IF(ISERROR(VLOOKUP($F1093,#REF!,6,0)*G1093/1000),0,VLOOKUP($F1093,#REF!,6,0)*G1093/1000)</f>
        <v>0</v>
      </c>
      <c r="M1093" s="21">
        <f>IF(ISERROR(VLOOKUP($F1093,#REF!,6,0)*H1093/1000),0,VLOOKUP($F1093,#REF!,6,0)*H1093/1000)</f>
        <v>0</v>
      </c>
      <c r="N1093" s="21">
        <f>IF(ISERROR(VLOOKUP($F1093,#REF!,6,0)*I1093/1000),0,VLOOKUP($F1093,#REF!,6,0)*I1093/1000)</f>
        <v>0</v>
      </c>
      <c r="O1093" s="21">
        <f>IF(ISERROR(VLOOKUP($F1093,#REF!,6,0)*J1093/1000),0,VLOOKUP($F1093,#REF!,6,0)*J1093/1000)</f>
        <v>0</v>
      </c>
      <c r="P1093" s="21">
        <f>IF(ISERROR(VLOOKUP(F1093,#REF!,6,0)*K1093/1000),0,VLOOKUP(F1093,#REF!,6,0)*K1093/1000)</f>
        <v>0</v>
      </c>
      <c r="Q1093" s="6">
        <f>IF(ISERROR(VLOOKUP(F1093,#REF!,3,0)),0,VLOOKUP(F1093,#REF!,3,0))</f>
        <v>0</v>
      </c>
      <c r="R1093" s="6">
        <f>IF(ISERROR(VLOOKUP(F1093,#REF!,4,0)),0,VLOOKUP(F1093,#REF!,4,0))</f>
        <v>0</v>
      </c>
      <c r="S1093" s="8">
        <f>IF(ISERROR(VLOOKUP(F1093,#REF!,4,0)),0,VLOOKUP(F1093,#REF!,10,0)/60*K1093)</f>
        <v>0</v>
      </c>
      <c r="T1093" s="3"/>
      <c r="U1093" s="3"/>
      <c r="V1093" s="4"/>
    </row>
    <row r="1094" spans="1:22" x14ac:dyDescent="0.3">
      <c r="A1094" s="5">
        <f t="shared" si="52"/>
        <v>0</v>
      </c>
      <c r="B1094" s="6">
        <f t="shared" si="53"/>
        <v>0</v>
      </c>
      <c r="K1094" s="18">
        <f t="shared" si="51"/>
        <v>0</v>
      </c>
      <c r="L1094" s="21">
        <f>IF(ISERROR(VLOOKUP($F1094,#REF!,6,0)*G1094/1000),0,VLOOKUP($F1094,#REF!,6,0)*G1094/1000)</f>
        <v>0</v>
      </c>
      <c r="M1094" s="21">
        <f>IF(ISERROR(VLOOKUP($F1094,#REF!,6,0)*H1094/1000),0,VLOOKUP($F1094,#REF!,6,0)*H1094/1000)</f>
        <v>0</v>
      </c>
      <c r="N1094" s="21">
        <f>IF(ISERROR(VLOOKUP($F1094,#REF!,6,0)*I1094/1000),0,VLOOKUP($F1094,#REF!,6,0)*I1094/1000)</f>
        <v>0</v>
      </c>
      <c r="O1094" s="21">
        <f>IF(ISERROR(VLOOKUP($F1094,#REF!,6,0)*J1094/1000),0,VLOOKUP($F1094,#REF!,6,0)*J1094/1000)</f>
        <v>0</v>
      </c>
      <c r="P1094" s="21">
        <f>IF(ISERROR(VLOOKUP(F1094,#REF!,6,0)*K1094/1000),0,VLOOKUP(F1094,#REF!,6,0)*K1094/1000)</f>
        <v>0</v>
      </c>
      <c r="Q1094" s="6">
        <f>IF(ISERROR(VLOOKUP(F1094,#REF!,3,0)),0,VLOOKUP(F1094,#REF!,3,0))</f>
        <v>0</v>
      </c>
      <c r="R1094" s="6">
        <f>IF(ISERROR(VLOOKUP(F1094,#REF!,4,0)),0,VLOOKUP(F1094,#REF!,4,0))</f>
        <v>0</v>
      </c>
      <c r="S1094" s="8">
        <f>IF(ISERROR(VLOOKUP(F1094,#REF!,4,0)),0,VLOOKUP(F1094,#REF!,10,0)/60*K1094)</f>
        <v>0</v>
      </c>
      <c r="T1094" s="3"/>
      <c r="U1094" s="3"/>
      <c r="V1094" s="4"/>
    </row>
    <row r="1095" spans="1:22" x14ac:dyDescent="0.3">
      <c r="A1095" s="5">
        <f t="shared" si="52"/>
        <v>0</v>
      </c>
      <c r="B1095" s="6">
        <f t="shared" si="53"/>
        <v>0</v>
      </c>
      <c r="K1095" s="18">
        <f t="shared" si="51"/>
        <v>0</v>
      </c>
      <c r="L1095" s="21">
        <f>IF(ISERROR(VLOOKUP($F1095,#REF!,6,0)*G1095/1000),0,VLOOKUP($F1095,#REF!,6,0)*G1095/1000)</f>
        <v>0</v>
      </c>
      <c r="M1095" s="21">
        <f>IF(ISERROR(VLOOKUP($F1095,#REF!,6,0)*H1095/1000),0,VLOOKUP($F1095,#REF!,6,0)*H1095/1000)</f>
        <v>0</v>
      </c>
      <c r="N1095" s="21">
        <f>IF(ISERROR(VLOOKUP($F1095,#REF!,6,0)*I1095/1000),0,VLOOKUP($F1095,#REF!,6,0)*I1095/1000)</f>
        <v>0</v>
      </c>
      <c r="O1095" s="21">
        <f>IF(ISERROR(VLOOKUP($F1095,#REF!,6,0)*J1095/1000),0,VLOOKUP($F1095,#REF!,6,0)*J1095/1000)</f>
        <v>0</v>
      </c>
      <c r="P1095" s="21">
        <f>IF(ISERROR(VLOOKUP(F1095,#REF!,6,0)*K1095/1000),0,VLOOKUP(F1095,#REF!,6,0)*K1095/1000)</f>
        <v>0</v>
      </c>
      <c r="Q1095" s="6">
        <f>IF(ISERROR(VLOOKUP(F1095,#REF!,3,0)),0,VLOOKUP(F1095,#REF!,3,0))</f>
        <v>0</v>
      </c>
      <c r="R1095" s="6">
        <f>IF(ISERROR(VLOOKUP(F1095,#REF!,4,0)),0,VLOOKUP(F1095,#REF!,4,0))</f>
        <v>0</v>
      </c>
      <c r="S1095" s="8">
        <f>IF(ISERROR(VLOOKUP(F1095,#REF!,4,0)),0,VLOOKUP(F1095,#REF!,10,0)/60*K1095)</f>
        <v>0</v>
      </c>
      <c r="T1095" s="3"/>
      <c r="U1095" s="3"/>
      <c r="V1095" s="4"/>
    </row>
    <row r="1096" spans="1:22" x14ac:dyDescent="0.3">
      <c r="A1096" s="5">
        <f t="shared" si="52"/>
        <v>0</v>
      </c>
      <c r="B1096" s="6">
        <f t="shared" si="53"/>
        <v>0</v>
      </c>
      <c r="K1096" s="18">
        <f t="shared" si="51"/>
        <v>0</v>
      </c>
      <c r="L1096" s="21">
        <f>IF(ISERROR(VLOOKUP($F1096,#REF!,6,0)*G1096/1000),0,VLOOKUP($F1096,#REF!,6,0)*G1096/1000)</f>
        <v>0</v>
      </c>
      <c r="M1096" s="21">
        <f>IF(ISERROR(VLOOKUP($F1096,#REF!,6,0)*H1096/1000),0,VLOOKUP($F1096,#REF!,6,0)*H1096/1000)</f>
        <v>0</v>
      </c>
      <c r="N1096" s="21">
        <f>IF(ISERROR(VLOOKUP($F1096,#REF!,6,0)*I1096/1000),0,VLOOKUP($F1096,#REF!,6,0)*I1096/1000)</f>
        <v>0</v>
      </c>
      <c r="O1096" s="21">
        <f>IF(ISERROR(VLOOKUP($F1096,#REF!,6,0)*J1096/1000),0,VLOOKUP($F1096,#REF!,6,0)*J1096/1000)</f>
        <v>0</v>
      </c>
      <c r="P1096" s="21">
        <f>IF(ISERROR(VLOOKUP(F1096,#REF!,6,0)*K1096/1000),0,VLOOKUP(F1096,#REF!,6,0)*K1096/1000)</f>
        <v>0</v>
      </c>
      <c r="Q1096" s="6">
        <f>IF(ISERROR(VLOOKUP(F1096,#REF!,3,0)),0,VLOOKUP(F1096,#REF!,3,0))</f>
        <v>0</v>
      </c>
      <c r="R1096" s="6">
        <f>IF(ISERROR(VLOOKUP(F1096,#REF!,4,0)),0,VLOOKUP(F1096,#REF!,4,0))</f>
        <v>0</v>
      </c>
      <c r="S1096" s="8">
        <f>IF(ISERROR(VLOOKUP(F1096,#REF!,4,0)),0,VLOOKUP(F1096,#REF!,10,0)/60*K1096)</f>
        <v>0</v>
      </c>
      <c r="T1096" s="3"/>
      <c r="U1096" s="3"/>
      <c r="V1096" s="4"/>
    </row>
    <row r="1097" spans="1:22" x14ac:dyDescent="0.3">
      <c r="A1097" s="5">
        <f t="shared" si="52"/>
        <v>0</v>
      </c>
      <c r="B1097" s="6">
        <f t="shared" si="53"/>
        <v>0</v>
      </c>
      <c r="K1097" s="18">
        <f t="shared" si="51"/>
        <v>0</v>
      </c>
      <c r="L1097" s="21">
        <f>IF(ISERROR(VLOOKUP($F1097,#REF!,6,0)*G1097/1000),0,VLOOKUP($F1097,#REF!,6,0)*G1097/1000)</f>
        <v>0</v>
      </c>
      <c r="M1097" s="21">
        <f>IF(ISERROR(VLOOKUP($F1097,#REF!,6,0)*H1097/1000),0,VLOOKUP($F1097,#REF!,6,0)*H1097/1000)</f>
        <v>0</v>
      </c>
      <c r="N1097" s="21">
        <f>IF(ISERROR(VLOOKUP($F1097,#REF!,6,0)*I1097/1000),0,VLOOKUP($F1097,#REF!,6,0)*I1097/1000)</f>
        <v>0</v>
      </c>
      <c r="O1097" s="21">
        <f>IF(ISERROR(VLOOKUP($F1097,#REF!,6,0)*J1097/1000),0,VLOOKUP($F1097,#REF!,6,0)*J1097/1000)</f>
        <v>0</v>
      </c>
      <c r="P1097" s="21">
        <f>IF(ISERROR(VLOOKUP(F1097,#REF!,6,0)*K1097/1000),0,VLOOKUP(F1097,#REF!,6,0)*K1097/1000)</f>
        <v>0</v>
      </c>
      <c r="Q1097" s="6">
        <f>IF(ISERROR(VLOOKUP(F1097,#REF!,3,0)),0,VLOOKUP(F1097,#REF!,3,0))</f>
        <v>0</v>
      </c>
      <c r="R1097" s="6">
        <f>IF(ISERROR(VLOOKUP(F1097,#REF!,4,0)),0,VLOOKUP(F1097,#REF!,4,0))</f>
        <v>0</v>
      </c>
      <c r="S1097" s="8">
        <f>IF(ISERROR(VLOOKUP(F1097,#REF!,4,0)),0,VLOOKUP(F1097,#REF!,10,0)/60*K1097)</f>
        <v>0</v>
      </c>
      <c r="T1097" s="3"/>
      <c r="U1097" s="3"/>
      <c r="V1097" s="4"/>
    </row>
    <row r="1098" spans="1:22" x14ac:dyDescent="0.3">
      <c r="A1098" s="5">
        <f t="shared" si="52"/>
        <v>0</v>
      </c>
      <c r="B1098" s="6">
        <f t="shared" si="53"/>
        <v>0</v>
      </c>
      <c r="K1098" s="18">
        <f t="shared" si="51"/>
        <v>0</v>
      </c>
      <c r="L1098" s="21">
        <f>IF(ISERROR(VLOOKUP($F1098,#REF!,6,0)*G1098/1000),0,VLOOKUP($F1098,#REF!,6,0)*G1098/1000)</f>
        <v>0</v>
      </c>
      <c r="M1098" s="21">
        <f>IF(ISERROR(VLOOKUP($F1098,#REF!,6,0)*H1098/1000),0,VLOOKUP($F1098,#REF!,6,0)*H1098/1000)</f>
        <v>0</v>
      </c>
      <c r="N1098" s="21">
        <f>IF(ISERROR(VLOOKUP($F1098,#REF!,6,0)*I1098/1000),0,VLOOKUP($F1098,#REF!,6,0)*I1098/1000)</f>
        <v>0</v>
      </c>
      <c r="O1098" s="21">
        <f>IF(ISERROR(VLOOKUP($F1098,#REF!,6,0)*J1098/1000),0,VLOOKUP($F1098,#REF!,6,0)*J1098/1000)</f>
        <v>0</v>
      </c>
      <c r="P1098" s="21">
        <f>IF(ISERROR(VLOOKUP(F1098,#REF!,6,0)*K1098/1000),0,VLOOKUP(F1098,#REF!,6,0)*K1098/1000)</f>
        <v>0</v>
      </c>
      <c r="Q1098" s="6">
        <f>IF(ISERROR(VLOOKUP(F1098,#REF!,3,0)),0,VLOOKUP(F1098,#REF!,3,0))</f>
        <v>0</v>
      </c>
      <c r="R1098" s="6">
        <f>IF(ISERROR(VLOOKUP(F1098,#REF!,4,0)),0,VLOOKUP(F1098,#REF!,4,0))</f>
        <v>0</v>
      </c>
      <c r="S1098" s="8">
        <f>IF(ISERROR(VLOOKUP(F1098,#REF!,4,0)),0,VLOOKUP(F1098,#REF!,10,0)/60*K1098)</f>
        <v>0</v>
      </c>
      <c r="T1098" s="3"/>
      <c r="U1098" s="3"/>
      <c r="V1098" s="4"/>
    </row>
    <row r="1099" spans="1:22" x14ac:dyDescent="0.3">
      <c r="A1099" s="5">
        <f t="shared" si="52"/>
        <v>0</v>
      </c>
      <c r="B1099" s="6">
        <f t="shared" si="53"/>
        <v>0</v>
      </c>
      <c r="K1099" s="18">
        <f t="shared" si="51"/>
        <v>0</v>
      </c>
      <c r="L1099" s="21">
        <f>IF(ISERROR(VLOOKUP($F1099,#REF!,6,0)*G1099/1000),0,VLOOKUP($F1099,#REF!,6,0)*G1099/1000)</f>
        <v>0</v>
      </c>
      <c r="M1099" s="21">
        <f>IF(ISERROR(VLOOKUP($F1099,#REF!,6,0)*H1099/1000),0,VLOOKUP($F1099,#REF!,6,0)*H1099/1000)</f>
        <v>0</v>
      </c>
      <c r="N1099" s="21">
        <f>IF(ISERROR(VLOOKUP($F1099,#REF!,6,0)*I1099/1000),0,VLOOKUP($F1099,#REF!,6,0)*I1099/1000)</f>
        <v>0</v>
      </c>
      <c r="O1099" s="21">
        <f>IF(ISERROR(VLOOKUP($F1099,#REF!,6,0)*J1099/1000),0,VLOOKUP($F1099,#REF!,6,0)*J1099/1000)</f>
        <v>0</v>
      </c>
      <c r="P1099" s="21">
        <f>IF(ISERROR(VLOOKUP(F1099,#REF!,6,0)*K1099/1000),0,VLOOKUP(F1099,#REF!,6,0)*K1099/1000)</f>
        <v>0</v>
      </c>
      <c r="Q1099" s="6">
        <f>IF(ISERROR(VLOOKUP(F1099,#REF!,3,0)),0,VLOOKUP(F1099,#REF!,3,0))</f>
        <v>0</v>
      </c>
      <c r="R1099" s="6">
        <f>IF(ISERROR(VLOOKUP(F1099,#REF!,4,0)),0,VLOOKUP(F1099,#REF!,4,0))</f>
        <v>0</v>
      </c>
      <c r="S1099" s="8">
        <f>IF(ISERROR(VLOOKUP(F1099,#REF!,4,0)),0,VLOOKUP(F1099,#REF!,10,0)/60*K1099)</f>
        <v>0</v>
      </c>
      <c r="T1099" s="3"/>
      <c r="U1099" s="3"/>
      <c r="V1099" s="4"/>
    </row>
    <row r="1100" spans="1:22" x14ac:dyDescent="0.3">
      <c r="A1100" s="5">
        <f t="shared" si="52"/>
        <v>0</v>
      </c>
      <c r="B1100" s="6">
        <f t="shared" si="53"/>
        <v>0</v>
      </c>
      <c r="K1100" s="18">
        <f t="shared" si="51"/>
        <v>0</v>
      </c>
      <c r="L1100" s="21">
        <f>IF(ISERROR(VLOOKUP($F1100,#REF!,6,0)*G1100/1000),0,VLOOKUP($F1100,#REF!,6,0)*G1100/1000)</f>
        <v>0</v>
      </c>
      <c r="M1100" s="21">
        <f>IF(ISERROR(VLOOKUP($F1100,#REF!,6,0)*H1100/1000),0,VLOOKUP($F1100,#REF!,6,0)*H1100/1000)</f>
        <v>0</v>
      </c>
      <c r="N1100" s="21">
        <f>IF(ISERROR(VLOOKUP($F1100,#REF!,6,0)*I1100/1000),0,VLOOKUP($F1100,#REF!,6,0)*I1100/1000)</f>
        <v>0</v>
      </c>
      <c r="O1100" s="21">
        <f>IF(ISERROR(VLOOKUP($F1100,#REF!,6,0)*J1100/1000),0,VLOOKUP($F1100,#REF!,6,0)*J1100/1000)</f>
        <v>0</v>
      </c>
      <c r="P1100" s="21">
        <f>IF(ISERROR(VLOOKUP(F1100,#REF!,6,0)*K1100/1000),0,VLOOKUP(F1100,#REF!,6,0)*K1100/1000)</f>
        <v>0</v>
      </c>
      <c r="Q1100" s="6">
        <f>IF(ISERROR(VLOOKUP(F1100,#REF!,3,0)),0,VLOOKUP(F1100,#REF!,3,0))</f>
        <v>0</v>
      </c>
      <c r="R1100" s="6">
        <f>IF(ISERROR(VLOOKUP(F1100,#REF!,4,0)),0,VLOOKUP(F1100,#REF!,4,0))</f>
        <v>0</v>
      </c>
      <c r="S1100" s="8">
        <f>IF(ISERROR(VLOOKUP(F1100,#REF!,4,0)),0,VLOOKUP(F1100,#REF!,10,0)/60*K1100)</f>
        <v>0</v>
      </c>
      <c r="T1100" s="3"/>
      <c r="U1100" s="3"/>
      <c r="V1100" s="4"/>
    </row>
    <row r="1101" spans="1:22" x14ac:dyDescent="0.3">
      <c r="A1101" s="5">
        <f t="shared" si="52"/>
        <v>0</v>
      </c>
      <c r="B1101" s="6">
        <f t="shared" si="53"/>
        <v>0</v>
      </c>
      <c r="K1101" s="18">
        <f t="shared" si="51"/>
        <v>0</v>
      </c>
      <c r="L1101" s="21">
        <f>IF(ISERROR(VLOOKUP($F1101,#REF!,6,0)*G1101/1000),0,VLOOKUP($F1101,#REF!,6,0)*G1101/1000)</f>
        <v>0</v>
      </c>
      <c r="M1101" s="21">
        <f>IF(ISERROR(VLOOKUP($F1101,#REF!,6,0)*H1101/1000),0,VLOOKUP($F1101,#REF!,6,0)*H1101/1000)</f>
        <v>0</v>
      </c>
      <c r="N1101" s="21">
        <f>IF(ISERROR(VLOOKUP($F1101,#REF!,6,0)*I1101/1000),0,VLOOKUP($F1101,#REF!,6,0)*I1101/1000)</f>
        <v>0</v>
      </c>
      <c r="O1101" s="21">
        <f>IF(ISERROR(VLOOKUP($F1101,#REF!,6,0)*J1101/1000),0,VLOOKUP($F1101,#REF!,6,0)*J1101/1000)</f>
        <v>0</v>
      </c>
      <c r="P1101" s="21">
        <f>IF(ISERROR(VLOOKUP(F1101,#REF!,6,0)*K1101/1000),0,VLOOKUP(F1101,#REF!,6,0)*K1101/1000)</f>
        <v>0</v>
      </c>
      <c r="Q1101" s="6">
        <f>IF(ISERROR(VLOOKUP(F1101,#REF!,3,0)),0,VLOOKUP(F1101,#REF!,3,0))</f>
        <v>0</v>
      </c>
      <c r="R1101" s="6">
        <f>IF(ISERROR(VLOOKUP(F1101,#REF!,4,0)),0,VLOOKUP(F1101,#REF!,4,0))</f>
        <v>0</v>
      </c>
      <c r="S1101" s="8">
        <f>IF(ISERROR(VLOOKUP(F1101,#REF!,4,0)),0,VLOOKUP(F1101,#REF!,10,0)/60*K1101)</f>
        <v>0</v>
      </c>
      <c r="T1101" s="3"/>
      <c r="U1101" s="3"/>
      <c r="V1101" s="4"/>
    </row>
    <row r="1102" spans="1:22" x14ac:dyDescent="0.3">
      <c r="A1102" s="5">
        <f t="shared" si="52"/>
        <v>0</v>
      </c>
      <c r="B1102" s="6">
        <f t="shared" si="53"/>
        <v>0</v>
      </c>
      <c r="K1102" s="18">
        <f t="shared" si="51"/>
        <v>0</v>
      </c>
      <c r="L1102" s="21">
        <f>IF(ISERROR(VLOOKUP($F1102,#REF!,6,0)*G1102/1000),0,VLOOKUP($F1102,#REF!,6,0)*G1102/1000)</f>
        <v>0</v>
      </c>
      <c r="M1102" s="21">
        <f>IF(ISERROR(VLOOKUP($F1102,#REF!,6,0)*H1102/1000),0,VLOOKUP($F1102,#REF!,6,0)*H1102/1000)</f>
        <v>0</v>
      </c>
      <c r="N1102" s="21">
        <f>IF(ISERROR(VLOOKUP($F1102,#REF!,6,0)*I1102/1000),0,VLOOKUP($F1102,#REF!,6,0)*I1102/1000)</f>
        <v>0</v>
      </c>
      <c r="O1102" s="21">
        <f>IF(ISERROR(VLOOKUP($F1102,#REF!,6,0)*J1102/1000),0,VLOOKUP($F1102,#REF!,6,0)*J1102/1000)</f>
        <v>0</v>
      </c>
      <c r="P1102" s="21">
        <f>IF(ISERROR(VLOOKUP(F1102,#REF!,6,0)*K1102/1000),0,VLOOKUP(F1102,#REF!,6,0)*K1102/1000)</f>
        <v>0</v>
      </c>
      <c r="Q1102" s="6">
        <f>IF(ISERROR(VLOOKUP(F1102,#REF!,3,0)),0,VLOOKUP(F1102,#REF!,3,0))</f>
        <v>0</v>
      </c>
      <c r="R1102" s="6">
        <f>IF(ISERROR(VLOOKUP(F1102,#REF!,4,0)),0,VLOOKUP(F1102,#REF!,4,0))</f>
        <v>0</v>
      </c>
      <c r="S1102" s="8">
        <f>IF(ISERROR(VLOOKUP(F1102,#REF!,4,0)),0,VLOOKUP(F1102,#REF!,10,0)/60*K1102)</f>
        <v>0</v>
      </c>
      <c r="T1102" s="3"/>
      <c r="U1102" s="3"/>
      <c r="V1102" s="4"/>
    </row>
    <row r="1103" spans="1:22" x14ac:dyDescent="0.3">
      <c r="A1103" s="5">
        <f t="shared" si="52"/>
        <v>0</v>
      </c>
      <c r="B1103" s="6">
        <f t="shared" si="53"/>
        <v>0</v>
      </c>
      <c r="K1103" s="18">
        <f t="shared" si="51"/>
        <v>0</v>
      </c>
      <c r="L1103" s="21">
        <f>IF(ISERROR(VLOOKUP($F1103,#REF!,6,0)*G1103/1000),0,VLOOKUP($F1103,#REF!,6,0)*G1103/1000)</f>
        <v>0</v>
      </c>
      <c r="M1103" s="21">
        <f>IF(ISERROR(VLOOKUP($F1103,#REF!,6,0)*H1103/1000),0,VLOOKUP($F1103,#REF!,6,0)*H1103/1000)</f>
        <v>0</v>
      </c>
      <c r="N1103" s="21">
        <f>IF(ISERROR(VLOOKUP($F1103,#REF!,6,0)*I1103/1000),0,VLOOKUP($F1103,#REF!,6,0)*I1103/1000)</f>
        <v>0</v>
      </c>
      <c r="O1103" s="21">
        <f>IF(ISERROR(VLOOKUP($F1103,#REF!,6,0)*J1103/1000),0,VLOOKUP($F1103,#REF!,6,0)*J1103/1000)</f>
        <v>0</v>
      </c>
      <c r="P1103" s="21">
        <f>IF(ISERROR(VLOOKUP(F1103,#REF!,6,0)*K1103/1000),0,VLOOKUP(F1103,#REF!,6,0)*K1103/1000)</f>
        <v>0</v>
      </c>
      <c r="Q1103" s="6">
        <f>IF(ISERROR(VLOOKUP(F1103,#REF!,3,0)),0,VLOOKUP(F1103,#REF!,3,0))</f>
        <v>0</v>
      </c>
      <c r="R1103" s="6">
        <f>IF(ISERROR(VLOOKUP(F1103,#REF!,4,0)),0,VLOOKUP(F1103,#REF!,4,0))</f>
        <v>0</v>
      </c>
      <c r="S1103" s="8">
        <f>IF(ISERROR(VLOOKUP(F1103,#REF!,4,0)),0,VLOOKUP(F1103,#REF!,10,0)/60*K1103)</f>
        <v>0</v>
      </c>
      <c r="T1103" s="3"/>
      <c r="U1103" s="3"/>
      <c r="V1103" s="4"/>
    </row>
    <row r="1104" spans="1:22" x14ac:dyDescent="0.3">
      <c r="A1104" s="5">
        <f t="shared" si="52"/>
        <v>0</v>
      </c>
      <c r="B1104" s="6">
        <f t="shared" si="53"/>
        <v>0</v>
      </c>
      <c r="K1104" s="18">
        <f t="shared" si="51"/>
        <v>0</v>
      </c>
      <c r="L1104" s="21">
        <f>IF(ISERROR(VLOOKUP($F1104,#REF!,6,0)*G1104/1000),0,VLOOKUP($F1104,#REF!,6,0)*G1104/1000)</f>
        <v>0</v>
      </c>
      <c r="M1104" s="21">
        <f>IF(ISERROR(VLOOKUP($F1104,#REF!,6,0)*H1104/1000),0,VLOOKUP($F1104,#REF!,6,0)*H1104/1000)</f>
        <v>0</v>
      </c>
      <c r="N1104" s="21">
        <f>IF(ISERROR(VLOOKUP($F1104,#REF!,6,0)*I1104/1000),0,VLOOKUP($F1104,#REF!,6,0)*I1104/1000)</f>
        <v>0</v>
      </c>
      <c r="O1104" s="21">
        <f>IF(ISERROR(VLOOKUP($F1104,#REF!,6,0)*J1104/1000),0,VLOOKUP($F1104,#REF!,6,0)*J1104/1000)</f>
        <v>0</v>
      </c>
      <c r="P1104" s="21">
        <f>IF(ISERROR(VLOOKUP(F1104,#REF!,6,0)*K1104/1000),0,VLOOKUP(F1104,#REF!,6,0)*K1104/1000)</f>
        <v>0</v>
      </c>
      <c r="Q1104" s="6">
        <f>IF(ISERROR(VLOOKUP(F1104,#REF!,3,0)),0,VLOOKUP(F1104,#REF!,3,0))</f>
        <v>0</v>
      </c>
      <c r="R1104" s="6">
        <f>IF(ISERROR(VLOOKUP(F1104,#REF!,4,0)),0,VLOOKUP(F1104,#REF!,4,0))</f>
        <v>0</v>
      </c>
      <c r="S1104" s="8">
        <f>IF(ISERROR(VLOOKUP(F1104,#REF!,4,0)),0,VLOOKUP(F1104,#REF!,10,0)/60*K1104)</f>
        <v>0</v>
      </c>
      <c r="T1104" s="3"/>
      <c r="U1104" s="3"/>
      <c r="V1104" s="4"/>
    </row>
    <row r="1105" spans="1:22" x14ac:dyDescent="0.3">
      <c r="A1105" s="5">
        <f t="shared" si="52"/>
        <v>0</v>
      </c>
      <c r="B1105" s="6">
        <f t="shared" si="53"/>
        <v>0</v>
      </c>
      <c r="K1105" s="18">
        <f t="shared" si="51"/>
        <v>0</v>
      </c>
      <c r="L1105" s="21">
        <f>IF(ISERROR(VLOOKUP($F1105,#REF!,6,0)*G1105/1000),0,VLOOKUP($F1105,#REF!,6,0)*G1105/1000)</f>
        <v>0</v>
      </c>
      <c r="M1105" s="21">
        <f>IF(ISERROR(VLOOKUP($F1105,#REF!,6,0)*H1105/1000),0,VLOOKUP($F1105,#REF!,6,0)*H1105/1000)</f>
        <v>0</v>
      </c>
      <c r="N1105" s="21">
        <f>IF(ISERROR(VLOOKUP($F1105,#REF!,6,0)*I1105/1000),0,VLOOKUP($F1105,#REF!,6,0)*I1105/1000)</f>
        <v>0</v>
      </c>
      <c r="O1105" s="21">
        <f>IF(ISERROR(VLOOKUP($F1105,#REF!,6,0)*J1105/1000),0,VLOOKUP($F1105,#REF!,6,0)*J1105/1000)</f>
        <v>0</v>
      </c>
      <c r="P1105" s="21">
        <f>IF(ISERROR(VLOOKUP(F1105,#REF!,6,0)*K1105/1000),0,VLOOKUP(F1105,#REF!,6,0)*K1105/1000)</f>
        <v>0</v>
      </c>
      <c r="Q1105" s="6">
        <f>IF(ISERROR(VLOOKUP(F1105,#REF!,3,0)),0,VLOOKUP(F1105,#REF!,3,0))</f>
        <v>0</v>
      </c>
      <c r="R1105" s="6">
        <f>IF(ISERROR(VLOOKUP(F1105,#REF!,4,0)),0,VLOOKUP(F1105,#REF!,4,0))</f>
        <v>0</v>
      </c>
      <c r="S1105" s="8">
        <f>IF(ISERROR(VLOOKUP(F1105,#REF!,4,0)),0,VLOOKUP(F1105,#REF!,10,0)/60*K1105)</f>
        <v>0</v>
      </c>
      <c r="T1105" s="3"/>
      <c r="U1105" s="3"/>
      <c r="V1105" s="4"/>
    </row>
    <row r="1106" spans="1:22" x14ac:dyDescent="0.3">
      <c r="A1106" s="5">
        <f t="shared" si="52"/>
        <v>0</v>
      </c>
      <c r="B1106" s="6">
        <f t="shared" si="53"/>
        <v>0</v>
      </c>
      <c r="K1106" s="18">
        <f t="shared" si="51"/>
        <v>0</v>
      </c>
      <c r="L1106" s="21">
        <f>IF(ISERROR(VLOOKUP($F1106,#REF!,6,0)*G1106/1000),0,VLOOKUP($F1106,#REF!,6,0)*G1106/1000)</f>
        <v>0</v>
      </c>
      <c r="M1106" s="21">
        <f>IF(ISERROR(VLOOKUP($F1106,#REF!,6,0)*H1106/1000),0,VLOOKUP($F1106,#REF!,6,0)*H1106/1000)</f>
        <v>0</v>
      </c>
      <c r="N1106" s="21">
        <f>IF(ISERROR(VLOOKUP($F1106,#REF!,6,0)*I1106/1000),0,VLOOKUP($F1106,#REF!,6,0)*I1106/1000)</f>
        <v>0</v>
      </c>
      <c r="O1106" s="21">
        <f>IF(ISERROR(VLOOKUP($F1106,#REF!,6,0)*J1106/1000),0,VLOOKUP($F1106,#REF!,6,0)*J1106/1000)</f>
        <v>0</v>
      </c>
      <c r="P1106" s="21">
        <f>IF(ISERROR(VLOOKUP(F1106,#REF!,6,0)*K1106/1000),0,VLOOKUP(F1106,#REF!,6,0)*K1106/1000)</f>
        <v>0</v>
      </c>
      <c r="Q1106" s="6">
        <f>IF(ISERROR(VLOOKUP(F1106,#REF!,3,0)),0,VLOOKUP(F1106,#REF!,3,0))</f>
        <v>0</v>
      </c>
      <c r="R1106" s="6">
        <f>IF(ISERROR(VLOOKUP(F1106,#REF!,4,0)),0,VLOOKUP(F1106,#REF!,4,0))</f>
        <v>0</v>
      </c>
      <c r="S1106" s="8">
        <f>IF(ISERROR(VLOOKUP(F1106,#REF!,4,0)),0,VLOOKUP(F1106,#REF!,10,0)/60*K1106)</f>
        <v>0</v>
      </c>
      <c r="T1106" s="3"/>
      <c r="U1106" s="3"/>
      <c r="V1106" s="4"/>
    </row>
    <row r="1107" spans="1:22" x14ac:dyDescent="0.3">
      <c r="A1107" s="5">
        <f t="shared" si="52"/>
        <v>0</v>
      </c>
      <c r="B1107" s="6">
        <f t="shared" si="53"/>
        <v>0</v>
      </c>
      <c r="K1107" s="18">
        <f t="shared" si="51"/>
        <v>0</v>
      </c>
      <c r="L1107" s="21">
        <f>IF(ISERROR(VLOOKUP($F1107,#REF!,6,0)*G1107/1000),0,VLOOKUP($F1107,#REF!,6,0)*G1107/1000)</f>
        <v>0</v>
      </c>
      <c r="M1107" s="21">
        <f>IF(ISERROR(VLOOKUP($F1107,#REF!,6,0)*H1107/1000),0,VLOOKUP($F1107,#REF!,6,0)*H1107/1000)</f>
        <v>0</v>
      </c>
      <c r="N1107" s="21">
        <f>IF(ISERROR(VLOOKUP($F1107,#REF!,6,0)*I1107/1000),0,VLOOKUP($F1107,#REF!,6,0)*I1107/1000)</f>
        <v>0</v>
      </c>
      <c r="O1107" s="21">
        <f>IF(ISERROR(VLOOKUP($F1107,#REF!,6,0)*J1107/1000),0,VLOOKUP($F1107,#REF!,6,0)*J1107/1000)</f>
        <v>0</v>
      </c>
      <c r="P1107" s="21">
        <f>IF(ISERROR(VLOOKUP(F1107,#REF!,6,0)*K1107/1000),0,VLOOKUP(F1107,#REF!,6,0)*K1107/1000)</f>
        <v>0</v>
      </c>
      <c r="Q1107" s="6">
        <f>IF(ISERROR(VLOOKUP(F1107,#REF!,3,0)),0,VLOOKUP(F1107,#REF!,3,0))</f>
        <v>0</v>
      </c>
      <c r="R1107" s="6">
        <f>IF(ISERROR(VLOOKUP(F1107,#REF!,4,0)),0,VLOOKUP(F1107,#REF!,4,0))</f>
        <v>0</v>
      </c>
      <c r="S1107" s="8">
        <f>IF(ISERROR(VLOOKUP(F1107,#REF!,4,0)),0,VLOOKUP(F1107,#REF!,10,0)/60*K1107)</f>
        <v>0</v>
      </c>
      <c r="T1107" s="3"/>
      <c r="U1107" s="3"/>
      <c r="V1107" s="4"/>
    </row>
    <row r="1108" spans="1:22" x14ac:dyDescent="0.3">
      <c r="A1108" s="5">
        <f t="shared" si="52"/>
        <v>0</v>
      </c>
      <c r="B1108" s="6">
        <f t="shared" si="53"/>
        <v>0</v>
      </c>
      <c r="K1108" s="18">
        <f t="shared" si="51"/>
        <v>0</v>
      </c>
      <c r="L1108" s="21">
        <f>IF(ISERROR(VLOOKUP($F1108,#REF!,6,0)*G1108/1000),0,VLOOKUP($F1108,#REF!,6,0)*G1108/1000)</f>
        <v>0</v>
      </c>
      <c r="M1108" s="21">
        <f>IF(ISERROR(VLOOKUP($F1108,#REF!,6,0)*H1108/1000),0,VLOOKUP($F1108,#REF!,6,0)*H1108/1000)</f>
        <v>0</v>
      </c>
      <c r="N1108" s="21">
        <f>IF(ISERROR(VLOOKUP($F1108,#REF!,6,0)*I1108/1000),0,VLOOKUP($F1108,#REF!,6,0)*I1108/1000)</f>
        <v>0</v>
      </c>
      <c r="O1108" s="21">
        <f>IF(ISERROR(VLOOKUP($F1108,#REF!,6,0)*J1108/1000),0,VLOOKUP($F1108,#REF!,6,0)*J1108/1000)</f>
        <v>0</v>
      </c>
      <c r="P1108" s="21">
        <f>IF(ISERROR(VLOOKUP(F1108,#REF!,6,0)*K1108/1000),0,VLOOKUP(F1108,#REF!,6,0)*K1108/1000)</f>
        <v>0</v>
      </c>
      <c r="Q1108" s="6">
        <f>IF(ISERROR(VLOOKUP(F1108,#REF!,3,0)),0,VLOOKUP(F1108,#REF!,3,0))</f>
        <v>0</v>
      </c>
      <c r="R1108" s="6">
        <f>IF(ISERROR(VLOOKUP(F1108,#REF!,4,0)),0,VLOOKUP(F1108,#REF!,4,0))</f>
        <v>0</v>
      </c>
      <c r="S1108" s="8">
        <f>IF(ISERROR(VLOOKUP(F1108,#REF!,4,0)),0,VLOOKUP(F1108,#REF!,10,0)/60*K1108)</f>
        <v>0</v>
      </c>
      <c r="T1108" s="3"/>
      <c r="U1108" s="3"/>
      <c r="V1108" s="4"/>
    </row>
    <row r="1109" spans="1:22" x14ac:dyDescent="0.3">
      <c r="A1109" s="5">
        <f t="shared" si="52"/>
        <v>0</v>
      </c>
      <c r="B1109" s="6">
        <f t="shared" si="53"/>
        <v>0</v>
      </c>
      <c r="K1109" s="18">
        <f t="shared" si="51"/>
        <v>0</v>
      </c>
      <c r="L1109" s="21">
        <f>IF(ISERROR(VLOOKUP($F1109,#REF!,6,0)*G1109/1000),0,VLOOKUP($F1109,#REF!,6,0)*G1109/1000)</f>
        <v>0</v>
      </c>
      <c r="M1109" s="21">
        <f>IF(ISERROR(VLOOKUP($F1109,#REF!,6,0)*H1109/1000),0,VLOOKUP($F1109,#REF!,6,0)*H1109/1000)</f>
        <v>0</v>
      </c>
      <c r="N1109" s="21">
        <f>IF(ISERROR(VLOOKUP($F1109,#REF!,6,0)*I1109/1000),0,VLOOKUP($F1109,#REF!,6,0)*I1109/1000)</f>
        <v>0</v>
      </c>
      <c r="O1109" s="21">
        <f>IF(ISERROR(VLOOKUP($F1109,#REF!,6,0)*J1109/1000),0,VLOOKUP($F1109,#REF!,6,0)*J1109/1000)</f>
        <v>0</v>
      </c>
      <c r="P1109" s="21">
        <f>IF(ISERROR(VLOOKUP(F1109,#REF!,6,0)*K1109/1000),0,VLOOKUP(F1109,#REF!,6,0)*K1109/1000)</f>
        <v>0</v>
      </c>
      <c r="Q1109" s="6">
        <f>IF(ISERROR(VLOOKUP(F1109,#REF!,3,0)),0,VLOOKUP(F1109,#REF!,3,0))</f>
        <v>0</v>
      </c>
      <c r="R1109" s="6">
        <f>IF(ISERROR(VLOOKUP(F1109,#REF!,4,0)),0,VLOOKUP(F1109,#REF!,4,0))</f>
        <v>0</v>
      </c>
      <c r="S1109" s="8">
        <f>IF(ISERROR(VLOOKUP(F1109,#REF!,4,0)),0,VLOOKUP(F1109,#REF!,10,0)/60*K1109)</f>
        <v>0</v>
      </c>
      <c r="T1109" s="3"/>
      <c r="U1109" s="3"/>
      <c r="V1109" s="4"/>
    </row>
    <row r="1110" spans="1:22" x14ac:dyDescent="0.3">
      <c r="A1110" s="5">
        <f t="shared" si="52"/>
        <v>0</v>
      </c>
      <c r="B1110" s="6">
        <f t="shared" si="53"/>
        <v>0</v>
      </c>
      <c r="K1110" s="18">
        <f t="shared" si="51"/>
        <v>0</v>
      </c>
      <c r="L1110" s="21">
        <f>IF(ISERROR(VLOOKUP($F1110,#REF!,6,0)*G1110/1000),0,VLOOKUP($F1110,#REF!,6,0)*G1110/1000)</f>
        <v>0</v>
      </c>
      <c r="M1110" s="21">
        <f>IF(ISERROR(VLOOKUP($F1110,#REF!,6,0)*H1110/1000),0,VLOOKUP($F1110,#REF!,6,0)*H1110/1000)</f>
        <v>0</v>
      </c>
      <c r="N1110" s="21">
        <f>IF(ISERROR(VLOOKUP($F1110,#REF!,6,0)*I1110/1000),0,VLOOKUP($F1110,#REF!,6,0)*I1110/1000)</f>
        <v>0</v>
      </c>
      <c r="O1110" s="21">
        <f>IF(ISERROR(VLOOKUP($F1110,#REF!,6,0)*J1110/1000),0,VLOOKUP($F1110,#REF!,6,0)*J1110/1000)</f>
        <v>0</v>
      </c>
      <c r="P1110" s="21">
        <f>IF(ISERROR(VLOOKUP(F1110,#REF!,6,0)*K1110/1000),0,VLOOKUP(F1110,#REF!,6,0)*K1110/1000)</f>
        <v>0</v>
      </c>
      <c r="Q1110" s="6">
        <f>IF(ISERROR(VLOOKUP(F1110,#REF!,3,0)),0,VLOOKUP(F1110,#REF!,3,0))</f>
        <v>0</v>
      </c>
      <c r="R1110" s="6">
        <f>IF(ISERROR(VLOOKUP(F1110,#REF!,4,0)),0,VLOOKUP(F1110,#REF!,4,0))</f>
        <v>0</v>
      </c>
      <c r="S1110" s="8">
        <f>IF(ISERROR(VLOOKUP(F1110,#REF!,4,0)),0,VLOOKUP(F1110,#REF!,10,0)/60*K1110)</f>
        <v>0</v>
      </c>
      <c r="T1110" s="3"/>
      <c r="U1110" s="3"/>
      <c r="V1110" s="4"/>
    </row>
    <row r="1111" spans="1:22" x14ac:dyDescent="0.3">
      <c r="A1111" s="5">
        <f t="shared" si="52"/>
        <v>0</v>
      </c>
      <c r="B1111" s="6">
        <f t="shared" si="53"/>
        <v>0</v>
      </c>
      <c r="K1111" s="18">
        <f t="shared" si="51"/>
        <v>0</v>
      </c>
      <c r="L1111" s="21">
        <f>IF(ISERROR(VLOOKUP($F1111,#REF!,6,0)*G1111/1000),0,VLOOKUP($F1111,#REF!,6,0)*G1111/1000)</f>
        <v>0</v>
      </c>
      <c r="M1111" s="21">
        <f>IF(ISERROR(VLOOKUP($F1111,#REF!,6,0)*H1111/1000),0,VLOOKUP($F1111,#REF!,6,0)*H1111/1000)</f>
        <v>0</v>
      </c>
      <c r="N1111" s="21">
        <f>IF(ISERROR(VLOOKUP($F1111,#REF!,6,0)*I1111/1000),0,VLOOKUP($F1111,#REF!,6,0)*I1111/1000)</f>
        <v>0</v>
      </c>
      <c r="O1111" s="21">
        <f>IF(ISERROR(VLOOKUP($F1111,#REF!,6,0)*J1111/1000),0,VLOOKUP($F1111,#REF!,6,0)*J1111/1000)</f>
        <v>0</v>
      </c>
      <c r="P1111" s="21">
        <f>IF(ISERROR(VLOOKUP(F1111,#REF!,6,0)*K1111/1000),0,VLOOKUP(F1111,#REF!,6,0)*K1111/1000)</f>
        <v>0</v>
      </c>
      <c r="Q1111" s="6">
        <f>IF(ISERROR(VLOOKUP(F1111,#REF!,3,0)),0,VLOOKUP(F1111,#REF!,3,0))</f>
        <v>0</v>
      </c>
      <c r="R1111" s="6">
        <f>IF(ISERROR(VLOOKUP(F1111,#REF!,4,0)),0,VLOOKUP(F1111,#REF!,4,0))</f>
        <v>0</v>
      </c>
      <c r="S1111" s="8">
        <f>IF(ISERROR(VLOOKUP(F1111,#REF!,4,0)),0,VLOOKUP(F1111,#REF!,10,0)/60*K1111)</f>
        <v>0</v>
      </c>
      <c r="T1111" s="3"/>
      <c r="U1111" s="3"/>
      <c r="V1111" s="4"/>
    </row>
    <row r="1112" spans="1:22" x14ac:dyDescent="0.3">
      <c r="A1112" s="5">
        <f t="shared" si="52"/>
        <v>0</v>
      </c>
      <c r="B1112" s="6">
        <f t="shared" si="53"/>
        <v>0</v>
      </c>
      <c r="K1112" s="18">
        <f t="shared" si="51"/>
        <v>0</v>
      </c>
      <c r="L1112" s="21">
        <f>IF(ISERROR(VLOOKUP($F1112,#REF!,6,0)*G1112/1000),0,VLOOKUP($F1112,#REF!,6,0)*G1112/1000)</f>
        <v>0</v>
      </c>
      <c r="M1112" s="21">
        <f>IF(ISERROR(VLOOKUP($F1112,#REF!,6,0)*H1112/1000),0,VLOOKUP($F1112,#REF!,6,0)*H1112/1000)</f>
        <v>0</v>
      </c>
      <c r="N1112" s="21">
        <f>IF(ISERROR(VLOOKUP($F1112,#REF!,6,0)*I1112/1000),0,VLOOKUP($F1112,#REF!,6,0)*I1112/1000)</f>
        <v>0</v>
      </c>
      <c r="O1112" s="21">
        <f>IF(ISERROR(VLOOKUP($F1112,#REF!,6,0)*J1112/1000),0,VLOOKUP($F1112,#REF!,6,0)*J1112/1000)</f>
        <v>0</v>
      </c>
      <c r="P1112" s="21">
        <f>IF(ISERROR(VLOOKUP(F1112,#REF!,6,0)*K1112/1000),0,VLOOKUP(F1112,#REF!,6,0)*K1112/1000)</f>
        <v>0</v>
      </c>
      <c r="Q1112" s="6">
        <f>IF(ISERROR(VLOOKUP(F1112,#REF!,3,0)),0,VLOOKUP(F1112,#REF!,3,0))</f>
        <v>0</v>
      </c>
      <c r="R1112" s="6">
        <f>IF(ISERROR(VLOOKUP(F1112,#REF!,4,0)),0,VLOOKUP(F1112,#REF!,4,0))</f>
        <v>0</v>
      </c>
      <c r="S1112" s="8">
        <f>IF(ISERROR(VLOOKUP(F1112,#REF!,4,0)),0,VLOOKUP(F1112,#REF!,10,0)/60*K1112)</f>
        <v>0</v>
      </c>
      <c r="T1112" s="3"/>
      <c r="U1112" s="3"/>
      <c r="V1112" s="4"/>
    </row>
    <row r="1113" spans="1:22" x14ac:dyDescent="0.3">
      <c r="A1113" s="5">
        <f t="shared" si="52"/>
        <v>0</v>
      </c>
      <c r="B1113" s="6">
        <f t="shared" si="53"/>
        <v>0</v>
      </c>
      <c r="K1113" s="18">
        <f t="shared" si="51"/>
        <v>0</v>
      </c>
      <c r="L1113" s="21">
        <f>IF(ISERROR(VLOOKUP($F1113,#REF!,6,0)*G1113/1000),0,VLOOKUP($F1113,#REF!,6,0)*G1113/1000)</f>
        <v>0</v>
      </c>
      <c r="M1113" s="21">
        <f>IF(ISERROR(VLOOKUP($F1113,#REF!,6,0)*H1113/1000),0,VLOOKUP($F1113,#REF!,6,0)*H1113/1000)</f>
        <v>0</v>
      </c>
      <c r="N1113" s="21">
        <f>IF(ISERROR(VLOOKUP($F1113,#REF!,6,0)*I1113/1000),0,VLOOKUP($F1113,#REF!,6,0)*I1113/1000)</f>
        <v>0</v>
      </c>
      <c r="O1113" s="21">
        <f>IF(ISERROR(VLOOKUP($F1113,#REF!,6,0)*J1113/1000),0,VLOOKUP($F1113,#REF!,6,0)*J1113/1000)</f>
        <v>0</v>
      </c>
      <c r="P1113" s="21">
        <f>IF(ISERROR(VLOOKUP(F1113,#REF!,6,0)*K1113/1000),0,VLOOKUP(F1113,#REF!,6,0)*K1113/1000)</f>
        <v>0</v>
      </c>
      <c r="Q1113" s="6">
        <f>IF(ISERROR(VLOOKUP(F1113,#REF!,3,0)),0,VLOOKUP(F1113,#REF!,3,0))</f>
        <v>0</v>
      </c>
      <c r="R1113" s="6">
        <f>IF(ISERROR(VLOOKUP(F1113,#REF!,4,0)),0,VLOOKUP(F1113,#REF!,4,0))</f>
        <v>0</v>
      </c>
      <c r="S1113" s="8">
        <f>IF(ISERROR(VLOOKUP(F1113,#REF!,4,0)),0,VLOOKUP(F1113,#REF!,10,0)/60*K1113)</f>
        <v>0</v>
      </c>
      <c r="T1113" s="3"/>
      <c r="U1113" s="3"/>
      <c r="V1113" s="4"/>
    </row>
    <row r="1114" spans="1:22" x14ac:dyDescent="0.3">
      <c r="A1114" s="5">
        <f t="shared" si="52"/>
        <v>0</v>
      </c>
      <c r="B1114" s="6">
        <f t="shared" si="53"/>
        <v>0</v>
      </c>
      <c r="K1114" s="18">
        <f t="shared" si="51"/>
        <v>0</v>
      </c>
      <c r="L1114" s="21">
        <f>IF(ISERROR(VLOOKUP($F1114,#REF!,6,0)*G1114/1000),0,VLOOKUP($F1114,#REF!,6,0)*G1114/1000)</f>
        <v>0</v>
      </c>
      <c r="M1114" s="21">
        <f>IF(ISERROR(VLOOKUP($F1114,#REF!,6,0)*H1114/1000),0,VLOOKUP($F1114,#REF!,6,0)*H1114/1000)</f>
        <v>0</v>
      </c>
      <c r="N1114" s="21">
        <f>IF(ISERROR(VLOOKUP($F1114,#REF!,6,0)*I1114/1000),0,VLOOKUP($F1114,#REF!,6,0)*I1114/1000)</f>
        <v>0</v>
      </c>
      <c r="O1114" s="21">
        <f>IF(ISERROR(VLOOKUP($F1114,#REF!,6,0)*J1114/1000),0,VLOOKUP($F1114,#REF!,6,0)*J1114/1000)</f>
        <v>0</v>
      </c>
      <c r="P1114" s="21">
        <f>IF(ISERROR(VLOOKUP(F1114,#REF!,6,0)*K1114/1000),0,VLOOKUP(F1114,#REF!,6,0)*K1114/1000)</f>
        <v>0</v>
      </c>
      <c r="Q1114" s="6">
        <f>IF(ISERROR(VLOOKUP(F1114,#REF!,3,0)),0,VLOOKUP(F1114,#REF!,3,0))</f>
        <v>0</v>
      </c>
      <c r="R1114" s="6">
        <f>IF(ISERROR(VLOOKUP(F1114,#REF!,4,0)),0,VLOOKUP(F1114,#REF!,4,0))</f>
        <v>0</v>
      </c>
      <c r="S1114" s="8">
        <f>IF(ISERROR(VLOOKUP(F1114,#REF!,4,0)),0,VLOOKUP(F1114,#REF!,10,0)/60*K1114)</f>
        <v>0</v>
      </c>
      <c r="T1114" s="3"/>
      <c r="U1114" s="3"/>
      <c r="V1114" s="4"/>
    </row>
    <row r="1115" spans="1:22" x14ac:dyDescent="0.3">
      <c r="A1115" s="5">
        <f t="shared" si="52"/>
        <v>0</v>
      </c>
      <c r="B1115" s="6">
        <f t="shared" si="53"/>
        <v>0</v>
      </c>
      <c r="K1115" s="18">
        <f t="shared" si="51"/>
        <v>0</v>
      </c>
      <c r="L1115" s="21">
        <f>IF(ISERROR(VLOOKUP($F1115,#REF!,6,0)*G1115/1000),0,VLOOKUP($F1115,#REF!,6,0)*G1115/1000)</f>
        <v>0</v>
      </c>
      <c r="M1115" s="21">
        <f>IF(ISERROR(VLOOKUP($F1115,#REF!,6,0)*H1115/1000),0,VLOOKUP($F1115,#REF!,6,0)*H1115/1000)</f>
        <v>0</v>
      </c>
      <c r="N1115" s="21">
        <f>IF(ISERROR(VLOOKUP($F1115,#REF!,6,0)*I1115/1000),0,VLOOKUP($F1115,#REF!,6,0)*I1115/1000)</f>
        <v>0</v>
      </c>
      <c r="O1115" s="21">
        <f>IF(ISERROR(VLOOKUP($F1115,#REF!,6,0)*J1115/1000),0,VLOOKUP($F1115,#REF!,6,0)*J1115/1000)</f>
        <v>0</v>
      </c>
      <c r="P1115" s="21">
        <f>IF(ISERROR(VLOOKUP(F1115,#REF!,6,0)*K1115/1000),0,VLOOKUP(F1115,#REF!,6,0)*K1115/1000)</f>
        <v>0</v>
      </c>
      <c r="Q1115" s="6">
        <f>IF(ISERROR(VLOOKUP(F1115,#REF!,3,0)),0,VLOOKUP(F1115,#REF!,3,0))</f>
        <v>0</v>
      </c>
      <c r="R1115" s="6">
        <f>IF(ISERROR(VLOOKUP(F1115,#REF!,4,0)),0,VLOOKUP(F1115,#REF!,4,0))</f>
        <v>0</v>
      </c>
      <c r="S1115" s="8">
        <f>IF(ISERROR(VLOOKUP(F1115,#REF!,4,0)),0,VLOOKUP(F1115,#REF!,10,0)/60*K1115)</f>
        <v>0</v>
      </c>
      <c r="T1115" s="3"/>
      <c r="U1115" s="3"/>
      <c r="V1115" s="4"/>
    </row>
    <row r="1116" spans="1:22" x14ac:dyDescent="0.3">
      <c r="A1116" s="5">
        <f t="shared" si="52"/>
        <v>0</v>
      </c>
      <c r="B1116" s="6">
        <f t="shared" si="53"/>
        <v>0</v>
      </c>
      <c r="K1116" s="18">
        <f t="shared" si="51"/>
        <v>0</v>
      </c>
      <c r="L1116" s="21">
        <f>IF(ISERROR(VLOOKUP($F1116,#REF!,6,0)*G1116/1000),0,VLOOKUP($F1116,#REF!,6,0)*G1116/1000)</f>
        <v>0</v>
      </c>
      <c r="M1116" s="21">
        <f>IF(ISERROR(VLOOKUP($F1116,#REF!,6,0)*H1116/1000),0,VLOOKUP($F1116,#REF!,6,0)*H1116/1000)</f>
        <v>0</v>
      </c>
      <c r="N1116" s="21">
        <f>IF(ISERROR(VLOOKUP($F1116,#REF!,6,0)*I1116/1000),0,VLOOKUP($F1116,#REF!,6,0)*I1116/1000)</f>
        <v>0</v>
      </c>
      <c r="O1116" s="21">
        <f>IF(ISERROR(VLOOKUP($F1116,#REF!,6,0)*J1116/1000),0,VLOOKUP($F1116,#REF!,6,0)*J1116/1000)</f>
        <v>0</v>
      </c>
      <c r="P1116" s="21">
        <f>IF(ISERROR(VLOOKUP(F1116,#REF!,6,0)*K1116/1000),0,VLOOKUP(F1116,#REF!,6,0)*K1116/1000)</f>
        <v>0</v>
      </c>
      <c r="Q1116" s="6">
        <f>IF(ISERROR(VLOOKUP(F1116,#REF!,3,0)),0,VLOOKUP(F1116,#REF!,3,0))</f>
        <v>0</v>
      </c>
      <c r="R1116" s="6">
        <f>IF(ISERROR(VLOOKUP(F1116,#REF!,4,0)),0,VLOOKUP(F1116,#REF!,4,0))</f>
        <v>0</v>
      </c>
      <c r="S1116" s="8">
        <f>IF(ISERROR(VLOOKUP(F1116,#REF!,4,0)),0,VLOOKUP(F1116,#REF!,10,0)/60*K1116)</f>
        <v>0</v>
      </c>
      <c r="T1116" s="3"/>
      <c r="U1116" s="3"/>
      <c r="V1116" s="4"/>
    </row>
    <row r="1117" spans="1:22" x14ac:dyDescent="0.3">
      <c r="A1117" s="5">
        <f t="shared" si="52"/>
        <v>0</v>
      </c>
      <c r="B1117" s="6">
        <f t="shared" si="53"/>
        <v>0</v>
      </c>
      <c r="K1117" s="18">
        <f t="shared" si="51"/>
        <v>0</v>
      </c>
      <c r="L1117" s="21">
        <f>IF(ISERROR(VLOOKUP($F1117,#REF!,6,0)*G1117/1000),0,VLOOKUP($F1117,#REF!,6,0)*G1117/1000)</f>
        <v>0</v>
      </c>
      <c r="M1117" s="21">
        <f>IF(ISERROR(VLOOKUP($F1117,#REF!,6,0)*H1117/1000),0,VLOOKUP($F1117,#REF!,6,0)*H1117/1000)</f>
        <v>0</v>
      </c>
      <c r="N1117" s="21">
        <f>IF(ISERROR(VLOOKUP($F1117,#REF!,6,0)*I1117/1000),0,VLOOKUP($F1117,#REF!,6,0)*I1117/1000)</f>
        <v>0</v>
      </c>
      <c r="O1117" s="21">
        <f>IF(ISERROR(VLOOKUP($F1117,#REF!,6,0)*J1117/1000),0,VLOOKUP($F1117,#REF!,6,0)*J1117/1000)</f>
        <v>0</v>
      </c>
      <c r="P1117" s="21">
        <f>IF(ISERROR(VLOOKUP(F1117,#REF!,6,0)*K1117/1000),0,VLOOKUP(F1117,#REF!,6,0)*K1117/1000)</f>
        <v>0</v>
      </c>
      <c r="Q1117" s="6">
        <f>IF(ISERROR(VLOOKUP(F1117,#REF!,3,0)),0,VLOOKUP(F1117,#REF!,3,0))</f>
        <v>0</v>
      </c>
      <c r="R1117" s="6">
        <f>IF(ISERROR(VLOOKUP(F1117,#REF!,4,0)),0,VLOOKUP(F1117,#REF!,4,0))</f>
        <v>0</v>
      </c>
      <c r="S1117" s="8">
        <f>IF(ISERROR(VLOOKUP(F1117,#REF!,4,0)),0,VLOOKUP(F1117,#REF!,10,0)/60*K1117)</f>
        <v>0</v>
      </c>
      <c r="T1117" s="3"/>
      <c r="U1117" s="3"/>
      <c r="V1117" s="4"/>
    </row>
    <row r="1118" spans="1:22" x14ac:dyDescent="0.3">
      <c r="A1118" s="5">
        <f t="shared" si="52"/>
        <v>0</v>
      </c>
      <c r="B1118" s="6">
        <f t="shared" si="53"/>
        <v>0</v>
      </c>
      <c r="K1118" s="18">
        <f t="shared" si="51"/>
        <v>0</v>
      </c>
      <c r="L1118" s="21">
        <f>IF(ISERROR(VLOOKUP($F1118,#REF!,6,0)*G1118/1000),0,VLOOKUP($F1118,#REF!,6,0)*G1118/1000)</f>
        <v>0</v>
      </c>
      <c r="M1118" s="21">
        <f>IF(ISERROR(VLOOKUP($F1118,#REF!,6,0)*H1118/1000),0,VLOOKUP($F1118,#REF!,6,0)*H1118/1000)</f>
        <v>0</v>
      </c>
      <c r="N1118" s="21">
        <f>IF(ISERROR(VLOOKUP($F1118,#REF!,6,0)*I1118/1000),0,VLOOKUP($F1118,#REF!,6,0)*I1118/1000)</f>
        <v>0</v>
      </c>
      <c r="O1118" s="21">
        <f>IF(ISERROR(VLOOKUP($F1118,#REF!,6,0)*J1118/1000),0,VLOOKUP($F1118,#REF!,6,0)*J1118/1000)</f>
        <v>0</v>
      </c>
      <c r="P1118" s="21">
        <f>IF(ISERROR(VLOOKUP(F1118,#REF!,6,0)*K1118/1000),0,VLOOKUP(F1118,#REF!,6,0)*K1118/1000)</f>
        <v>0</v>
      </c>
      <c r="Q1118" s="6">
        <f>IF(ISERROR(VLOOKUP(F1118,#REF!,3,0)),0,VLOOKUP(F1118,#REF!,3,0))</f>
        <v>0</v>
      </c>
      <c r="R1118" s="6">
        <f>IF(ISERROR(VLOOKUP(F1118,#REF!,4,0)),0,VLOOKUP(F1118,#REF!,4,0))</f>
        <v>0</v>
      </c>
      <c r="S1118" s="8">
        <f>IF(ISERROR(VLOOKUP(F1118,#REF!,4,0)),0,VLOOKUP(F1118,#REF!,10,0)/60*K1118)</f>
        <v>0</v>
      </c>
      <c r="T1118" s="3"/>
      <c r="U1118" s="3"/>
      <c r="V1118" s="4"/>
    </row>
    <row r="1119" spans="1:22" x14ac:dyDescent="0.3">
      <c r="A1119" s="5">
        <f t="shared" si="52"/>
        <v>0</v>
      </c>
      <c r="B1119" s="6">
        <f t="shared" si="53"/>
        <v>0</v>
      </c>
      <c r="K1119" s="18">
        <f t="shared" si="51"/>
        <v>0</v>
      </c>
      <c r="L1119" s="21">
        <f>IF(ISERROR(VLOOKUP($F1119,#REF!,6,0)*G1119/1000),0,VLOOKUP($F1119,#REF!,6,0)*G1119/1000)</f>
        <v>0</v>
      </c>
      <c r="M1119" s="21">
        <f>IF(ISERROR(VLOOKUP($F1119,#REF!,6,0)*H1119/1000),0,VLOOKUP($F1119,#REF!,6,0)*H1119/1000)</f>
        <v>0</v>
      </c>
      <c r="N1119" s="21">
        <f>IF(ISERROR(VLOOKUP($F1119,#REF!,6,0)*I1119/1000),0,VLOOKUP($F1119,#REF!,6,0)*I1119/1000)</f>
        <v>0</v>
      </c>
      <c r="O1119" s="21">
        <f>IF(ISERROR(VLOOKUP($F1119,#REF!,6,0)*J1119/1000),0,VLOOKUP($F1119,#REF!,6,0)*J1119/1000)</f>
        <v>0</v>
      </c>
      <c r="P1119" s="21">
        <f>IF(ISERROR(VLOOKUP(F1119,#REF!,6,0)*K1119/1000),0,VLOOKUP(F1119,#REF!,6,0)*K1119/1000)</f>
        <v>0</v>
      </c>
      <c r="Q1119" s="6">
        <f>IF(ISERROR(VLOOKUP(F1119,#REF!,3,0)),0,VLOOKUP(F1119,#REF!,3,0))</f>
        <v>0</v>
      </c>
      <c r="R1119" s="6">
        <f>IF(ISERROR(VLOOKUP(F1119,#REF!,4,0)),0,VLOOKUP(F1119,#REF!,4,0))</f>
        <v>0</v>
      </c>
      <c r="S1119" s="8">
        <f>IF(ISERROR(VLOOKUP(F1119,#REF!,4,0)),0,VLOOKUP(F1119,#REF!,10,0)/60*K1119)</f>
        <v>0</v>
      </c>
      <c r="T1119" s="3"/>
      <c r="U1119" s="3"/>
      <c r="V1119" s="4"/>
    </row>
    <row r="1120" spans="1:22" x14ac:dyDescent="0.3">
      <c r="A1120" s="5">
        <f t="shared" si="52"/>
        <v>0</v>
      </c>
      <c r="B1120" s="6">
        <f t="shared" si="53"/>
        <v>0</v>
      </c>
      <c r="K1120" s="18">
        <f t="shared" si="51"/>
        <v>0</v>
      </c>
      <c r="L1120" s="21">
        <f>IF(ISERROR(VLOOKUP($F1120,#REF!,6,0)*G1120/1000),0,VLOOKUP($F1120,#REF!,6,0)*G1120/1000)</f>
        <v>0</v>
      </c>
      <c r="M1120" s="21">
        <f>IF(ISERROR(VLOOKUP($F1120,#REF!,6,0)*H1120/1000),0,VLOOKUP($F1120,#REF!,6,0)*H1120/1000)</f>
        <v>0</v>
      </c>
      <c r="N1120" s="21">
        <f>IF(ISERROR(VLOOKUP($F1120,#REF!,6,0)*I1120/1000),0,VLOOKUP($F1120,#REF!,6,0)*I1120/1000)</f>
        <v>0</v>
      </c>
      <c r="O1120" s="21">
        <f>IF(ISERROR(VLOOKUP($F1120,#REF!,6,0)*J1120/1000),0,VLOOKUP($F1120,#REF!,6,0)*J1120/1000)</f>
        <v>0</v>
      </c>
      <c r="P1120" s="21">
        <f>IF(ISERROR(VLOOKUP(F1120,#REF!,6,0)*K1120/1000),0,VLOOKUP(F1120,#REF!,6,0)*K1120/1000)</f>
        <v>0</v>
      </c>
      <c r="Q1120" s="6">
        <f>IF(ISERROR(VLOOKUP(F1120,#REF!,3,0)),0,VLOOKUP(F1120,#REF!,3,0))</f>
        <v>0</v>
      </c>
      <c r="R1120" s="6">
        <f>IF(ISERROR(VLOOKUP(F1120,#REF!,4,0)),0,VLOOKUP(F1120,#REF!,4,0))</f>
        <v>0</v>
      </c>
      <c r="S1120" s="8">
        <f>IF(ISERROR(VLOOKUP(F1120,#REF!,4,0)),0,VLOOKUP(F1120,#REF!,10,0)/60*K1120)</f>
        <v>0</v>
      </c>
      <c r="T1120" s="3"/>
      <c r="U1120" s="3"/>
      <c r="V1120" s="4"/>
    </row>
    <row r="1121" spans="1:22" x14ac:dyDescent="0.3">
      <c r="A1121" s="5">
        <f t="shared" si="52"/>
        <v>0</v>
      </c>
      <c r="B1121" s="6">
        <f t="shared" si="53"/>
        <v>0</v>
      </c>
      <c r="K1121" s="18">
        <f t="shared" si="51"/>
        <v>0</v>
      </c>
      <c r="L1121" s="21">
        <f>IF(ISERROR(VLOOKUP($F1121,#REF!,6,0)*G1121/1000),0,VLOOKUP($F1121,#REF!,6,0)*G1121/1000)</f>
        <v>0</v>
      </c>
      <c r="M1121" s="21">
        <f>IF(ISERROR(VLOOKUP($F1121,#REF!,6,0)*H1121/1000),0,VLOOKUP($F1121,#REF!,6,0)*H1121/1000)</f>
        <v>0</v>
      </c>
      <c r="N1121" s="21">
        <f>IF(ISERROR(VLOOKUP($F1121,#REF!,6,0)*I1121/1000),0,VLOOKUP($F1121,#REF!,6,0)*I1121/1000)</f>
        <v>0</v>
      </c>
      <c r="O1121" s="21">
        <f>IF(ISERROR(VLOOKUP($F1121,#REF!,6,0)*J1121/1000),0,VLOOKUP($F1121,#REF!,6,0)*J1121/1000)</f>
        <v>0</v>
      </c>
      <c r="P1121" s="21">
        <f>IF(ISERROR(VLOOKUP(F1121,#REF!,6,0)*K1121/1000),0,VLOOKUP(F1121,#REF!,6,0)*K1121/1000)</f>
        <v>0</v>
      </c>
      <c r="Q1121" s="6">
        <f>IF(ISERROR(VLOOKUP(F1121,#REF!,3,0)),0,VLOOKUP(F1121,#REF!,3,0))</f>
        <v>0</v>
      </c>
      <c r="R1121" s="6">
        <f>IF(ISERROR(VLOOKUP(F1121,#REF!,4,0)),0,VLOOKUP(F1121,#REF!,4,0))</f>
        <v>0</v>
      </c>
      <c r="S1121" s="8">
        <f>IF(ISERROR(VLOOKUP(F1121,#REF!,4,0)),0,VLOOKUP(F1121,#REF!,10,0)/60*K1121)</f>
        <v>0</v>
      </c>
      <c r="T1121" s="3"/>
      <c r="U1121" s="3"/>
      <c r="V1121" s="4"/>
    </row>
    <row r="1122" spans="1:22" x14ac:dyDescent="0.3">
      <c r="A1122" s="5">
        <f t="shared" si="52"/>
        <v>0</v>
      </c>
      <c r="B1122" s="6">
        <f t="shared" si="53"/>
        <v>0</v>
      </c>
      <c r="K1122" s="18">
        <f t="shared" si="51"/>
        <v>0</v>
      </c>
      <c r="L1122" s="21">
        <f>IF(ISERROR(VLOOKUP($F1122,#REF!,6,0)*G1122/1000),0,VLOOKUP($F1122,#REF!,6,0)*G1122/1000)</f>
        <v>0</v>
      </c>
      <c r="M1122" s="21">
        <f>IF(ISERROR(VLOOKUP($F1122,#REF!,6,0)*H1122/1000),0,VLOOKUP($F1122,#REF!,6,0)*H1122/1000)</f>
        <v>0</v>
      </c>
      <c r="N1122" s="21">
        <f>IF(ISERROR(VLOOKUP($F1122,#REF!,6,0)*I1122/1000),0,VLOOKUP($F1122,#REF!,6,0)*I1122/1000)</f>
        <v>0</v>
      </c>
      <c r="O1122" s="21">
        <f>IF(ISERROR(VLOOKUP($F1122,#REF!,6,0)*J1122/1000),0,VLOOKUP($F1122,#REF!,6,0)*J1122/1000)</f>
        <v>0</v>
      </c>
      <c r="P1122" s="21">
        <f>IF(ISERROR(VLOOKUP(F1122,#REF!,6,0)*K1122/1000),0,VLOOKUP(F1122,#REF!,6,0)*K1122/1000)</f>
        <v>0</v>
      </c>
      <c r="Q1122" s="6">
        <f>IF(ISERROR(VLOOKUP(F1122,#REF!,3,0)),0,VLOOKUP(F1122,#REF!,3,0))</f>
        <v>0</v>
      </c>
      <c r="R1122" s="6">
        <f>IF(ISERROR(VLOOKUP(F1122,#REF!,4,0)),0,VLOOKUP(F1122,#REF!,4,0))</f>
        <v>0</v>
      </c>
      <c r="S1122" s="8">
        <f>IF(ISERROR(VLOOKUP(F1122,#REF!,4,0)),0,VLOOKUP(F1122,#REF!,10,0)/60*K1122)</f>
        <v>0</v>
      </c>
      <c r="T1122" s="3"/>
      <c r="U1122" s="3"/>
      <c r="V1122" s="4"/>
    </row>
    <row r="1123" spans="1:22" x14ac:dyDescent="0.3">
      <c r="A1123" s="5">
        <f t="shared" si="52"/>
        <v>0</v>
      </c>
      <c r="B1123" s="6">
        <f t="shared" si="53"/>
        <v>0</v>
      </c>
      <c r="K1123" s="18">
        <f t="shared" si="51"/>
        <v>0</v>
      </c>
      <c r="L1123" s="21">
        <f>IF(ISERROR(VLOOKUP($F1123,#REF!,6,0)*G1123/1000),0,VLOOKUP($F1123,#REF!,6,0)*G1123/1000)</f>
        <v>0</v>
      </c>
      <c r="M1123" s="21">
        <f>IF(ISERROR(VLOOKUP($F1123,#REF!,6,0)*H1123/1000),0,VLOOKUP($F1123,#REF!,6,0)*H1123/1000)</f>
        <v>0</v>
      </c>
      <c r="N1123" s="21">
        <f>IF(ISERROR(VLOOKUP($F1123,#REF!,6,0)*I1123/1000),0,VLOOKUP($F1123,#REF!,6,0)*I1123/1000)</f>
        <v>0</v>
      </c>
      <c r="O1123" s="21">
        <f>IF(ISERROR(VLOOKUP($F1123,#REF!,6,0)*J1123/1000),0,VLOOKUP($F1123,#REF!,6,0)*J1123/1000)</f>
        <v>0</v>
      </c>
      <c r="P1123" s="21">
        <f>IF(ISERROR(VLOOKUP(F1123,#REF!,6,0)*K1123/1000),0,VLOOKUP(F1123,#REF!,6,0)*K1123/1000)</f>
        <v>0</v>
      </c>
      <c r="Q1123" s="6">
        <f>IF(ISERROR(VLOOKUP(F1123,#REF!,3,0)),0,VLOOKUP(F1123,#REF!,3,0))</f>
        <v>0</v>
      </c>
      <c r="R1123" s="6">
        <f>IF(ISERROR(VLOOKUP(F1123,#REF!,4,0)),0,VLOOKUP(F1123,#REF!,4,0))</f>
        <v>0</v>
      </c>
      <c r="S1123" s="8">
        <f>IF(ISERROR(VLOOKUP(F1123,#REF!,4,0)),0,VLOOKUP(F1123,#REF!,10,0)/60*K1123)</f>
        <v>0</v>
      </c>
      <c r="T1123" s="3"/>
      <c r="U1123" s="3"/>
      <c r="V1123" s="4"/>
    </row>
    <row r="1124" spans="1:22" x14ac:dyDescent="0.3">
      <c r="A1124" s="5">
        <f t="shared" si="52"/>
        <v>0</v>
      </c>
      <c r="B1124" s="6">
        <f t="shared" si="53"/>
        <v>0</v>
      </c>
      <c r="K1124" s="18">
        <f t="shared" si="51"/>
        <v>0</v>
      </c>
      <c r="L1124" s="21">
        <f>IF(ISERROR(VLOOKUP($F1124,#REF!,6,0)*G1124/1000),0,VLOOKUP($F1124,#REF!,6,0)*G1124/1000)</f>
        <v>0</v>
      </c>
      <c r="M1124" s="21">
        <f>IF(ISERROR(VLOOKUP($F1124,#REF!,6,0)*H1124/1000),0,VLOOKUP($F1124,#REF!,6,0)*H1124/1000)</f>
        <v>0</v>
      </c>
      <c r="N1124" s="21">
        <f>IF(ISERROR(VLOOKUP($F1124,#REF!,6,0)*I1124/1000),0,VLOOKUP($F1124,#REF!,6,0)*I1124/1000)</f>
        <v>0</v>
      </c>
      <c r="O1124" s="21">
        <f>IF(ISERROR(VLOOKUP($F1124,#REF!,6,0)*J1124/1000),0,VLOOKUP($F1124,#REF!,6,0)*J1124/1000)</f>
        <v>0</v>
      </c>
      <c r="P1124" s="21">
        <f>IF(ISERROR(VLOOKUP(F1124,#REF!,6,0)*K1124/1000),0,VLOOKUP(F1124,#REF!,6,0)*K1124/1000)</f>
        <v>0</v>
      </c>
      <c r="Q1124" s="6">
        <f>IF(ISERROR(VLOOKUP(F1124,#REF!,3,0)),0,VLOOKUP(F1124,#REF!,3,0))</f>
        <v>0</v>
      </c>
      <c r="R1124" s="6">
        <f>IF(ISERROR(VLOOKUP(F1124,#REF!,4,0)),0,VLOOKUP(F1124,#REF!,4,0))</f>
        <v>0</v>
      </c>
      <c r="S1124" s="8">
        <f>IF(ISERROR(VLOOKUP(F1124,#REF!,4,0)),0,VLOOKUP(F1124,#REF!,10,0)/60*K1124)</f>
        <v>0</v>
      </c>
      <c r="T1124" s="3"/>
      <c r="U1124" s="3"/>
      <c r="V1124" s="4"/>
    </row>
    <row r="1125" spans="1:22" x14ac:dyDescent="0.3">
      <c r="A1125" s="5">
        <f t="shared" si="52"/>
        <v>0</v>
      </c>
      <c r="B1125" s="6">
        <f t="shared" si="53"/>
        <v>0</v>
      </c>
      <c r="K1125" s="18">
        <f t="shared" si="51"/>
        <v>0</v>
      </c>
      <c r="L1125" s="21">
        <f>IF(ISERROR(VLOOKUP($F1125,#REF!,6,0)*G1125/1000),0,VLOOKUP($F1125,#REF!,6,0)*G1125/1000)</f>
        <v>0</v>
      </c>
      <c r="M1125" s="21">
        <f>IF(ISERROR(VLOOKUP($F1125,#REF!,6,0)*H1125/1000),0,VLOOKUP($F1125,#REF!,6,0)*H1125/1000)</f>
        <v>0</v>
      </c>
      <c r="N1125" s="21">
        <f>IF(ISERROR(VLOOKUP($F1125,#REF!,6,0)*I1125/1000),0,VLOOKUP($F1125,#REF!,6,0)*I1125/1000)</f>
        <v>0</v>
      </c>
      <c r="O1125" s="21">
        <f>IF(ISERROR(VLOOKUP($F1125,#REF!,6,0)*J1125/1000),0,VLOOKUP($F1125,#REF!,6,0)*J1125/1000)</f>
        <v>0</v>
      </c>
      <c r="P1125" s="21">
        <f>IF(ISERROR(VLOOKUP(F1125,#REF!,6,0)*K1125/1000),0,VLOOKUP(F1125,#REF!,6,0)*K1125/1000)</f>
        <v>0</v>
      </c>
      <c r="Q1125" s="6">
        <f>IF(ISERROR(VLOOKUP(F1125,#REF!,3,0)),0,VLOOKUP(F1125,#REF!,3,0))</f>
        <v>0</v>
      </c>
      <c r="R1125" s="6">
        <f>IF(ISERROR(VLOOKUP(F1125,#REF!,4,0)),0,VLOOKUP(F1125,#REF!,4,0))</f>
        <v>0</v>
      </c>
      <c r="S1125" s="8">
        <f>IF(ISERROR(VLOOKUP(F1125,#REF!,4,0)),0,VLOOKUP(F1125,#REF!,10,0)/60*K1125)</f>
        <v>0</v>
      </c>
      <c r="T1125" s="3"/>
      <c r="U1125" s="3"/>
      <c r="V1125" s="4"/>
    </row>
    <row r="1126" spans="1:22" x14ac:dyDescent="0.3">
      <c r="A1126" s="5">
        <f t="shared" si="52"/>
        <v>0</v>
      </c>
      <c r="B1126" s="6">
        <f t="shared" si="53"/>
        <v>0</v>
      </c>
      <c r="K1126" s="18">
        <f t="shared" si="51"/>
        <v>0</v>
      </c>
      <c r="L1126" s="21">
        <f>IF(ISERROR(VLOOKUP($F1126,#REF!,6,0)*G1126/1000),0,VLOOKUP($F1126,#REF!,6,0)*G1126/1000)</f>
        <v>0</v>
      </c>
      <c r="M1126" s="21">
        <f>IF(ISERROR(VLOOKUP($F1126,#REF!,6,0)*H1126/1000),0,VLOOKUP($F1126,#REF!,6,0)*H1126/1000)</f>
        <v>0</v>
      </c>
      <c r="N1126" s="21">
        <f>IF(ISERROR(VLOOKUP($F1126,#REF!,6,0)*I1126/1000),0,VLOOKUP($F1126,#REF!,6,0)*I1126/1000)</f>
        <v>0</v>
      </c>
      <c r="O1126" s="21">
        <f>IF(ISERROR(VLOOKUP($F1126,#REF!,6,0)*J1126/1000),0,VLOOKUP($F1126,#REF!,6,0)*J1126/1000)</f>
        <v>0</v>
      </c>
      <c r="P1126" s="21">
        <f>IF(ISERROR(VLOOKUP(F1126,#REF!,6,0)*K1126/1000),0,VLOOKUP(F1126,#REF!,6,0)*K1126/1000)</f>
        <v>0</v>
      </c>
      <c r="Q1126" s="6">
        <f>IF(ISERROR(VLOOKUP(F1126,#REF!,3,0)),0,VLOOKUP(F1126,#REF!,3,0))</f>
        <v>0</v>
      </c>
      <c r="R1126" s="6">
        <f>IF(ISERROR(VLOOKUP(F1126,#REF!,4,0)),0,VLOOKUP(F1126,#REF!,4,0))</f>
        <v>0</v>
      </c>
      <c r="S1126" s="8">
        <f>IF(ISERROR(VLOOKUP(F1126,#REF!,4,0)),0,VLOOKUP(F1126,#REF!,10,0)/60*K1126)</f>
        <v>0</v>
      </c>
      <c r="T1126" s="3"/>
      <c r="U1126" s="3"/>
      <c r="V1126" s="4"/>
    </row>
    <row r="1127" spans="1:22" x14ac:dyDescent="0.3">
      <c r="A1127" s="5">
        <f t="shared" si="52"/>
        <v>0</v>
      </c>
      <c r="B1127" s="6">
        <f t="shared" si="53"/>
        <v>0</v>
      </c>
      <c r="K1127" s="18">
        <f t="shared" si="51"/>
        <v>0</v>
      </c>
      <c r="L1127" s="21">
        <f>IF(ISERROR(VLOOKUP($F1127,#REF!,6,0)*G1127/1000),0,VLOOKUP($F1127,#REF!,6,0)*G1127/1000)</f>
        <v>0</v>
      </c>
      <c r="M1127" s="21">
        <f>IF(ISERROR(VLOOKUP($F1127,#REF!,6,0)*H1127/1000),0,VLOOKUP($F1127,#REF!,6,0)*H1127/1000)</f>
        <v>0</v>
      </c>
      <c r="N1127" s="21">
        <f>IF(ISERROR(VLOOKUP($F1127,#REF!,6,0)*I1127/1000),0,VLOOKUP($F1127,#REF!,6,0)*I1127/1000)</f>
        <v>0</v>
      </c>
      <c r="O1127" s="21">
        <f>IF(ISERROR(VLOOKUP($F1127,#REF!,6,0)*J1127/1000),0,VLOOKUP($F1127,#REF!,6,0)*J1127/1000)</f>
        <v>0</v>
      </c>
      <c r="P1127" s="21">
        <f>IF(ISERROR(VLOOKUP(F1127,#REF!,6,0)*K1127/1000),0,VLOOKUP(F1127,#REF!,6,0)*K1127/1000)</f>
        <v>0</v>
      </c>
      <c r="Q1127" s="6">
        <f>IF(ISERROR(VLOOKUP(F1127,#REF!,3,0)),0,VLOOKUP(F1127,#REF!,3,0))</f>
        <v>0</v>
      </c>
      <c r="R1127" s="6">
        <f>IF(ISERROR(VLOOKUP(F1127,#REF!,4,0)),0,VLOOKUP(F1127,#REF!,4,0))</f>
        <v>0</v>
      </c>
      <c r="S1127" s="8">
        <f>IF(ISERROR(VLOOKUP(F1127,#REF!,4,0)),0,VLOOKUP(F1127,#REF!,10,0)/60*K1127)</f>
        <v>0</v>
      </c>
      <c r="T1127" s="3"/>
      <c r="U1127" s="3"/>
      <c r="V1127" s="4"/>
    </row>
    <row r="1128" spans="1:22" x14ac:dyDescent="0.3">
      <c r="A1128" s="5">
        <f t="shared" si="52"/>
        <v>0</v>
      </c>
      <c r="B1128" s="6">
        <f t="shared" si="53"/>
        <v>0</v>
      </c>
      <c r="K1128" s="18">
        <f t="shared" si="51"/>
        <v>0</v>
      </c>
      <c r="L1128" s="21">
        <f>IF(ISERROR(VLOOKUP($F1128,#REF!,6,0)*G1128/1000),0,VLOOKUP($F1128,#REF!,6,0)*G1128/1000)</f>
        <v>0</v>
      </c>
      <c r="M1128" s="21">
        <f>IF(ISERROR(VLOOKUP($F1128,#REF!,6,0)*H1128/1000),0,VLOOKUP($F1128,#REF!,6,0)*H1128/1000)</f>
        <v>0</v>
      </c>
      <c r="N1128" s="21">
        <f>IF(ISERROR(VLOOKUP($F1128,#REF!,6,0)*I1128/1000),0,VLOOKUP($F1128,#REF!,6,0)*I1128/1000)</f>
        <v>0</v>
      </c>
      <c r="O1128" s="21">
        <f>IF(ISERROR(VLOOKUP($F1128,#REF!,6,0)*J1128/1000),0,VLOOKUP($F1128,#REF!,6,0)*J1128/1000)</f>
        <v>0</v>
      </c>
      <c r="P1128" s="21">
        <f>IF(ISERROR(VLOOKUP(F1128,#REF!,6,0)*K1128/1000),0,VLOOKUP(F1128,#REF!,6,0)*K1128/1000)</f>
        <v>0</v>
      </c>
      <c r="Q1128" s="6">
        <f>IF(ISERROR(VLOOKUP(F1128,#REF!,3,0)),0,VLOOKUP(F1128,#REF!,3,0))</f>
        <v>0</v>
      </c>
      <c r="R1128" s="6">
        <f>IF(ISERROR(VLOOKUP(F1128,#REF!,4,0)),0,VLOOKUP(F1128,#REF!,4,0))</f>
        <v>0</v>
      </c>
      <c r="S1128" s="8">
        <f>IF(ISERROR(VLOOKUP(F1128,#REF!,4,0)),0,VLOOKUP(F1128,#REF!,10,0)/60*K1128)</f>
        <v>0</v>
      </c>
      <c r="T1128" s="3"/>
      <c r="U1128" s="3"/>
      <c r="V1128" s="4"/>
    </row>
    <row r="1129" spans="1:22" x14ac:dyDescent="0.3">
      <c r="A1129" s="5">
        <f t="shared" si="52"/>
        <v>0</v>
      </c>
      <c r="B1129" s="6">
        <f t="shared" si="53"/>
        <v>0</v>
      </c>
      <c r="K1129" s="18">
        <f t="shared" si="51"/>
        <v>0</v>
      </c>
      <c r="L1129" s="21">
        <f>IF(ISERROR(VLOOKUP($F1129,#REF!,6,0)*G1129/1000),0,VLOOKUP($F1129,#REF!,6,0)*G1129/1000)</f>
        <v>0</v>
      </c>
      <c r="M1129" s="21">
        <f>IF(ISERROR(VLOOKUP($F1129,#REF!,6,0)*H1129/1000),0,VLOOKUP($F1129,#REF!,6,0)*H1129/1000)</f>
        <v>0</v>
      </c>
      <c r="N1129" s="21">
        <f>IF(ISERROR(VLOOKUP($F1129,#REF!,6,0)*I1129/1000),0,VLOOKUP($F1129,#REF!,6,0)*I1129/1000)</f>
        <v>0</v>
      </c>
      <c r="O1129" s="21">
        <f>IF(ISERROR(VLOOKUP($F1129,#REF!,6,0)*J1129/1000),0,VLOOKUP($F1129,#REF!,6,0)*J1129/1000)</f>
        <v>0</v>
      </c>
      <c r="P1129" s="21">
        <f>IF(ISERROR(VLOOKUP(F1129,#REF!,6,0)*K1129/1000),0,VLOOKUP(F1129,#REF!,6,0)*K1129/1000)</f>
        <v>0</v>
      </c>
      <c r="Q1129" s="6">
        <f>IF(ISERROR(VLOOKUP(F1129,#REF!,3,0)),0,VLOOKUP(F1129,#REF!,3,0))</f>
        <v>0</v>
      </c>
      <c r="R1129" s="6">
        <f>IF(ISERROR(VLOOKUP(F1129,#REF!,4,0)),0,VLOOKUP(F1129,#REF!,4,0))</f>
        <v>0</v>
      </c>
      <c r="S1129" s="8">
        <f>IF(ISERROR(VLOOKUP(F1129,#REF!,4,0)),0,VLOOKUP(F1129,#REF!,10,0)/60*K1129)</f>
        <v>0</v>
      </c>
      <c r="T1129" s="3"/>
      <c r="U1129" s="3"/>
      <c r="V1129" s="4"/>
    </row>
    <row r="1130" spans="1:22" x14ac:dyDescent="0.3">
      <c r="A1130" s="5">
        <f t="shared" si="52"/>
        <v>0</v>
      </c>
      <c r="B1130" s="6">
        <f t="shared" si="53"/>
        <v>0</v>
      </c>
      <c r="K1130" s="18">
        <f t="shared" si="51"/>
        <v>0</v>
      </c>
      <c r="L1130" s="21">
        <f>IF(ISERROR(VLOOKUP($F1130,#REF!,6,0)*G1130/1000),0,VLOOKUP($F1130,#REF!,6,0)*G1130/1000)</f>
        <v>0</v>
      </c>
      <c r="M1130" s="21">
        <f>IF(ISERROR(VLOOKUP($F1130,#REF!,6,0)*H1130/1000),0,VLOOKUP($F1130,#REF!,6,0)*H1130/1000)</f>
        <v>0</v>
      </c>
      <c r="N1130" s="21">
        <f>IF(ISERROR(VLOOKUP($F1130,#REF!,6,0)*I1130/1000),0,VLOOKUP($F1130,#REF!,6,0)*I1130/1000)</f>
        <v>0</v>
      </c>
      <c r="O1130" s="21">
        <f>IF(ISERROR(VLOOKUP($F1130,#REF!,6,0)*J1130/1000),0,VLOOKUP($F1130,#REF!,6,0)*J1130/1000)</f>
        <v>0</v>
      </c>
      <c r="P1130" s="21">
        <f>IF(ISERROR(VLOOKUP(F1130,#REF!,6,0)*K1130/1000),0,VLOOKUP(F1130,#REF!,6,0)*K1130/1000)</f>
        <v>0</v>
      </c>
      <c r="Q1130" s="6">
        <f>IF(ISERROR(VLOOKUP(F1130,#REF!,3,0)),0,VLOOKUP(F1130,#REF!,3,0))</f>
        <v>0</v>
      </c>
      <c r="R1130" s="6">
        <f>IF(ISERROR(VLOOKUP(F1130,#REF!,4,0)),0,VLOOKUP(F1130,#REF!,4,0))</f>
        <v>0</v>
      </c>
      <c r="S1130" s="8">
        <f>IF(ISERROR(VLOOKUP(F1130,#REF!,4,0)),0,VLOOKUP(F1130,#REF!,10,0)/60*K1130)</f>
        <v>0</v>
      </c>
      <c r="T1130" s="3"/>
      <c r="U1130" s="3"/>
      <c r="V1130" s="4"/>
    </row>
    <row r="1131" spans="1:22" x14ac:dyDescent="0.3">
      <c r="A1131" s="5">
        <f t="shared" si="52"/>
        <v>0</v>
      </c>
      <c r="B1131" s="6">
        <f t="shared" si="53"/>
        <v>0</v>
      </c>
      <c r="K1131" s="18">
        <f t="shared" si="51"/>
        <v>0</v>
      </c>
      <c r="L1131" s="21">
        <f>IF(ISERROR(VLOOKUP($F1131,#REF!,6,0)*G1131/1000),0,VLOOKUP($F1131,#REF!,6,0)*G1131/1000)</f>
        <v>0</v>
      </c>
      <c r="M1131" s="21">
        <f>IF(ISERROR(VLOOKUP($F1131,#REF!,6,0)*H1131/1000),0,VLOOKUP($F1131,#REF!,6,0)*H1131/1000)</f>
        <v>0</v>
      </c>
      <c r="N1131" s="21">
        <f>IF(ISERROR(VLOOKUP($F1131,#REF!,6,0)*I1131/1000),0,VLOOKUP($F1131,#REF!,6,0)*I1131/1000)</f>
        <v>0</v>
      </c>
      <c r="O1131" s="21">
        <f>IF(ISERROR(VLOOKUP($F1131,#REF!,6,0)*J1131/1000),0,VLOOKUP($F1131,#REF!,6,0)*J1131/1000)</f>
        <v>0</v>
      </c>
      <c r="P1131" s="21">
        <f>IF(ISERROR(VLOOKUP(F1131,#REF!,6,0)*K1131/1000),0,VLOOKUP(F1131,#REF!,6,0)*K1131/1000)</f>
        <v>0</v>
      </c>
      <c r="Q1131" s="6">
        <f>IF(ISERROR(VLOOKUP(F1131,#REF!,3,0)),0,VLOOKUP(F1131,#REF!,3,0))</f>
        <v>0</v>
      </c>
      <c r="R1131" s="6">
        <f>IF(ISERROR(VLOOKUP(F1131,#REF!,4,0)),0,VLOOKUP(F1131,#REF!,4,0))</f>
        <v>0</v>
      </c>
      <c r="S1131" s="8">
        <f>IF(ISERROR(VLOOKUP(F1131,#REF!,4,0)),0,VLOOKUP(F1131,#REF!,10,0)/60*K1131)</f>
        <v>0</v>
      </c>
      <c r="T1131" s="3"/>
      <c r="U1131" s="3"/>
      <c r="V1131" s="4"/>
    </row>
    <row r="1132" spans="1:22" x14ac:dyDescent="0.3">
      <c r="A1132" s="5">
        <f t="shared" si="52"/>
        <v>0</v>
      </c>
      <c r="B1132" s="6">
        <f t="shared" si="53"/>
        <v>0</v>
      </c>
      <c r="K1132" s="18">
        <f t="shared" si="51"/>
        <v>0</v>
      </c>
      <c r="L1132" s="21">
        <f>IF(ISERROR(VLOOKUP($F1132,#REF!,6,0)*G1132/1000),0,VLOOKUP($F1132,#REF!,6,0)*G1132/1000)</f>
        <v>0</v>
      </c>
      <c r="M1132" s="21">
        <f>IF(ISERROR(VLOOKUP($F1132,#REF!,6,0)*H1132/1000),0,VLOOKUP($F1132,#REF!,6,0)*H1132/1000)</f>
        <v>0</v>
      </c>
      <c r="N1132" s="21">
        <f>IF(ISERROR(VLOOKUP($F1132,#REF!,6,0)*I1132/1000),0,VLOOKUP($F1132,#REF!,6,0)*I1132/1000)</f>
        <v>0</v>
      </c>
      <c r="O1132" s="21">
        <f>IF(ISERROR(VLOOKUP($F1132,#REF!,6,0)*J1132/1000),0,VLOOKUP($F1132,#REF!,6,0)*J1132/1000)</f>
        <v>0</v>
      </c>
      <c r="P1132" s="21">
        <f>IF(ISERROR(VLOOKUP(F1132,#REF!,6,0)*K1132/1000),0,VLOOKUP(F1132,#REF!,6,0)*K1132/1000)</f>
        <v>0</v>
      </c>
      <c r="Q1132" s="6">
        <f>IF(ISERROR(VLOOKUP(F1132,#REF!,3,0)),0,VLOOKUP(F1132,#REF!,3,0))</f>
        <v>0</v>
      </c>
      <c r="R1132" s="6">
        <f>IF(ISERROR(VLOOKUP(F1132,#REF!,4,0)),0,VLOOKUP(F1132,#REF!,4,0))</f>
        <v>0</v>
      </c>
      <c r="S1132" s="8">
        <f>IF(ISERROR(VLOOKUP(F1132,#REF!,4,0)),0,VLOOKUP(F1132,#REF!,10,0)/60*K1132)</f>
        <v>0</v>
      </c>
      <c r="T1132" s="3"/>
      <c r="U1132" s="3"/>
      <c r="V1132" s="4"/>
    </row>
    <row r="1133" spans="1:22" x14ac:dyDescent="0.3">
      <c r="A1133" s="5">
        <f t="shared" si="52"/>
        <v>0</v>
      </c>
      <c r="B1133" s="6">
        <f t="shared" si="53"/>
        <v>0</v>
      </c>
      <c r="K1133" s="18">
        <f t="shared" si="51"/>
        <v>0</v>
      </c>
      <c r="L1133" s="21">
        <f>IF(ISERROR(VLOOKUP($F1133,#REF!,6,0)*G1133/1000),0,VLOOKUP($F1133,#REF!,6,0)*G1133/1000)</f>
        <v>0</v>
      </c>
      <c r="M1133" s="21">
        <f>IF(ISERROR(VLOOKUP($F1133,#REF!,6,0)*H1133/1000),0,VLOOKUP($F1133,#REF!,6,0)*H1133/1000)</f>
        <v>0</v>
      </c>
      <c r="N1133" s="21">
        <f>IF(ISERROR(VLOOKUP($F1133,#REF!,6,0)*I1133/1000),0,VLOOKUP($F1133,#REF!,6,0)*I1133/1000)</f>
        <v>0</v>
      </c>
      <c r="O1133" s="21">
        <f>IF(ISERROR(VLOOKUP($F1133,#REF!,6,0)*J1133/1000),0,VLOOKUP($F1133,#REF!,6,0)*J1133/1000)</f>
        <v>0</v>
      </c>
      <c r="P1133" s="21">
        <f>IF(ISERROR(VLOOKUP(F1133,#REF!,6,0)*K1133/1000),0,VLOOKUP(F1133,#REF!,6,0)*K1133/1000)</f>
        <v>0</v>
      </c>
      <c r="Q1133" s="6">
        <f>IF(ISERROR(VLOOKUP(F1133,#REF!,3,0)),0,VLOOKUP(F1133,#REF!,3,0))</f>
        <v>0</v>
      </c>
      <c r="R1133" s="6">
        <f>IF(ISERROR(VLOOKUP(F1133,#REF!,4,0)),0,VLOOKUP(F1133,#REF!,4,0))</f>
        <v>0</v>
      </c>
      <c r="S1133" s="8">
        <f>IF(ISERROR(VLOOKUP(F1133,#REF!,4,0)),0,VLOOKUP(F1133,#REF!,10,0)/60*K1133)</f>
        <v>0</v>
      </c>
      <c r="T1133" s="3"/>
      <c r="U1133" s="3"/>
      <c r="V1133" s="4"/>
    </row>
    <row r="1134" spans="1:22" x14ac:dyDescent="0.3">
      <c r="A1134" s="5">
        <f t="shared" si="52"/>
        <v>0</v>
      </c>
      <c r="B1134" s="6">
        <f t="shared" si="53"/>
        <v>0</v>
      </c>
      <c r="K1134" s="18">
        <f t="shared" si="51"/>
        <v>0</v>
      </c>
      <c r="L1134" s="21">
        <f>IF(ISERROR(VLOOKUP($F1134,#REF!,6,0)*G1134/1000),0,VLOOKUP($F1134,#REF!,6,0)*G1134/1000)</f>
        <v>0</v>
      </c>
      <c r="M1134" s="21">
        <f>IF(ISERROR(VLOOKUP($F1134,#REF!,6,0)*H1134/1000),0,VLOOKUP($F1134,#REF!,6,0)*H1134/1000)</f>
        <v>0</v>
      </c>
      <c r="N1134" s="21">
        <f>IF(ISERROR(VLOOKUP($F1134,#REF!,6,0)*I1134/1000),0,VLOOKUP($F1134,#REF!,6,0)*I1134/1000)</f>
        <v>0</v>
      </c>
      <c r="O1134" s="21">
        <f>IF(ISERROR(VLOOKUP($F1134,#REF!,6,0)*J1134/1000),0,VLOOKUP($F1134,#REF!,6,0)*J1134/1000)</f>
        <v>0</v>
      </c>
      <c r="P1134" s="21">
        <f>IF(ISERROR(VLOOKUP(F1134,#REF!,6,0)*K1134/1000),0,VLOOKUP(F1134,#REF!,6,0)*K1134/1000)</f>
        <v>0</v>
      </c>
      <c r="Q1134" s="6">
        <f>IF(ISERROR(VLOOKUP(F1134,#REF!,3,0)),0,VLOOKUP(F1134,#REF!,3,0))</f>
        <v>0</v>
      </c>
      <c r="R1134" s="6">
        <f>IF(ISERROR(VLOOKUP(F1134,#REF!,4,0)),0,VLOOKUP(F1134,#REF!,4,0))</f>
        <v>0</v>
      </c>
      <c r="S1134" s="8">
        <f>IF(ISERROR(VLOOKUP(F1134,#REF!,4,0)),0,VLOOKUP(F1134,#REF!,10,0)/60*K1134)</f>
        <v>0</v>
      </c>
      <c r="T1134" s="3"/>
      <c r="U1134" s="3"/>
      <c r="V1134" s="4"/>
    </row>
    <row r="1135" spans="1:22" x14ac:dyDescent="0.3">
      <c r="A1135" s="5">
        <f t="shared" si="52"/>
        <v>0</v>
      </c>
      <c r="B1135" s="6">
        <f t="shared" si="53"/>
        <v>0</v>
      </c>
      <c r="K1135" s="18">
        <f t="shared" si="51"/>
        <v>0</v>
      </c>
      <c r="L1135" s="21">
        <f>IF(ISERROR(VLOOKUP($F1135,#REF!,6,0)*G1135/1000),0,VLOOKUP($F1135,#REF!,6,0)*G1135/1000)</f>
        <v>0</v>
      </c>
      <c r="M1135" s="21">
        <f>IF(ISERROR(VLOOKUP($F1135,#REF!,6,0)*H1135/1000),0,VLOOKUP($F1135,#REF!,6,0)*H1135/1000)</f>
        <v>0</v>
      </c>
      <c r="N1135" s="21">
        <f>IF(ISERROR(VLOOKUP($F1135,#REF!,6,0)*I1135/1000),0,VLOOKUP($F1135,#REF!,6,0)*I1135/1000)</f>
        <v>0</v>
      </c>
      <c r="O1135" s="21">
        <f>IF(ISERROR(VLOOKUP($F1135,#REF!,6,0)*J1135/1000),0,VLOOKUP($F1135,#REF!,6,0)*J1135/1000)</f>
        <v>0</v>
      </c>
      <c r="P1135" s="21">
        <f>IF(ISERROR(VLOOKUP(F1135,#REF!,6,0)*K1135/1000),0,VLOOKUP(F1135,#REF!,6,0)*K1135/1000)</f>
        <v>0</v>
      </c>
      <c r="Q1135" s="6">
        <f>IF(ISERROR(VLOOKUP(F1135,#REF!,3,0)),0,VLOOKUP(F1135,#REF!,3,0))</f>
        <v>0</v>
      </c>
      <c r="R1135" s="6">
        <f>IF(ISERROR(VLOOKUP(F1135,#REF!,4,0)),0,VLOOKUP(F1135,#REF!,4,0))</f>
        <v>0</v>
      </c>
      <c r="S1135" s="8">
        <f>IF(ISERROR(VLOOKUP(F1135,#REF!,4,0)),0,VLOOKUP(F1135,#REF!,10,0)/60*K1135)</f>
        <v>0</v>
      </c>
      <c r="T1135" s="3"/>
      <c r="U1135" s="3"/>
      <c r="V1135" s="4"/>
    </row>
    <row r="1136" spans="1:22" x14ac:dyDescent="0.3">
      <c r="A1136" s="5">
        <f t="shared" si="52"/>
        <v>0</v>
      </c>
      <c r="B1136" s="6">
        <f t="shared" si="53"/>
        <v>0</v>
      </c>
      <c r="K1136" s="18">
        <f t="shared" si="51"/>
        <v>0</v>
      </c>
      <c r="L1136" s="21">
        <f>IF(ISERROR(VLOOKUP($F1136,#REF!,6,0)*G1136/1000),0,VLOOKUP($F1136,#REF!,6,0)*G1136/1000)</f>
        <v>0</v>
      </c>
      <c r="M1136" s="21">
        <f>IF(ISERROR(VLOOKUP($F1136,#REF!,6,0)*H1136/1000),0,VLOOKUP($F1136,#REF!,6,0)*H1136/1000)</f>
        <v>0</v>
      </c>
      <c r="N1136" s="21">
        <f>IF(ISERROR(VLOOKUP($F1136,#REF!,6,0)*I1136/1000),0,VLOOKUP($F1136,#REF!,6,0)*I1136/1000)</f>
        <v>0</v>
      </c>
      <c r="O1136" s="21">
        <f>IF(ISERROR(VLOOKUP($F1136,#REF!,6,0)*J1136/1000),0,VLOOKUP($F1136,#REF!,6,0)*J1136/1000)</f>
        <v>0</v>
      </c>
      <c r="P1136" s="21">
        <f>IF(ISERROR(VLOOKUP(F1136,#REF!,6,0)*K1136/1000),0,VLOOKUP(F1136,#REF!,6,0)*K1136/1000)</f>
        <v>0</v>
      </c>
      <c r="Q1136" s="6">
        <f>IF(ISERROR(VLOOKUP(F1136,#REF!,3,0)),0,VLOOKUP(F1136,#REF!,3,0))</f>
        <v>0</v>
      </c>
      <c r="R1136" s="6">
        <f>IF(ISERROR(VLOOKUP(F1136,#REF!,4,0)),0,VLOOKUP(F1136,#REF!,4,0))</f>
        <v>0</v>
      </c>
      <c r="S1136" s="8">
        <f>IF(ISERROR(VLOOKUP(F1136,#REF!,4,0)),0,VLOOKUP(F1136,#REF!,10,0)/60*K1136)</f>
        <v>0</v>
      </c>
      <c r="T1136" s="3"/>
      <c r="U1136" s="3"/>
      <c r="V1136" s="4"/>
    </row>
    <row r="1137" spans="1:22" x14ac:dyDescent="0.3">
      <c r="A1137" s="5">
        <f t="shared" si="52"/>
        <v>0</v>
      </c>
      <c r="B1137" s="6">
        <f t="shared" si="53"/>
        <v>0</v>
      </c>
      <c r="K1137" s="18">
        <f t="shared" si="51"/>
        <v>0</v>
      </c>
      <c r="L1137" s="21">
        <f>IF(ISERROR(VLOOKUP($F1137,#REF!,6,0)*G1137/1000),0,VLOOKUP($F1137,#REF!,6,0)*G1137/1000)</f>
        <v>0</v>
      </c>
      <c r="M1137" s="21">
        <f>IF(ISERROR(VLOOKUP($F1137,#REF!,6,0)*H1137/1000),0,VLOOKUP($F1137,#REF!,6,0)*H1137/1000)</f>
        <v>0</v>
      </c>
      <c r="N1137" s="21">
        <f>IF(ISERROR(VLOOKUP($F1137,#REF!,6,0)*I1137/1000),0,VLOOKUP($F1137,#REF!,6,0)*I1137/1000)</f>
        <v>0</v>
      </c>
      <c r="O1137" s="21">
        <f>IF(ISERROR(VLOOKUP($F1137,#REF!,6,0)*J1137/1000),0,VLOOKUP($F1137,#REF!,6,0)*J1137/1000)</f>
        <v>0</v>
      </c>
      <c r="P1137" s="21">
        <f>IF(ISERROR(VLOOKUP(F1137,#REF!,6,0)*K1137/1000),0,VLOOKUP(F1137,#REF!,6,0)*K1137/1000)</f>
        <v>0</v>
      </c>
      <c r="Q1137" s="6">
        <f>IF(ISERROR(VLOOKUP(F1137,#REF!,3,0)),0,VLOOKUP(F1137,#REF!,3,0))</f>
        <v>0</v>
      </c>
      <c r="R1137" s="6">
        <f>IF(ISERROR(VLOOKUP(F1137,#REF!,4,0)),0,VLOOKUP(F1137,#REF!,4,0))</f>
        <v>0</v>
      </c>
      <c r="S1137" s="8">
        <f>IF(ISERROR(VLOOKUP(F1137,#REF!,4,0)),0,VLOOKUP(F1137,#REF!,10,0)/60*K1137)</f>
        <v>0</v>
      </c>
      <c r="T1137" s="3"/>
      <c r="U1137" s="3"/>
      <c r="V1137" s="4"/>
    </row>
    <row r="1138" spans="1:22" x14ac:dyDescent="0.3">
      <c r="A1138" s="5">
        <f t="shared" si="52"/>
        <v>0</v>
      </c>
      <c r="B1138" s="6">
        <f t="shared" si="53"/>
        <v>0</v>
      </c>
      <c r="K1138" s="18">
        <f t="shared" si="51"/>
        <v>0</v>
      </c>
      <c r="L1138" s="21">
        <f>IF(ISERROR(VLOOKUP($F1138,#REF!,6,0)*G1138/1000),0,VLOOKUP($F1138,#REF!,6,0)*G1138/1000)</f>
        <v>0</v>
      </c>
      <c r="M1138" s="21">
        <f>IF(ISERROR(VLOOKUP($F1138,#REF!,6,0)*H1138/1000),0,VLOOKUP($F1138,#REF!,6,0)*H1138/1000)</f>
        <v>0</v>
      </c>
      <c r="N1138" s="21">
        <f>IF(ISERROR(VLOOKUP($F1138,#REF!,6,0)*I1138/1000),0,VLOOKUP($F1138,#REF!,6,0)*I1138/1000)</f>
        <v>0</v>
      </c>
      <c r="O1138" s="21">
        <f>IF(ISERROR(VLOOKUP($F1138,#REF!,6,0)*J1138/1000),0,VLOOKUP($F1138,#REF!,6,0)*J1138/1000)</f>
        <v>0</v>
      </c>
      <c r="P1138" s="21">
        <f>IF(ISERROR(VLOOKUP(F1138,#REF!,6,0)*K1138/1000),0,VLOOKUP(F1138,#REF!,6,0)*K1138/1000)</f>
        <v>0</v>
      </c>
      <c r="Q1138" s="6">
        <f>IF(ISERROR(VLOOKUP(F1138,#REF!,3,0)),0,VLOOKUP(F1138,#REF!,3,0))</f>
        <v>0</v>
      </c>
      <c r="R1138" s="6">
        <f>IF(ISERROR(VLOOKUP(F1138,#REF!,4,0)),0,VLOOKUP(F1138,#REF!,4,0))</f>
        <v>0</v>
      </c>
      <c r="S1138" s="8">
        <f>IF(ISERROR(VLOOKUP(F1138,#REF!,4,0)),0,VLOOKUP(F1138,#REF!,10,0)/60*K1138)</f>
        <v>0</v>
      </c>
      <c r="T1138" s="3"/>
      <c r="U1138" s="3"/>
      <c r="V1138" s="4"/>
    </row>
    <row r="1139" spans="1:22" x14ac:dyDescent="0.3">
      <c r="A1139" s="5">
        <f t="shared" si="52"/>
        <v>0</v>
      </c>
      <c r="B1139" s="6">
        <f t="shared" si="53"/>
        <v>0</v>
      </c>
      <c r="K1139" s="18">
        <f t="shared" si="51"/>
        <v>0</v>
      </c>
      <c r="L1139" s="21">
        <f>IF(ISERROR(VLOOKUP($F1139,#REF!,6,0)*G1139/1000),0,VLOOKUP($F1139,#REF!,6,0)*G1139/1000)</f>
        <v>0</v>
      </c>
      <c r="M1139" s="21">
        <f>IF(ISERROR(VLOOKUP($F1139,#REF!,6,0)*H1139/1000),0,VLOOKUP($F1139,#REF!,6,0)*H1139/1000)</f>
        <v>0</v>
      </c>
      <c r="N1139" s="21">
        <f>IF(ISERROR(VLOOKUP($F1139,#REF!,6,0)*I1139/1000),0,VLOOKUP($F1139,#REF!,6,0)*I1139/1000)</f>
        <v>0</v>
      </c>
      <c r="O1139" s="21">
        <f>IF(ISERROR(VLOOKUP($F1139,#REF!,6,0)*J1139/1000),0,VLOOKUP($F1139,#REF!,6,0)*J1139/1000)</f>
        <v>0</v>
      </c>
      <c r="P1139" s="21">
        <f>IF(ISERROR(VLOOKUP(F1139,#REF!,6,0)*K1139/1000),0,VLOOKUP(F1139,#REF!,6,0)*K1139/1000)</f>
        <v>0</v>
      </c>
      <c r="Q1139" s="6">
        <f>IF(ISERROR(VLOOKUP(F1139,#REF!,3,0)),0,VLOOKUP(F1139,#REF!,3,0))</f>
        <v>0</v>
      </c>
      <c r="R1139" s="6">
        <f>IF(ISERROR(VLOOKUP(F1139,#REF!,4,0)),0,VLOOKUP(F1139,#REF!,4,0))</f>
        <v>0</v>
      </c>
      <c r="S1139" s="8">
        <f>IF(ISERROR(VLOOKUP(F1139,#REF!,4,0)),0,VLOOKUP(F1139,#REF!,10,0)/60*K1139)</f>
        <v>0</v>
      </c>
      <c r="T1139" s="3"/>
      <c r="U1139" s="3"/>
      <c r="V1139" s="4"/>
    </row>
    <row r="1140" spans="1:22" x14ac:dyDescent="0.3">
      <c r="A1140" s="5">
        <f t="shared" si="52"/>
        <v>0</v>
      </c>
      <c r="B1140" s="6">
        <f t="shared" si="53"/>
        <v>0</v>
      </c>
      <c r="K1140" s="18">
        <f t="shared" si="51"/>
        <v>0</v>
      </c>
      <c r="L1140" s="21">
        <f>IF(ISERROR(VLOOKUP($F1140,#REF!,6,0)*G1140/1000),0,VLOOKUP($F1140,#REF!,6,0)*G1140/1000)</f>
        <v>0</v>
      </c>
      <c r="M1140" s="21">
        <f>IF(ISERROR(VLOOKUP($F1140,#REF!,6,0)*H1140/1000),0,VLOOKUP($F1140,#REF!,6,0)*H1140/1000)</f>
        <v>0</v>
      </c>
      <c r="N1140" s="21">
        <f>IF(ISERROR(VLOOKUP($F1140,#REF!,6,0)*I1140/1000),0,VLOOKUP($F1140,#REF!,6,0)*I1140/1000)</f>
        <v>0</v>
      </c>
      <c r="O1140" s="21">
        <f>IF(ISERROR(VLOOKUP($F1140,#REF!,6,0)*J1140/1000),0,VLOOKUP($F1140,#REF!,6,0)*J1140/1000)</f>
        <v>0</v>
      </c>
      <c r="P1140" s="21">
        <f>IF(ISERROR(VLOOKUP(F1140,#REF!,6,0)*K1140/1000),0,VLOOKUP(F1140,#REF!,6,0)*K1140/1000)</f>
        <v>0</v>
      </c>
      <c r="Q1140" s="6">
        <f>IF(ISERROR(VLOOKUP(F1140,#REF!,3,0)),0,VLOOKUP(F1140,#REF!,3,0))</f>
        <v>0</v>
      </c>
      <c r="R1140" s="6">
        <f>IF(ISERROR(VLOOKUP(F1140,#REF!,4,0)),0,VLOOKUP(F1140,#REF!,4,0))</f>
        <v>0</v>
      </c>
      <c r="S1140" s="8">
        <f>IF(ISERROR(VLOOKUP(F1140,#REF!,4,0)),0,VLOOKUP(F1140,#REF!,10,0)/60*K1140)</f>
        <v>0</v>
      </c>
      <c r="T1140" s="3"/>
      <c r="U1140" s="3"/>
      <c r="V1140" s="4"/>
    </row>
    <row r="1141" spans="1:22" x14ac:dyDescent="0.3">
      <c r="A1141" s="5">
        <f t="shared" si="52"/>
        <v>0</v>
      </c>
      <c r="B1141" s="6">
        <f t="shared" si="53"/>
        <v>0</v>
      </c>
      <c r="K1141" s="18">
        <f t="shared" si="51"/>
        <v>0</v>
      </c>
      <c r="L1141" s="21">
        <f>IF(ISERROR(VLOOKUP($F1141,#REF!,6,0)*G1141/1000),0,VLOOKUP($F1141,#REF!,6,0)*G1141/1000)</f>
        <v>0</v>
      </c>
      <c r="M1141" s="21">
        <f>IF(ISERROR(VLOOKUP($F1141,#REF!,6,0)*H1141/1000),0,VLOOKUP($F1141,#REF!,6,0)*H1141/1000)</f>
        <v>0</v>
      </c>
      <c r="N1141" s="21">
        <f>IF(ISERROR(VLOOKUP($F1141,#REF!,6,0)*I1141/1000),0,VLOOKUP($F1141,#REF!,6,0)*I1141/1000)</f>
        <v>0</v>
      </c>
      <c r="O1141" s="21">
        <f>IF(ISERROR(VLOOKUP($F1141,#REF!,6,0)*J1141/1000),0,VLOOKUP($F1141,#REF!,6,0)*J1141/1000)</f>
        <v>0</v>
      </c>
      <c r="P1141" s="21">
        <f>IF(ISERROR(VLOOKUP(F1141,#REF!,6,0)*K1141/1000),0,VLOOKUP(F1141,#REF!,6,0)*K1141/1000)</f>
        <v>0</v>
      </c>
      <c r="Q1141" s="6">
        <f>IF(ISERROR(VLOOKUP(F1141,#REF!,3,0)),0,VLOOKUP(F1141,#REF!,3,0))</f>
        <v>0</v>
      </c>
      <c r="R1141" s="6">
        <f>IF(ISERROR(VLOOKUP(F1141,#REF!,4,0)),0,VLOOKUP(F1141,#REF!,4,0))</f>
        <v>0</v>
      </c>
      <c r="S1141" s="8">
        <f>IF(ISERROR(VLOOKUP(F1141,#REF!,4,0)),0,VLOOKUP(F1141,#REF!,10,0)/60*K1141)</f>
        <v>0</v>
      </c>
      <c r="T1141" s="3"/>
      <c r="U1141" s="3"/>
      <c r="V1141" s="4"/>
    </row>
    <row r="1142" spans="1:22" x14ac:dyDescent="0.3">
      <c r="A1142" s="5">
        <f t="shared" si="52"/>
        <v>0</v>
      </c>
      <c r="B1142" s="6">
        <f t="shared" si="53"/>
        <v>0</v>
      </c>
      <c r="K1142" s="18">
        <f t="shared" si="51"/>
        <v>0</v>
      </c>
      <c r="L1142" s="21">
        <f>IF(ISERROR(VLOOKUP($F1142,#REF!,6,0)*G1142/1000),0,VLOOKUP($F1142,#REF!,6,0)*G1142/1000)</f>
        <v>0</v>
      </c>
      <c r="M1142" s="21">
        <f>IF(ISERROR(VLOOKUP($F1142,#REF!,6,0)*H1142/1000),0,VLOOKUP($F1142,#REF!,6,0)*H1142/1000)</f>
        <v>0</v>
      </c>
      <c r="N1142" s="21">
        <f>IF(ISERROR(VLOOKUP($F1142,#REF!,6,0)*I1142/1000),0,VLOOKUP($F1142,#REF!,6,0)*I1142/1000)</f>
        <v>0</v>
      </c>
      <c r="O1142" s="21">
        <f>IF(ISERROR(VLOOKUP($F1142,#REF!,6,0)*J1142/1000),0,VLOOKUP($F1142,#REF!,6,0)*J1142/1000)</f>
        <v>0</v>
      </c>
      <c r="P1142" s="21">
        <f>IF(ISERROR(VLOOKUP(F1142,#REF!,6,0)*K1142/1000),0,VLOOKUP(F1142,#REF!,6,0)*K1142/1000)</f>
        <v>0</v>
      </c>
      <c r="Q1142" s="6">
        <f>IF(ISERROR(VLOOKUP(F1142,#REF!,3,0)),0,VLOOKUP(F1142,#REF!,3,0))</f>
        <v>0</v>
      </c>
      <c r="R1142" s="6">
        <f>IF(ISERROR(VLOOKUP(F1142,#REF!,4,0)),0,VLOOKUP(F1142,#REF!,4,0))</f>
        <v>0</v>
      </c>
      <c r="S1142" s="8">
        <f>IF(ISERROR(VLOOKUP(F1142,#REF!,4,0)),0,VLOOKUP(F1142,#REF!,10,0)/60*K1142)</f>
        <v>0</v>
      </c>
      <c r="T1142" s="3"/>
      <c r="U1142" s="3"/>
      <c r="V1142" s="4"/>
    </row>
    <row r="1143" spans="1:22" x14ac:dyDescent="0.3">
      <c r="A1143" s="5">
        <f t="shared" si="52"/>
        <v>0</v>
      </c>
      <c r="B1143" s="6">
        <f t="shared" si="53"/>
        <v>0</v>
      </c>
      <c r="K1143" s="18">
        <f t="shared" si="51"/>
        <v>0</v>
      </c>
      <c r="L1143" s="21">
        <f>IF(ISERROR(VLOOKUP($F1143,#REF!,6,0)*G1143/1000),0,VLOOKUP($F1143,#REF!,6,0)*G1143/1000)</f>
        <v>0</v>
      </c>
      <c r="M1143" s="21">
        <f>IF(ISERROR(VLOOKUP($F1143,#REF!,6,0)*H1143/1000),0,VLOOKUP($F1143,#REF!,6,0)*H1143/1000)</f>
        <v>0</v>
      </c>
      <c r="N1143" s="21">
        <f>IF(ISERROR(VLOOKUP($F1143,#REF!,6,0)*I1143/1000),0,VLOOKUP($F1143,#REF!,6,0)*I1143/1000)</f>
        <v>0</v>
      </c>
      <c r="O1143" s="21">
        <f>IF(ISERROR(VLOOKUP($F1143,#REF!,6,0)*J1143/1000),0,VLOOKUP($F1143,#REF!,6,0)*J1143/1000)</f>
        <v>0</v>
      </c>
      <c r="P1143" s="21">
        <f>IF(ISERROR(VLOOKUP(F1143,#REF!,6,0)*K1143/1000),0,VLOOKUP(F1143,#REF!,6,0)*K1143/1000)</f>
        <v>0</v>
      </c>
      <c r="Q1143" s="6">
        <f>IF(ISERROR(VLOOKUP(F1143,#REF!,3,0)),0,VLOOKUP(F1143,#REF!,3,0))</f>
        <v>0</v>
      </c>
      <c r="R1143" s="6">
        <f>IF(ISERROR(VLOOKUP(F1143,#REF!,4,0)),0,VLOOKUP(F1143,#REF!,4,0))</f>
        <v>0</v>
      </c>
      <c r="S1143" s="8">
        <f>IF(ISERROR(VLOOKUP(F1143,#REF!,4,0)),0,VLOOKUP(F1143,#REF!,10,0)/60*K1143)</f>
        <v>0</v>
      </c>
      <c r="T1143" s="3"/>
      <c r="U1143" s="3"/>
      <c r="V1143" s="4"/>
    </row>
    <row r="1144" spans="1:22" x14ac:dyDescent="0.3">
      <c r="A1144" s="5">
        <f t="shared" si="52"/>
        <v>0</v>
      </c>
      <c r="B1144" s="6">
        <f t="shared" si="53"/>
        <v>0</v>
      </c>
      <c r="K1144" s="18">
        <f t="shared" si="51"/>
        <v>0</v>
      </c>
      <c r="L1144" s="21">
        <f>IF(ISERROR(VLOOKUP($F1144,#REF!,6,0)*G1144/1000),0,VLOOKUP($F1144,#REF!,6,0)*G1144/1000)</f>
        <v>0</v>
      </c>
      <c r="M1144" s="21">
        <f>IF(ISERROR(VLOOKUP($F1144,#REF!,6,0)*H1144/1000),0,VLOOKUP($F1144,#REF!,6,0)*H1144/1000)</f>
        <v>0</v>
      </c>
      <c r="N1144" s="21">
        <f>IF(ISERROR(VLOOKUP($F1144,#REF!,6,0)*I1144/1000),0,VLOOKUP($F1144,#REF!,6,0)*I1144/1000)</f>
        <v>0</v>
      </c>
      <c r="O1144" s="21">
        <f>IF(ISERROR(VLOOKUP($F1144,#REF!,6,0)*J1144/1000),0,VLOOKUP($F1144,#REF!,6,0)*J1144/1000)</f>
        <v>0</v>
      </c>
      <c r="P1144" s="21">
        <f>IF(ISERROR(VLOOKUP(F1144,#REF!,6,0)*K1144/1000),0,VLOOKUP(F1144,#REF!,6,0)*K1144/1000)</f>
        <v>0</v>
      </c>
      <c r="Q1144" s="6">
        <f>IF(ISERROR(VLOOKUP(F1144,#REF!,3,0)),0,VLOOKUP(F1144,#REF!,3,0))</f>
        <v>0</v>
      </c>
      <c r="R1144" s="6">
        <f>IF(ISERROR(VLOOKUP(F1144,#REF!,4,0)),0,VLOOKUP(F1144,#REF!,4,0))</f>
        <v>0</v>
      </c>
      <c r="S1144" s="8">
        <f>IF(ISERROR(VLOOKUP(F1144,#REF!,4,0)),0,VLOOKUP(F1144,#REF!,10,0)/60*K1144)</f>
        <v>0</v>
      </c>
      <c r="T1144" s="3"/>
      <c r="U1144" s="3"/>
      <c r="V1144" s="4"/>
    </row>
    <row r="1145" spans="1:22" x14ac:dyDescent="0.3">
      <c r="A1145" s="5">
        <f t="shared" si="52"/>
        <v>0</v>
      </c>
      <c r="B1145" s="6">
        <f t="shared" si="53"/>
        <v>0</v>
      </c>
      <c r="K1145" s="18">
        <f t="shared" si="51"/>
        <v>0</v>
      </c>
      <c r="L1145" s="21">
        <f>IF(ISERROR(VLOOKUP($F1145,#REF!,6,0)*G1145/1000),0,VLOOKUP($F1145,#REF!,6,0)*G1145/1000)</f>
        <v>0</v>
      </c>
      <c r="M1145" s="21">
        <f>IF(ISERROR(VLOOKUP($F1145,#REF!,6,0)*H1145/1000),0,VLOOKUP($F1145,#REF!,6,0)*H1145/1000)</f>
        <v>0</v>
      </c>
      <c r="N1145" s="21">
        <f>IF(ISERROR(VLOOKUP($F1145,#REF!,6,0)*I1145/1000),0,VLOOKUP($F1145,#REF!,6,0)*I1145/1000)</f>
        <v>0</v>
      </c>
      <c r="O1145" s="21">
        <f>IF(ISERROR(VLOOKUP($F1145,#REF!,6,0)*J1145/1000),0,VLOOKUP($F1145,#REF!,6,0)*J1145/1000)</f>
        <v>0</v>
      </c>
      <c r="P1145" s="21">
        <f>IF(ISERROR(VLOOKUP(F1145,#REF!,6,0)*K1145/1000),0,VLOOKUP(F1145,#REF!,6,0)*K1145/1000)</f>
        <v>0</v>
      </c>
      <c r="Q1145" s="6">
        <f>IF(ISERROR(VLOOKUP(F1145,#REF!,3,0)),0,VLOOKUP(F1145,#REF!,3,0))</f>
        <v>0</v>
      </c>
      <c r="R1145" s="6">
        <f>IF(ISERROR(VLOOKUP(F1145,#REF!,4,0)),0,VLOOKUP(F1145,#REF!,4,0))</f>
        <v>0</v>
      </c>
      <c r="S1145" s="8">
        <f>IF(ISERROR(VLOOKUP(F1145,#REF!,4,0)),0,VLOOKUP(F1145,#REF!,10,0)/60*K1145)</f>
        <v>0</v>
      </c>
      <c r="T1145" s="3"/>
      <c r="U1145" s="3"/>
      <c r="V1145" s="4"/>
    </row>
    <row r="1146" spans="1:22" x14ac:dyDescent="0.3">
      <c r="A1146" s="5">
        <f t="shared" si="52"/>
        <v>0</v>
      </c>
      <c r="B1146" s="6">
        <f t="shared" si="53"/>
        <v>0</v>
      </c>
      <c r="K1146" s="18">
        <f t="shared" si="51"/>
        <v>0</v>
      </c>
      <c r="L1146" s="21">
        <f>IF(ISERROR(VLOOKUP($F1146,#REF!,6,0)*G1146/1000),0,VLOOKUP($F1146,#REF!,6,0)*G1146/1000)</f>
        <v>0</v>
      </c>
      <c r="M1146" s="21">
        <f>IF(ISERROR(VLOOKUP($F1146,#REF!,6,0)*H1146/1000),0,VLOOKUP($F1146,#REF!,6,0)*H1146/1000)</f>
        <v>0</v>
      </c>
      <c r="N1146" s="21">
        <f>IF(ISERROR(VLOOKUP($F1146,#REF!,6,0)*I1146/1000),0,VLOOKUP($F1146,#REF!,6,0)*I1146/1000)</f>
        <v>0</v>
      </c>
      <c r="O1146" s="21">
        <f>IF(ISERROR(VLOOKUP($F1146,#REF!,6,0)*J1146/1000),0,VLOOKUP($F1146,#REF!,6,0)*J1146/1000)</f>
        <v>0</v>
      </c>
      <c r="P1146" s="21">
        <f>IF(ISERROR(VLOOKUP(F1146,#REF!,6,0)*K1146/1000),0,VLOOKUP(F1146,#REF!,6,0)*K1146/1000)</f>
        <v>0</v>
      </c>
      <c r="Q1146" s="6">
        <f>IF(ISERROR(VLOOKUP(F1146,#REF!,3,0)),0,VLOOKUP(F1146,#REF!,3,0))</f>
        <v>0</v>
      </c>
      <c r="R1146" s="6">
        <f>IF(ISERROR(VLOOKUP(F1146,#REF!,4,0)),0,VLOOKUP(F1146,#REF!,4,0))</f>
        <v>0</v>
      </c>
      <c r="S1146" s="8">
        <f>IF(ISERROR(VLOOKUP(F1146,#REF!,4,0)),0,VLOOKUP(F1146,#REF!,10,0)/60*K1146)</f>
        <v>0</v>
      </c>
      <c r="T1146" s="3"/>
      <c r="U1146" s="3"/>
      <c r="V1146" s="4"/>
    </row>
    <row r="1147" spans="1:22" x14ac:dyDescent="0.3">
      <c r="A1147" s="5">
        <f t="shared" si="52"/>
        <v>0</v>
      </c>
      <c r="B1147" s="6">
        <f t="shared" si="53"/>
        <v>0</v>
      </c>
      <c r="K1147" s="18">
        <f t="shared" si="51"/>
        <v>0</v>
      </c>
      <c r="L1147" s="21">
        <f>IF(ISERROR(VLOOKUP($F1147,#REF!,6,0)*G1147/1000),0,VLOOKUP($F1147,#REF!,6,0)*G1147/1000)</f>
        <v>0</v>
      </c>
      <c r="M1147" s="21">
        <f>IF(ISERROR(VLOOKUP($F1147,#REF!,6,0)*H1147/1000),0,VLOOKUP($F1147,#REF!,6,0)*H1147/1000)</f>
        <v>0</v>
      </c>
      <c r="N1147" s="21">
        <f>IF(ISERROR(VLOOKUP($F1147,#REF!,6,0)*I1147/1000),0,VLOOKUP($F1147,#REF!,6,0)*I1147/1000)</f>
        <v>0</v>
      </c>
      <c r="O1147" s="21">
        <f>IF(ISERROR(VLOOKUP($F1147,#REF!,6,0)*J1147/1000),0,VLOOKUP($F1147,#REF!,6,0)*J1147/1000)</f>
        <v>0</v>
      </c>
      <c r="P1147" s="21">
        <f>IF(ISERROR(VLOOKUP(F1147,#REF!,6,0)*K1147/1000),0,VLOOKUP(F1147,#REF!,6,0)*K1147/1000)</f>
        <v>0</v>
      </c>
      <c r="Q1147" s="6">
        <f>IF(ISERROR(VLOOKUP(F1147,#REF!,3,0)),0,VLOOKUP(F1147,#REF!,3,0))</f>
        <v>0</v>
      </c>
      <c r="R1147" s="6">
        <f>IF(ISERROR(VLOOKUP(F1147,#REF!,4,0)),0,VLOOKUP(F1147,#REF!,4,0))</f>
        <v>0</v>
      </c>
      <c r="S1147" s="8">
        <f>IF(ISERROR(VLOOKUP(F1147,#REF!,4,0)),0,VLOOKUP(F1147,#REF!,10,0)/60*K1147)</f>
        <v>0</v>
      </c>
      <c r="T1147" s="3"/>
      <c r="U1147" s="3"/>
      <c r="V1147" s="4"/>
    </row>
    <row r="1148" spans="1:22" x14ac:dyDescent="0.3">
      <c r="A1148" s="5">
        <f t="shared" si="52"/>
        <v>0</v>
      </c>
      <c r="B1148" s="6">
        <f t="shared" si="53"/>
        <v>0</v>
      </c>
      <c r="K1148" s="18">
        <f t="shared" si="51"/>
        <v>0</v>
      </c>
      <c r="L1148" s="21">
        <f>IF(ISERROR(VLOOKUP($F1148,#REF!,6,0)*G1148/1000),0,VLOOKUP($F1148,#REF!,6,0)*G1148/1000)</f>
        <v>0</v>
      </c>
      <c r="M1148" s="21">
        <f>IF(ISERROR(VLOOKUP($F1148,#REF!,6,0)*H1148/1000),0,VLOOKUP($F1148,#REF!,6,0)*H1148/1000)</f>
        <v>0</v>
      </c>
      <c r="N1148" s="21">
        <f>IF(ISERROR(VLOOKUP($F1148,#REF!,6,0)*I1148/1000),0,VLOOKUP($F1148,#REF!,6,0)*I1148/1000)</f>
        <v>0</v>
      </c>
      <c r="O1148" s="21">
        <f>IF(ISERROR(VLOOKUP($F1148,#REF!,6,0)*J1148/1000),0,VLOOKUP($F1148,#REF!,6,0)*J1148/1000)</f>
        <v>0</v>
      </c>
      <c r="P1148" s="21">
        <f>IF(ISERROR(VLOOKUP(F1148,#REF!,6,0)*K1148/1000),0,VLOOKUP(F1148,#REF!,6,0)*K1148/1000)</f>
        <v>0</v>
      </c>
      <c r="Q1148" s="6">
        <f>IF(ISERROR(VLOOKUP(F1148,#REF!,3,0)),0,VLOOKUP(F1148,#REF!,3,0))</f>
        <v>0</v>
      </c>
      <c r="R1148" s="6">
        <f>IF(ISERROR(VLOOKUP(F1148,#REF!,4,0)),0,VLOOKUP(F1148,#REF!,4,0))</f>
        <v>0</v>
      </c>
      <c r="S1148" s="8">
        <f>IF(ISERROR(VLOOKUP(F1148,#REF!,4,0)),0,VLOOKUP(F1148,#REF!,10,0)/60*K1148)</f>
        <v>0</v>
      </c>
      <c r="T1148" s="3"/>
      <c r="U1148" s="3"/>
      <c r="V1148" s="4"/>
    </row>
    <row r="1149" spans="1:22" x14ac:dyDescent="0.3">
      <c r="A1149" s="5">
        <f t="shared" si="52"/>
        <v>0</v>
      </c>
      <c r="B1149" s="6">
        <f t="shared" si="53"/>
        <v>0</v>
      </c>
      <c r="K1149" s="18">
        <f t="shared" si="51"/>
        <v>0</v>
      </c>
      <c r="L1149" s="21">
        <f>IF(ISERROR(VLOOKUP($F1149,#REF!,6,0)*G1149/1000),0,VLOOKUP($F1149,#REF!,6,0)*G1149/1000)</f>
        <v>0</v>
      </c>
      <c r="M1149" s="21">
        <f>IF(ISERROR(VLOOKUP($F1149,#REF!,6,0)*H1149/1000),0,VLOOKUP($F1149,#REF!,6,0)*H1149/1000)</f>
        <v>0</v>
      </c>
      <c r="N1149" s="21">
        <f>IF(ISERROR(VLOOKUP($F1149,#REF!,6,0)*I1149/1000),0,VLOOKUP($F1149,#REF!,6,0)*I1149/1000)</f>
        <v>0</v>
      </c>
      <c r="O1149" s="21">
        <f>IF(ISERROR(VLOOKUP($F1149,#REF!,6,0)*J1149/1000),0,VLOOKUP($F1149,#REF!,6,0)*J1149/1000)</f>
        <v>0</v>
      </c>
      <c r="P1149" s="21">
        <f>IF(ISERROR(VLOOKUP(F1149,#REF!,6,0)*K1149/1000),0,VLOOKUP(F1149,#REF!,6,0)*K1149/1000)</f>
        <v>0</v>
      </c>
      <c r="Q1149" s="6">
        <f>IF(ISERROR(VLOOKUP(F1149,#REF!,3,0)),0,VLOOKUP(F1149,#REF!,3,0))</f>
        <v>0</v>
      </c>
      <c r="R1149" s="6">
        <f>IF(ISERROR(VLOOKUP(F1149,#REF!,4,0)),0,VLOOKUP(F1149,#REF!,4,0))</f>
        <v>0</v>
      </c>
      <c r="S1149" s="8">
        <f>IF(ISERROR(VLOOKUP(F1149,#REF!,4,0)),0,VLOOKUP(F1149,#REF!,10,0)/60*K1149)</f>
        <v>0</v>
      </c>
      <c r="T1149" s="3"/>
      <c r="U1149" s="3"/>
      <c r="V1149" s="4"/>
    </row>
    <row r="1150" spans="1:22" x14ac:dyDescent="0.3">
      <c r="A1150" s="5">
        <f t="shared" si="52"/>
        <v>0</v>
      </c>
      <c r="B1150" s="6">
        <f t="shared" si="53"/>
        <v>0</v>
      </c>
      <c r="K1150" s="18">
        <f t="shared" si="51"/>
        <v>0</v>
      </c>
      <c r="L1150" s="21">
        <f>IF(ISERROR(VLOOKUP($F1150,#REF!,6,0)*G1150/1000),0,VLOOKUP($F1150,#REF!,6,0)*G1150/1000)</f>
        <v>0</v>
      </c>
      <c r="M1150" s="21">
        <f>IF(ISERROR(VLOOKUP($F1150,#REF!,6,0)*H1150/1000),0,VLOOKUP($F1150,#REF!,6,0)*H1150/1000)</f>
        <v>0</v>
      </c>
      <c r="N1150" s="21">
        <f>IF(ISERROR(VLOOKUP($F1150,#REF!,6,0)*I1150/1000),0,VLOOKUP($F1150,#REF!,6,0)*I1150/1000)</f>
        <v>0</v>
      </c>
      <c r="O1150" s="21">
        <f>IF(ISERROR(VLOOKUP($F1150,#REF!,6,0)*J1150/1000),0,VLOOKUP($F1150,#REF!,6,0)*J1150/1000)</f>
        <v>0</v>
      </c>
      <c r="P1150" s="21">
        <f>IF(ISERROR(VLOOKUP(F1150,#REF!,6,0)*K1150/1000),0,VLOOKUP(F1150,#REF!,6,0)*K1150/1000)</f>
        <v>0</v>
      </c>
      <c r="Q1150" s="6">
        <f>IF(ISERROR(VLOOKUP(F1150,#REF!,3,0)),0,VLOOKUP(F1150,#REF!,3,0))</f>
        <v>0</v>
      </c>
      <c r="R1150" s="6">
        <f>IF(ISERROR(VLOOKUP(F1150,#REF!,4,0)),0,VLOOKUP(F1150,#REF!,4,0))</f>
        <v>0</v>
      </c>
      <c r="S1150" s="8">
        <f>IF(ISERROR(VLOOKUP(F1150,#REF!,4,0)),0,VLOOKUP(F1150,#REF!,10,0)/60*K1150)</f>
        <v>0</v>
      </c>
      <c r="T1150" s="3"/>
      <c r="U1150" s="3"/>
      <c r="V1150" s="4"/>
    </row>
    <row r="1151" spans="1:22" x14ac:dyDescent="0.3">
      <c r="A1151" s="5">
        <f t="shared" si="52"/>
        <v>0</v>
      </c>
      <c r="B1151" s="6">
        <f t="shared" si="53"/>
        <v>0</v>
      </c>
      <c r="K1151" s="18">
        <f t="shared" si="51"/>
        <v>0</v>
      </c>
      <c r="L1151" s="21">
        <f>IF(ISERROR(VLOOKUP($F1151,#REF!,6,0)*G1151/1000),0,VLOOKUP($F1151,#REF!,6,0)*G1151/1000)</f>
        <v>0</v>
      </c>
      <c r="M1151" s="21">
        <f>IF(ISERROR(VLOOKUP($F1151,#REF!,6,0)*H1151/1000),0,VLOOKUP($F1151,#REF!,6,0)*H1151/1000)</f>
        <v>0</v>
      </c>
      <c r="N1151" s="21">
        <f>IF(ISERROR(VLOOKUP($F1151,#REF!,6,0)*I1151/1000),0,VLOOKUP($F1151,#REF!,6,0)*I1151/1000)</f>
        <v>0</v>
      </c>
      <c r="O1151" s="21">
        <f>IF(ISERROR(VLOOKUP($F1151,#REF!,6,0)*J1151/1000),0,VLOOKUP($F1151,#REF!,6,0)*J1151/1000)</f>
        <v>0</v>
      </c>
      <c r="P1151" s="21">
        <f>IF(ISERROR(VLOOKUP(F1151,#REF!,6,0)*K1151/1000),0,VLOOKUP(F1151,#REF!,6,0)*K1151/1000)</f>
        <v>0</v>
      </c>
      <c r="Q1151" s="6">
        <f>IF(ISERROR(VLOOKUP(F1151,#REF!,3,0)),0,VLOOKUP(F1151,#REF!,3,0))</f>
        <v>0</v>
      </c>
      <c r="R1151" s="6">
        <f>IF(ISERROR(VLOOKUP(F1151,#REF!,4,0)),0,VLOOKUP(F1151,#REF!,4,0))</f>
        <v>0</v>
      </c>
      <c r="S1151" s="8">
        <f>IF(ISERROR(VLOOKUP(F1151,#REF!,4,0)),0,VLOOKUP(F1151,#REF!,10,0)/60*K1151)</f>
        <v>0</v>
      </c>
      <c r="T1151" s="3"/>
      <c r="U1151" s="3"/>
      <c r="V1151" s="4"/>
    </row>
    <row r="1152" spans="1:22" x14ac:dyDescent="0.3">
      <c r="A1152" s="5">
        <f t="shared" si="52"/>
        <v>0</v>
      </c>
      <c r="B1152" s="6">
        <f t="shared" si="53"/>
        <v>0</v>
      </c>
      <c r="K1152" s="18">
        <f t="shared" si="51"/>
        <v>0</v>
      </c>
      <c r="L1152" s="21">
        <f>IF(ISERROR(VLOOKUP($F1152,#REF!,6,0)*G1152/1000),0,VLOOKUP($F1152,#REF!,6,0)*G1152/1000)</f>
        <v>0</v>
      </c>
      <c r="M1152" s="21">
        <f>IF(ISERROR(VLOOKUP($F1152,#REF!,6,0)*H1152/1000),0,VLOOKUP($F1152,#REF!,6,0)*H1152/1000)</f>
        <v>0</v>
      </c>
      <c r="N1152" s="21">
        <f>IF(ISERROR(VLOOKUP($F1152,#REF!,6,0)*I1152/1000),0,VLOOKUP($F1152,#REF!,6,0)*I1152/1000)</f>
        <v>0</v>
      </c>
      <c r="O1152" s="21">
        <f>IF(ISERROR(VLOOKUP($F1152,#REF!,6,0)*J1152/1000),0,VLOOKUP($F1152,#REF!,6,0)*J1152/1000)</f>
        <v>0</v>
      </c>
      <c r="P1152" s="21">
        <f>IF(ISERROR(VLOOKUP(F1152,#REF!,6,0)*K1152/1000),0,VLOOKUP(F1152,#REF!,6,0)*K1152/1000)</f>
        <v>0</v>
      </c>
      <c r="Q1152" s="6">
        <f>IF(ISERROR(VLOOKUP(F1152,#REF!,3,0)),0,VLOOKUP(F1152,#REF!,3,0))</f>
        <v>0</v>
      </c>
      <c r="R1152" s="6">
        <f>IF(ISERROR(VLOOKUP(F1152,#REF!,4,0)),0,VLOOKUP(F1152,#REF!,4,0))</f>
        <v>0</v>
      </c>
      <c r="S1152" s="8">
        <f>IF(ISERROR(VLOOKUP(F1152,#REF!,4,0)),0,VLOOKUP(F1152,#REF!,10,0)/60*K1152)</f>
        <v>0</v>
      </c>
      <c r="T1152" s="3"/>
      <c r="U1152" s="3"/>
      <c r="V1152" s="4"/>
    </row>
    <row r="1153" spans="1:22" x14ac:dyDescent="0.3">
      <c r="A1153" s="5">
        <f t="shared" si="52"/>
        <v>0</v>
      </c>
      <c r="B1153" s="6">
        <f t="shared" si="53"/>
        <v>0</v>
      </c>
      <c r="K1153" s="18">
        <f t="shared" si="51"/>
        <v>0</v>
      </c>
      <c r="L1153" s="21">
        <f>IF(ISERROR(VLOOKUP($F1153,#REF!,6,0)*G1153/1000),0,VLOOKUP($F1153,#REF!,6,0)*G1153/1000)</f>
        <v>0</v>
      </c>
      <c r="M1153" s="21">
        <f>IF(ISERROR(VLOOKUP($F1153,#REF!,6,0)*H1153/1000),0,VLOOKUP($F1153,#REF!,6,0)*H1153/1000)</f>
        <v>0</v>
      </c>
      <c r="N1153" s="21">
        <f>IF(ISERROR(VLOOKUP($F1153,#REF!,6,0)*I1153/1000),0,VLOOKUP($F1153,#REF!,6,0)*I1153/1000)</f>
        <v>0</v>
      </c>
      <c r="O1153" s="21">
        <f>IF(ISERROR(VLOOKUP($F1153,#REF!,6,0)*J1153/1000),0,VLOOKUP($F1153,#REF!,6,0)*J1153/1000)</f>
        <v>0</v>
      </c>
      <c r="P1153" s="21">
        <f>IF(ISERROR(VLOOKUP(F1153,#REF!,6,0)*K1153/1000),0,VLOOKUP(F1153,#REF!,6,0)*K1153/1000)</f>
        <v>0</v>
      </c>
      <c r="Q1153" s="6">
        <f>IF(ISERROR(VLOOKUP(F1153,#REF!,3,0)),0,VLOOKUP(F1153,#REF!,3,0))</f>
        <v>0</v>
      </c>
      <c r="R1153" s="6">
        <f>IF(ISERROR(VLOOKUP(F1153,#REF!,4,0)),0,VLOOKUP(F1153,#REF!,4,0))</f>
        <v>0</v>
      </c>
      <c r="S1153" s="8">
        <f>IF(ISERROR(VLOOKUP(F1153,#REF!,4,0)),0,VLOOKUP(F1153,#REF!,10,0)/60*K1153)</f>
        <v>0</v>
      </c>
      <c r="T1153" s="3"/>
      <c r="U1153" s="3"/>
      <c r="V1153" s="4"/>
    </row>
    <row r="1154" spans="1:22" x14ac:dyDescent="0.3">
      <c r="A1154" s="5">
        <f t="shared" si="52"/>
        <v>0</v>
      </c>
      <c r="B1154" s="6">
        <f t="shared" si="53"/>
        <v>0</v>
      </c>
      <c r="K1154" s="18">
        <f t="shared" si="51"/>
        <v>0</v>
      </c>
      <c r="L1154" s="21">
        <f>IF(ISERROR(VLOOKUP($F1154,#REF!,6,0)*G1154/1000),0,VLOOKUP($F1154,#REF!,6,0)*G1154/1000)</f>
        <v>0</v>
      </c>
      <c r="M1154" s="21">
        <f>IF(ISERROR(VLOOKUP($F1154,#REF!,6,0)*H1154/1000),0,VLOOKUP($F1154,#REF!,6,0)*H1154/1000)</f>
        <v>0</v>
      </c>
      <c r="N1154" s="21">
        <f>IF(ISERROR(VLOOKUP($F1154,#REF!,6,0)*I1154/1000),0,VLOOKUP($F1154,#REF!,6,0)*I1154/1000)</f>
        <v>0</v>
      </c>
      <c r="O1154" s="21">
        <f>IF(ISERROR(VLOOKUP($F1154,#REF!,6,0)*J1154/1000),0,VLOOKUP($F1154,#REF!,6,0)*J1154/1000)</f>
        <v>0</v>
      </c>
      <c r="P1154" s="21">
        <f>IF(ISERROR(VLOOKUP(F1154,#REF!,6,0)*K1154/1000),0,VLOOKUP(F1154,#REF!,6,0)*K1154/1000)</f>
        <v>0</v>
      </c>
      <c r="Q1154" s="6">
        <f>IF(ISERROR(VLOOKUP(F1154,#REF!,3,0)),0,VLOOKUP(F1154,#REF!,3,0))</f>
        <v>0</v>
      </c>
      <c r="R1154" s="6">
        <f>IF(ISERROR(VLOOKUP(F1154,#REF!,4,0)),0,VLOOKUP(F1154,#REF!,4,0))</f>
        <v>0</v>
      </c>
      <c r="S1154" s="8">
        <f>IF(ISERROR(VLOOKUP(F1154,#REF!,4,0)),0,VLOOKUP(F1154,#REF!,10,0)/60*K1154)</f>
        <v>0</v>
      </c>
      <c r="T1154" s="3"/>
      <c r="U1154" s="3"/>
      <c r="V1154" s="4"/>
    </row>
    <row r="1155" spans="1:22" x14ac:dyDescent="0.3">
      <c r="A1155" s="5">
        <f t="shared" si="52"/>
        <v>0</v>
      </c>
      <c r="B1155" s="6">
        <f t="shared" si="53"/>
        <v>0</v>
      </c>
      <c r="K1155" s="18">
        <f t="shared" si="51"/>
        <v>0</v>
      </c>
      <c r="L1155" s="21">
        <f>IF(ISERROR(VLOOKUP($F1155,#REF!,6,0)*G1155/1000),0,VLOOKUP($F1155,#REF!,6,0)*G1155/1000)</f>
        <v>0</v>
      </c>
      <c r="M1155" s="21">
        <f>IF(ISERROR(VLOOKUP($F1155,#REF!,6,0)*H1155/1000),0,VLOOKUP($F1155,#REF!,6,0)*H1155/1000)</f>
        <v>0</v>
      </c>
      <c r="N1155" s="21">
        <f>IF(ISERROR(VLOOKUP($F1155,#REF!,6,0)*I1155/1000),0,VLOOKUP($F1155,#REF!,6,0)*I1155/1000)</f>
        <v>0</v>
      </c>
      <c r="O1155" s="21">
        <f>IF(ISERROR(VLOOKUP($F1155,#REF!,6,0)*J1155/1000),0,VLOOKUP($F1155,#REF!,6,0)*J1155/1000)</f>
        <v>0</v>
      </c>
      <c r="P1155" s="21">
        <f>IF(ISERROR(VLOOKUP(F1155,#REF!,6,0)*K1155/1000),0,VLOOKUP(F1155,#REF!,6,0)*K1155/1000)</f>
        <v>0</v>
      </c>
      <c r="Q1155" s="6">
        <f>IF(ISERROR(VLOOKUP(F1155,#REF!,3,0)),0,VLOOKUP(F1155,#REF!,3,0))</f>
        <v>0</v>
      </c>
      <c r="R1155" s="6">
        <f>IF(ISERROR(VLOOKUP(F1155,#REF!,4,0)),0,VLOOKUP(F1155,#REF!,4,0))</f>
        <v>0</v>
      </c>
      <c r="S1155" s="8">
        <f>IF(ISERROR(VLOOKUP(F1155,#REF!,4,0)),0,VLOOKUP(F1155,#REF!,10,0)/60*K1155)</f>
        <v>0</v>
      </c>
      <c r="T1155" s="3"/>
      <c r="U1155" s="3"/>
      <c r="V1155" s="4"/>
    </row>
    <row r="1156" spans="1:22" x14ac:dyDescent="0.3">
      <c r="A1156" s="5">
        <f t="shared" si="52"/>
        <v>0</v>
      </c>
      <c r="B1156" s="6">
        <f t="shared" si="53"/>
        <v>0</v>
      </c>
      <c r="K1156" s="18">
        <f t="shared" ref="K1156:K1219" si="54">SUM(G1156:J1156)</f>
        <v>0</v>
      </c>
      <c r="L1156" s="21">
        <f>IF(ISERROR(VLOOKUP($F1156,#REF!,6,0)*G1156/1000),0,VLOOKUP($F1156,#REF!,6,0)*G1156/1000)</f>
        <v>0</v>
      </c>
      <c r="M1156" s="21">
        <f>IF(ISERROR(VLOOKUP($F1156,#REF!,6,0)*H1156/1000),0,VLOOKUP($F1156,#REF!,6,0)*H1156/1000)</f>
        <v>0</v>
      </c>
      <c r="N1156" s="21">
        <f>IF(ISERROR(VLOOKUP($F1156,#REF!,6,0)*I1156/1000),0,VLOOKUP($F1156,#REF!,6,0)*I1156/1000)</f>
        <v>0</v>
      </c>
      <c r="O1156" s="21">
        <f>IF(ISERROR(VLOOKUP($F1156,#REF!,6,0)*J1156/1000),0,VLOOKUP($F1156,#REF!,6,0)*J1156/1000)</f>
        <v>0</v>
      </c>
      <c r="P1156" s="21">
        <f>IF(ISERROR(VLOOKUP(F1156,#REF!,6,0)*K1156/1000),0,VLOOKUP(F1156,#REF!,6,0)*K1156/1000)</f>
        <v>0</v>
      </c>
      <c r="Q1156" s="6">
        <f>IF(ISERROR(VLOOKUP(F1156,#REF!,3,0)),0,VLOOKUP(F1156,#REF!,3,0))</f>
        <v>0</v>
      </c>
      <c r="R1156" s="6">
        <f>IF(ISERROR(VLOOKUP(F1156,#REF!,4,0)),0,VLOOKUP(F1156,#REF!,4,0))</f>
        <v>0</v>
      </c>
      <c r="S1156" s="8">
        <f>IF(ISERROR(VLOOKUP(F1156,#REF!,4,0)),0,VLOOKUP(F1156,#REF!,10,0)/60*K1156)</f>
        <v>0</v>
      </c>
      <c r="T1156" s="3"/>
      <c r="U1156" s="3"/>
      <c r="V1156" s="4"/>
    </row>
    <row r="1157" spans="1:22" x14ac:dyDescent="0.3">
      <c r="A1157" s="5">
        <f t="shared" ref="A1157:A1220" si="55">IF(C1157=0,0,YEAR(C1157))</f>
        <v>0</v>
      </c>
      <c r="B1157" s="6">
        <f t="shared" ref="B1157:B1220" si="56">IF(C1157&gt;0,VLOOKUP(MONTH($C1157),$AJ$3:$AK$14,2,0),0)</f>
        <v>0</v>
      </c>
      <c r="K1157" s="18">
        <f t="shared" si="54"/>
        <v>0</v>
      </c>
      <c r="L1157" s="21">
        <f>IF(ISERROR(VLOOKUP($F1157,#REF!,6,0)*G1157/1000),0,VLOOKUP($F1157,#REF!,6,0)*G1157/1000)</f>
        <v>0</v>
      </c>
      <c r="M1157" s="21">
        <f>IF(ISERROR(VLOOKUP($F1157,#REF!,6,0)*H1157/1000),0,VLOOKUP($F1157,#REF!,6,0)*H1157/1000)</f>
        <v>0</v>
      </c>
      <c r="N1157" s="21">
        <f>IF(ISERROR(VLOOKUP($F1157,#REF!,6,0)*I1157/1000),0,VLOOKUP($F1157,#REF!,6,0)*I1157/1000)</f>
        <v>0</v>
      </c>
      <c r="O1157" s="21">
        <f>IF(ISERROR(VLOOKUP($F1157,#REF!,6,0)*J1157/1000),0,VLOOKUP($F1157,#REF!,6,0)*J1157/1000)</f>
        <v>0</v>
      </c>
      <c r="P1157" s="21">
        <f>IF(ISERROR(VLOOKUP(F1157,#REF!,6,0)*K1157/1000),0,VLOOKUP(F1157,#REF!,6,0)*K1157/1000)</f>
        <v>0</v>
      </c>
      <c r="Q1157" s="6">
        <f>IF(ISERROR(VLOOKUP(F1157,#REF!,3,0)),0,VLOOKUP(F1157,#REF!,3,0))</f>
        <v>0</v>
      </c>
      <c r="R1157" s="6">
        <f>IF(ISERROR(VLOOKUP(F1157,#REF!,4,0)),0,VLOOKUP(F1157,#REF!,4,0))</f>
        <v>0</v>
      </c>
      <c r="S1157" s="8">
        <f>IF(ISERROR(VLOOKUP(F1157,#REF!,4,0)),0,VLOOKUP(F1157,#REF!,10,0)/60*K1157)</f>
        <v>0</v>
      </c>
      <c r="T1157" s="3"/>
      <c r="U1157" s="3"/>
      <c r="V1157" s="4"/>
    </row>
    <row r="1158" spans="1:22" x14ac:dyDescent="0.3">
      <c r="A1158" s="5">
        <f t="shared" si="55"/>
        <v>0</v>
      </c>
      <c r="B1158" s="6">
        <f t="shared" si="56"/>
        <v>0</v>
      </c>
      <c r="K1158" s="18">
        <f t="shared" si="54"/>
        <v>0</v>
      </c>
      <c r="L1158" s="21">
        <f>IF(ISERROR(VLOOKUP($F1158,#REF!,6,0)*G1158/1000),0,VLOOKUP($F1158,#REF!,6,0)*G1158/1000)</f>
        <v>0</v>
      </c>
      <c r="M1158" s="21">
        <f>IF(ISERROR(VLOOKUP($F1158,#REF!,6,0)*H1158/1000),0,VLOOKUP($F1158,#REF!,6,0)*H1158/1000)</f>
        <v>0</v>
      </c>
      <c r="N1158" s="21">
        <f>IF(ISERROR(VLOOKUP($F1158,#REF!,6,0)*I1158/1000),0,VLOOKUP($F1158,#REF!,6,0)*I1158/1000)</f>
        <v>0</v>
      </c>
      <c r="O1158" s="21">
        <f>IF(ISERROR(VLOOKUP($F1158,#REF!,6,0)*J1158/1000),0,VLOOKUP($F1158,#REF!,6,0)*J1158/1000)</f>
        <v>0</v>
      </c>
      <c r="P1158" s="21">
        <f>IF(ISERROR(VLOOKUP(F1158,#REF!,6,0)*K1158/1000),0,VLOOKUP(F1158,#REF!,6,0)*K1158/1000)</f>
        <v>0</v>
      </c>
      <c r="Q1158" s="6">
        <f>IF(ISERROR(VLOOKUP(F1158,#REF!,3,0)),0,VLOOKUP(F1158,#REF!,3,0))</f>
        <v>0</v>
      </c>
      <c r="R1158" s="6">
        <f>IF(ISERROR(VLOOKUP(F1158,#REF!,4,0)),0,VLOOKUP(F1158,#REF!,4,0))</f>
        <v>0</v>
      </c>
      <c r="S1158" s="8">
        <f>IF(ISERROR(VLOOKUP(F1158,#REF!,4,0)),0,VLOOKUP(F1158,#REF!,10,0)/60*K1158)</f>
        <v>0</v>
      </c>
      <c r="T1158" s="3"/>
      <c r="U1158" s="3"/>
      <c r="V1158" s="4"/>
    </row>
    <row r="1159" spans="1:22" x14ac:dyDescent="0.3">
      <c r="A1159" s="5">
        <f t="shared" si="55"/>
        <v>0</v>
      </c>
      <c r="B1159" s="6">
        <f t="shared" si="56"/>
        <v>0</v>
      </c>
      <c r="K1159" s="18">
        <f t="shared" si="54"/>
        <v>0</v>
      </c>
      <c r="L1159" s="21">
        <f>IF(ISERROR(VLOOKUP($F1159,#REF!,6,0)*G1159/1000),0,VLOOKUP($F1159,#REF!,6,0)*G1159/1000)</f>
        <v>0</v>
      </c>
      <c r="M1159" s="21">
        <f>IF(ISERROR(VLOOKUP($F1159,#REF!,6,0)*H1159/1000),0,VLOOKUP($F1159,#REF!,6,0)*H1159/1000)</f>
        <v>0</v>
      </c>
      <c r="N1159" s="21">
        <f>IF(ISERROR(VLOOKUP($F1159,#REF!,6,0)*I1159/1000),0,VLOOKUP($F1159,#REF!,6,0)*I1159/1000)</f>
        <v>0</v>
      </c>
      <c r="O1159" s="21">
        <f>IF(ISERROR(VLOOKUP($F1159,#REF!,6,0)*J1159/1000),0,VLOOKUP($F1159,#REF!,6,0)*J1159/1000)</f>
        <v>0</v>
      </c>
      <c r="P1159" s="21">
        <f>IF(ISERROR(VLOOKUP(F1159,#REF!,6,0)*K1159/1000),0,VLOOKUP(F1159,#REF!,6,0)*K1159/1000)</f>
        <v>0</v>
      </c>
      <c r="Q1159" s="6">
        <f>IF(ISERROR(VLOOKUP(F1159,#REF!,3,0)),0,VLOOKUP(F1159,#REF!,3,0))</f>
        <v>0</v>
      </c>
      <c r="R1159" s="6">
        <f>IF(ISERROR(VLOOKUP(F1159,#REF!,4,0)),0,VLOOKUP(F1159,#REF!,4,0))</f>
        <v>0</v>
      </c>
      <c r="S1159" s="8">
        <f>IF(ISERROR(VLOOKUP(F1159,#REF!,4,0)),0,VLOOKUP(F1159,#REF!,10,0)/60*K1159)</f>
        <v>0</v>
      </c>
      <c r="T1159" s="3"/>
      <c r="U1159" s="3"/>
      <c r="V1159" s="4"/>
    </row>
    <row r="1160" spans="1:22" x14ac:dyDescent="0.3">
      <c r="A1160" s="5">
        <f t="shared" si="55"/>
        <v>0</v>
      </c>
      <c r="B1160" s="6">
        <f t="shared" si="56"/>
        <v>0</v>
      </c>
      <c r="K1160" s="18">
        <f t="shared" si="54"/>
        <v>0</v>
      </c>
      <c r="L1160" s="21">
        <f>IF(ISERROR(VLOOKUP($F1160,#REF!,6,0)*G1160/1000),0,VLOOKUP($F1160,#REF!,6,0)*G1160/1000)</f>
        <v>0</v>
      </c>
      <c r="M1160" s="21">
        <f>IF(ISERROR(VLOOKUP($F1160,#REF!,6,0)*H1160/1000),0,VLOOKUP($F1160,#REF!,6,0)*H1160/1000)</f>
        <v>0</v>
      </c>
      <c r="N1160" s="21">
        <f>IF(ISERROR(VLOOKUP($F1160,#REF!,6,0)*I1160/1000),0,VLOOKUP($F1160,#REF!,6,0)*I1160/1000)</f>
        <v>0</v>
      </c>
      <c r="O1160" s="21">
        <f>IF(ISERROR(VLOOKUP($F1160,#REF!,6,0)*J1160/1000),0,VLOOKUP($F1160,#REF!,6,0)*J1160/1000)</f>
        <v>0</v>
      </c>
      <c r="P1160" s="21">
        <f>IF(ISERROR(VLOOKUP(F1160,#REF!,6,0)*K1160/1000),0,VLOOKUP(F1160,#REF!,6,0)*K1160/1000)</f>
        <v>0</v>
      </c>
      <c r="Q1160" s="6">
        <f>IF(ISERROR(VLOOKUP(F1160,#REF!,3,0)),0,VLOOKUP(F1160,#REF!,3,0))</f>
        <v>0</v>
      </c>
      <c r="R1160" s="6">
        <f>IF(ISERROR(VLOOKUP(F1160,#REF!,4,0)),0,VLOOKUP(F1160,#REF!,4,0))</f>
        <v>0</v>
      </c>
      <c r="S1160" s="8">
        <f>IF(ISERROR(VLOOKUP(F1160,#REF!,4,0)),0,VLOOKUP(F1160,#REF!,10,0)/60*K1160)</f>
        <v>0</v>
      </c>
      <c r="T1160" s="3"/>
      <c r="U1160" s="3"/>
      <c r="V1160" s="4"/>
    </row>
    <row r="1161" spans="1:22" x14ac:dyDescent="0.3">
      <c r="A1161" s="5">
        <f t="shared" si="55"/>
        <v>0</v>
      </c>
      <c r="B1161" s="6">
        <f t="shared" si="56"/>
        <v>0</v>
      </c>
      <c r="K1161" s="18">
        <f t="shared" si="54"/>
        <v>0</v>
      </c>
      <c r="L1161" s="21">
        <f>IF(ISERROR(VLOOKUP($F1161,#REF!,6,0)*G1161/1000),0,VLOOKUP($F1161,#REF!,6,0)*G1161/1000)</f>
        <v>0</v>
      </c>
      <c r="M1161" s="21">
        <f>IF(ISERROR(VLOOKUP($F1161,#REF!,6,0)*H1161/1000),0,VLOOKUP($F1161,#REF!,6,0)*H1161/1000)</f>
        <v>0</v>
      </c>
      <c r="N1161" s="21">
        <f>IF(ISERROR(VLOOKUP($F1161,#REF!,6,0)*I1161/1000),0,VLOOKUP($F1161,#REF!,6,0)*I1161/1000)</f>
        <v>0</v>
      </c>
      <c r="O1161" s="21">
        <f>IF(ISERROR(VLOOKUP($F1161,#REF!,6,0)*J1161/1000),0,VLOOKUP($F1161,#REF!,6,0)*J1161/1000)</f>
        <v>0</v>
      </c>
      <c r="P1161" s="21">
        <f>IF(ISERROR(VLOOKUP(F1161,#REF!,6,0)*K1161/1000),0,VLOOKUP(F1161,#REF!,6,0)*K1161/1000)</f>
        <v>0</v>
      </c>
      <c r="Q1161" s="6">
        <f>IF(ISERROR(VLOOKUP(F1161,#REF!,3,0)),0,VLOOKUP(F1161,#REF!,3,0))</f>
        <v>0</v>
      </c>
      <c r="R1161" s="6">
        <f>IF(ISERROR(VLOOKUP(F1161,#REF!,4,0)),0,VLOOKUP(F1161,#REF!,4,0))</f>
        <v>0</v>
      </c>
      <c r="S1161" s="8">
        <f>IF(ISERROR(VLOOKUP(F1161,#REF!,4,0)),0,VLOOKUP(F1161,#REF!,10,0)/60*K1161)</f>
        <v>0</v>
      </c>
      <c r="T1161" s="3"/>
      <c r="U1161" s="3"/>
      <c r="V1161" s="4"/>
    </row>
    <row r="1162" spans="1:22" x14ac:dyDescent="0.3">
      <c r="A1162" s="5">
        <f t="shared" si="55"/>
        <v>0</v>
      </c>
      <c r="B1162" s="6">
        <f t="shared" si="56"/>
        <v>0</v>
      </c>
      <c r="K1162" s="18">
        <f t="shared" si="54"/>
        <v>0</v>
      </c>
      <c r="L1162" s="21">
        <f>IF(ISERROR(VLOOKUP($F1162,#REF!,6,0)*G1162/1000),0,VLOOKUP($F1162,#REF!,6,0)*G1162/1000)</f>
        <v>0</v>
      </c>
      <c r="M1162" s="21">
        <f>IF(ISERROR(VLOOKUP($F1162,#REF!,6,0)*H1162/1000),0,VLOOKUP($F1162,#REF!,6,0)*H1162/1000)</f>
        <v>0</v>
      </c>
      <c r="N1162" s="21">
        <f>IF(ISERROR(VLOOKUP($F1162,#REF!,6,0)*I1162/1000),0,VLOOKUP($F1162,#REF!,6,0)*I1162/1000)</f>
        <v>0</v>
      </c>
      <c r="O1162" s="21">
        <f>IF(ISERROR(VLOOKUP($F1162,#REF!,6,0)*J1162/1000),0,VLOOKUP($F1162,#REF!,6,0)*J1162/1000)</f>
        <v>0</v>
      </c>
      <c r="P1162" s="21">
        <f>IF(ISERROR(VLOOKUP(F1162,#REF!,6,0)*K1162/1000),0,VLOOKUP(F1162,#REF!,6,0)*K1162/1000)</f>
        <v>0</v>
      </c>
      <c r="Q1162" s="6">
        <f>IF(ISERROR(VLOOKUP(F1162,#REF!,3,0)),0,VLOOKUP(F1162,#REF!,3,0))</f>
        <v>0</v>
      </c>
      <c r="R1162" s="6">
        <f>IF(ISERROR(VLOOKUP(F1162,#REF!,4,0)),0,VLOOKUP(F1162,#REF!,4,0))</f>
        <v>0</v>
      </c>
      <c r="S1162" s="8">
        <f>IF(ISERROR(VLOOKUP(F1162,#REF!,4,0)),0,VLOOKUP(F1162,#REF!,10,0)/60*K1162)</f>
        <v>0</v>
      </c>
      <c r="T1162" s="3"/>
      <c r="U1162" s="3"/>
      <c r="V1162" s="4"/>
    </row>
    <row r="1163" spans="1:22" x14ac:dyDescent="0.3">
      <c r="A1163" s="5">
        <f t="shared" si="55"/>
        <v>0</v>
      </c>
      <c r="B1163" s="6">
        <f t="shared" si="56"/>
        <v>0</v>
      </c>
      <c r="K1163" s="18">
        <f t="shared" si="54"/>
        <v>0</v>
      </c>
      <c r="L1163" s="21">
        <f>IF(ISERROR(VLOOKUP($F1163,#REF!,6,0)*G1163/1000),0,VLOOKUP($F1163,#REF!,6,0)*G1163/1000)</f>
        <v>0</v>
      </c>
      <c r="M1163" s="21">
        <f>IF(ISERROR(VLOOKUP($F1163,#REF!,6,0)*H1163/1000),0,VLOOKUP($F1163,#REF!,6,0)*H1163/1000)</f>
        <v>0</v>
      </c>
      <c r="N1163" s="21">
        <f>IF(ISERROR(VLOOKUP($F1163,#REF!,6,0)*I1163/1000),0,VLOOKUP($F1163,#REF!,6,0)*I1163/1000)</f>
        <v>0</v>
      </c>
      <c r="O1163" s="21">
        <f>IF(ISERROR(VLOOKUP($F1163,#REF!,6,0)*J1163/1000),0,VLOOKUP($F1163,#REF!,6,0)*J1163/1000)</f>
        <v>0</v>
      </c>
      <c r="P1163" s="21">
        <f>IF(ISERROR(VLOOKUP(F1163,#REF!,6,0)*K1163/1000),0,VLOOKUP(F1163,#REF!,6,0)*K1163/1000)</f>
        <v>0</v>
      </c>
      <c r="Q1163" s="6">
        <f>IF(ISERROR(VLOOKUP(F1163,#REF!,3,0)),0,VLOOKUP(F1163,#REF!,3,0))</f>
        <v>0</v>
      </c>
      <c r="R1163" s="6">
        <f>IF(ISERROR(VLOOKUP(F1163,#REF!,4,0)),0,VLOOKUP(F1163,#REF!,4,0))</f>
        <v>0</v>
      </c>
      <c r="S1163" s="8">
        <f>IF(ISERROR(VLOOKUP(F1163,#REF!,4,0)),0,VLOOKUP(F1163,#REF!,10,0)/60*K1163)</f>
        <v>0</v>
      </c>
      <c r="T1163" s="3"/>
      <c r="U1163" s="3"/>
      <c r="V1163" s="4"/>
    </row>
    <row r="1164" spans="1:22" x14ac:dyDescent="0.3">
      <c r="A1164" s="5">
        <f t="shared" si="55"/>
        <v>0</v>
      </c>
      <c r="B1164" s="6">
        <f t="shared" si="56"/>
        <v>0</v>
      </c>
      <c r="K1164" s="18">
        <f t="shared" si="54"/>
        <v>0</v>
      </c>
      <c r="L1164" s="21">
        <f>IF(ISERROR(VLOOKUP($F1164,#REF!,6,0)*G1164/1000),0,VLOOKUP($F1164,#REF!,6,0)*G1164/1000)</f>
        <v>0</v>
      </c>
      <c r="M1164" s="21">
        <f>IF(ISERROR(VLOOKUP($F1164,#REF!,6,0)*H1164/1000),0,VLOOKUP($F1164,#REF!,6,0)*H1164/1000)</f>
        <v>0</v>
      </c>
      <c r="N1164" s="21">
        <f>IF(ISERROR(VLOOKUP($F1164,#REF!,6,0)*I1164/1000),0,VLOOKUP($F1164,#REF!,6,0)*I1164/1000)</f>
        <v>0</v>
      </c>
      <c r="O1164" s="21">
        <f>IF(ISERROR(VLOOKUP($F1164,#REF!,6,0)*J1164/1000),0,VLOOKUP($F1164,#REF!,6,0)*J1164/1000)</f>
        <v>0</v>
      </c>
      <c r="P1164" s="21">
        <f>IF(ISERROR(VLOOKUP(F1164,#REF!,6,0)*K1164/1000),0,VLOOKUP(F1164,#REF!,6,0)*K1164/1000)</f>
        <v>0</v>
      </c>
      <c r="Q1164" s="6">
        <f>IF(ISERROR(VLOOKUP(F1164,#REF!,3,0)),0,VLOOKUP(F1164,#REF!,3,0))</f>
        <v>0</v>
      </c>
      <c r="R1164" s="6">
        <f>IF(ISERROR(VLOOKUP(F1164,#REF!,4,0)),0,VLOOKUP(F1164,#REF!,4,0))</f>
        <v>0</v>
      </c>
      <c r="S1164" s="8">
        <f>IF(ISERROR(VLOOKUP(F1164,#REF!,4,0)),0,VLOOKUP(F1164,#REF!,10,0)/60*K1164)</f>
        <v>0</v>
      </c>
      <c r="T1164" s="3"/>
      <c r="U1164" s="3"/>
      <c r="V1164" s="4"/>
    </row>
    <row r="1165" spans="1:22" x14ac:dyDescent="0.3">
      <c r="A1165" s="5">
        <f t="shared" si="55"/>
        <v>0</v>
      </c>
      <c r="B1165" s="6">
        <f t="shared" si="56"/>
        <v>0</v>
      </c>
      <c r="K1165" s="18">
        <f t="shared" si="54"/>
        <v>0</v>
      </c>
      <c r="L1165" s="21">
        <f>IF(ISERROR(VLOOKUP($F1165,#REF!,6,0)*G1165/1000),0,VLOOKUP($F1165,#REF!,6,0)*G1165/1000)</f>
        <v>0</v>
      </c>
      <c r="M1165" s="21">
        <f>IF(ISERROR(VLOOKUP($F1165,#REF!,6,0)*H1165/1000),0,VLOOKUP($F1165,#REF!,6,0)*H1165/1000)</f>
        <v>0</v>
      </c>
      <c r="N1165" s="21">
        <f>IF(ISERROR(VLOOKUP($F1165,#REF!,6,0)*I1165/1000),0,VLOOKUP($F1165,#REF!,6,0)*I1165/1000)</f>
        <v>0</v>
      </c>
      <c r="O1165" s="21">
        <f>IF(ISERROR(VLOOKUP($F1165,#REF!,6,0)*J1165/1000),0,VLOOKUP($F1165,#REF!,6,0)*J1165/1000)</f>
        <v>0</v>
      </c>
      <c r="P1165" s="21">
        <f>IF(ISERROR(VLOOKUP(F1165,#REF!,6,0)*K1165/1000),0,VLOOKUP(F1165,#REF!,6,0)*K1165/1000)</f>
        <v>0</v>
      </c>
      <c r="Q1165" s="6">
        <f>IF(ISERROR(VLOOKUP(F1165,#REF!,3,0)),0,VLOOKUP(F1165,#REF!,3,0))</f>
        <v>0</v>
      </c>
      <c r="R1165" s="6">
        <f>IF(ISERROR(VLOOKUP(F1165,#REF!,4,0)),0,VLOOKUP(F1165,#REF!,4,0))</f>
        <v>0</v>
      </c>
      <c r="S1165" s="8">
        <f>IF(ISERROR(VLOOKUP(F1165,#REF!,4,0)),0,VLOOKUP(F1165,#REF!,10,0)/60*K1165)</f>
        <v>0</v>
      </c>
      <c r="T1165" s="3"/>
      <c r="U1165" s="3"/>
      <c r="V1165" s="4"/>
    </row>
    <row r="1166" spans="1:22" x14ac:dyDescent="0.3">
      <c r="A1166" s="5">
        <f t="shared" si="55"/>
        <v>0</v>
      </c>
      <c r="B1166" s="6">
        <f t="shared" si="56"/>
        <v>0</v>
      </c>
      <c r="K1166" s="18">
        <f t="shared" si="54"/>
        <v>0</v>
      </c>
      <c r="L1166" s="21">
        <f>IF(ISERROR(VLOOKUP($F1166,#REF!,6,0)*G1166/1000),0,VLOOKUP($F1166,#REF!,6,0)*G1166/1000)</f>
        <v>0</v>
      </c>
      <c r="M1166" s="21">
        <f>IF(ISERROR(VLOOKUP($F1166,#REF!,6,0)*H1166/1000),0,VLOOKUP($F1166,#REF!,6,0)*H1166/1000)</f>
        <v>0</v>
      </c>
      <c r="N1166" s="21">
        <f>IF(ISERROR(VLOOKUP($F1166,#REF!,6,0)*I1166/1000),0,VLOOKUP($F1166,#REF!,6,0)*I1166/1000)</f>
        <v>0</v>
      </c>
      <c r="O1166" s="21">
        <f>IF(ISERROR(VLOOKUP($F1166,#REF!,6,0)*J1166/1000),0,VLOOKUP($F1166,#REF!,6,0)*J1166/1000)</f>
        <v>0</v>
      </c>
      <c r="P1166" s="21">
        <f>IF(ISERROR(VLOOKUP(F1166,#REF!,6,0)*K1166/1000),0,VLOOKUP(F1166,#REF!,6,0)*K1166/1000)</f>
        <v>0</v>
      </c>
      <c r="Q1166" s="6">
        <f>IF(ISERROR(VLOOKUP(F1166,#REF!,3,0)),0,VLOOKUP(F1166,#REF!,3,0))</f>
        <v>0</v>
      </c>
      <c r="R1166" s="6">
        <f>IF(ISERROR(VLOOKUP(F1166,#REF!,4,0)),0,VLOOKUP(F1166,#REF!,4,0))</f>
        <v>0</v>
      </c>
      <c r="S1166" s="8">
        <f>IF(ISERROR(VLOOKUP(F1166,#REF!,4,0)),0,VLOOKUP(F1166,#REF!,10,0)/60*K1166)</f>
        <v>0</v>
      </c>
      <c r="T1166" s="3"/>
      <c r="U1166" s="3"/>
      <c r="V1166" s="4"/>
    </row>
    <row r="1167" spans="1:22" x14ac:dyDescent="0.3">
      <c r="A1167" s="5">
        <f t="shared" si="55"/>
        <v>0</v>
      </c>
      <c r="B1167" s="6">
        <f t="shared" si="56"/>
        <v>0</v>
      </c>
      <c r="K1167" s="18">
        <f t="shared" si="54"/>
        <v>0</v>
      </c>
      <c r="L1167" s="21">
        <f>IF(ISERROR(VLOOKUP($F1167,#REF!,6,0)*G1167/1000),0,VLOOKUP($F1167,#REF!,6,0)*G1167/1000)</f>
        <v>0</v>
      </c>
      <c r="M1167" s="21">
        <f>IF(ISERROR(VLOOKUP($F1167,#REF!,6,0)*H1167/1000),0,VLOOKUP($F1167,#REF!,6,0)*H1167/1000)</f>
        <v>0</v>
      </c>
      <c r="N1167" s="21">
        <f>IF(ISERROR(VLOOKUP($F1167,#REF!,6,0)*I1167/1000),0,VLOOKUP($F1167,#REF!,6,0)*I1167/1000)</f>
        <v>0</v>
      </c>
      <c r="O1167" s="21">
        <f>IF(ISERROR(VLOOKUP($F1167,#REF!,6,0)*J1167/1000),0,VLOOKUP($F1167,#REF!,6,0)*J1167/1000)</f>
        <v>0</v>
      </c>
      <c r="P1167" s="21">
        <f>IF(ISERROR(VLOOKUP(F1167,#REF!,6,0)*K1167/1000),0,VLOOKUP(F1167,#REF!,6,0)*K1167/1000)</f>
        <v>0</v>
      </c>
      <c r="Q1167" s="6">
        <f>IF(ISERROR(VLOOKUP(F1167,#REF!,3,0)),0,VLOOKUP(F1167,#REF!,3,0))</f>
        <v>0</v>
      </c>
      <c r="R1167" s="6">
        <f>IF(ISERROR(VLOOKUP(F1167,#REF!,4,0)),0,VLOOKUP(F1167,#REF!,4,0))</f>
        <v>0</v>
      </c>
      <c r="S1167" s="8">
        <f>IF(ISERROR(VLOOKUP(F1167,#REF!,4,0)),0,VLOOKUP(F1167,#REF!,10,0)/60*K1167)</f>
        <v>0</v>
      </c>
      <c r="T1167" s="3"/>
      <c r="U1167" s="3"/>
      <c r="V1167" s="4"/>
    </row>
    <row r="1168" spans="1:22" x14ac:dyDescent="0.3">
      <c r="A1168" s="5">
        <f t="shared" si="55"/>
        <v>0</v>
      </c>
      <c r="B1168" s="6">
        <f t="shared" si="56"/>
        <v>0</v>
      </c>
      <c r="K1168" s="18">
        <f t="shared" si="54"/>
        <v>0</v>
      </c>
      <c r="L1168" s="21">
        <f>IF(ISERROR(VLOOKUP($F1168,#REF!,6,0)*G1168/1000),0,VLOOKUP($F1168,#REF!,6,0)*G1168/1000)</f>
        <v>0</v>
      </c>
      <c r="M1168" s="21">
        <f>IF(ISERROR(VLOOKUP($F1168,#REF!,6,0)*H1168/1000),0,VLOOKUP($F1168,#REF!,6,0)*H1168/1000)</f>
        <v>0</v>
      </c>
      <c r="N1168" s="21">
        <f>IF(ISERROR(VLOOKUP($F1168,#REF!,6,0)*I1168/1000),0,VLOOKUP($F1168,#REF!,6,0)*I1168/1000)</f>
        <v>0</v>
      </c>
      <c r="O1168" s="21">
        <f>IF(ISERROR(VLOOKUP($F1168,#REF!,6,0)*J1168/1000),0,VLOOKUP($F1168,#REF!,6,0)*J1168/1000)</f>
        <v>0</v>
      </c>
      <c r="P1168" s="21">
        <f>IF(ISERROR(VLOOKUP(F1168,#REF!,6,0)*K1168/1000),0,VLOOKUP(F1168,#REF!,6,0)*K1168/1000)</f>
        <v>0</v>
      </c>
      <c r="Q1168" s="6">
        <f>IF(ISERROR(VLOOKUP(F1168,#REF!,3,0)),0,VLOOKUP(F1168,#REF!,3,0))</f>
        <v>0</v>
      </c>
      <c r="R1168" s="6">
        <f>IF(ISERROR(VLOOKUP(F1168,#REF!,4,0)),0,VLOOKUP(F1168,#REF!,4,0))</f>
        <v>0</v>
      </c>
      <c r="S1168" s="8">
        <f>IF(ISERROR(VLOOKUP(F1168,#REF!,4,0)),0,VLOOKUP(F1168,#REF!,10,0)/60*K1168)</f>
        <v>0</v>
      </c>
      <c r="T1168" s="3"/>
      <c r="U1168" s="3"/>
      <c r="V1168" s="4"/>
    </row>
    <row r="1169" spans="1:22" x14ac:dyDescent="0.3">
      <c r="A1169" s="5">
        <f t="shared" si="55"/>
        <v>0</v>
      </c>
      <c r="B1169" s="6">
        <f t="shared" si="56"/>
        <v>0</v>
      </c>
      <c r="K1169" s="18">
        <f t="shared" si="54"/>
        <v>0</v>
      </c>
      <c r="L1169" s="21">
        <f>IF(ISERROR(VLOOKUP($F1169,#REF!,6,0)*G1169/1000),0,VLOOKUP($F1169,#REF!,6,0)*G1169/1000)</f>
        <v>0</v>
      </c>
      <c r="M1169" s="21">
        <f>IF(ISERROR(VLOOKUP($F1169,#REF!,6,0)*H1169/1000),0,VLOOKUP($F1169,#REF!,6,0)*H1169/1000)</f>
        <v>0</v>
      </c>
      <c r="N1169" s="21">
        <f>IF(ISERROR(VLOOKUP($F1169,#REF!,6,0)*I1169/1000),0,VLOOKUP($F1169,#REF!,6,0)*I1169/1000)</f>
        <v>0</v>
      </c>
      <c r="O1169" s="21">
        <f>IF(ISERROR(VLOOKUP($F1169,#REF!,6,0)*J1169/1000),0,VLOOKUP($F1169,#REF!,6,0)*J1169/1000)</f>
        <v>0</v>
      </c>
      <c r="P1169" s="21">
        <f>IF(ISERROR(VLOOKUP(F1169,#REF!,6,0)*K1169/1000),0,VLOOKUP(F1169,#REF!,6,0)*K1169/1000)</f>
        <v>0</v>
      </c>
      <c r="Q1169" s="6">
        <f>IF(ISERROR(VLOOKUP(F1169,#REF!,3,0)),0,VLOOKUP(F1169,#REF!,3,0))</f>
        <v>0</v>
      </c>
      <c r="R1169" s="6">
        <f>IF(ISERROR(VLOOKUP(F1169,#REF!,4,0)),0,VLOOKUP(F1169,#REF!,4,0))</f>
        <v>0</v>
      </c>
      <c r="S1169" s="8">
        <f>IF(ISERROR(VLOOKUP(F1169,#REF!,4,0)),0,VLOOKUP(F1169,#REF!,10,0)/60*K1169)</f>
        <v>0</v>
      </c>
      <c r="T1169" s="3"/>
      <c r="U1169" s="3"/>
      <c r="V1169" s="4"/>
    </row>
    <row r="1170" spans="1:22" x14ac:dyDescent="0.3">
      <c r="A1170" s="5">
        <f t="shared" si="55"/>
        <v>0</v>
      </c>
      <c r="B1170" s="6">
        <f t="shared" si="56"/>
        <v>0</v>
      </c>
      <c r="K1170" s="18">
        <f t="shared" si="54"/>
        <v>0</v>
      </c>
      <c r="L1170" s="21">
        <f>IF(ISERROR(VLOOKUP($F1170,#REF!,6,0)*G1170/1000),0,VLOOKUP($F1170,#REF!,6,0)*G1170/1000)</f>
        <v>0</v>
      </c>
      <c r="M1170" s="21">
        <f>IF(ISERROR(VLOOKUP($F1170,#REF!,6,0)*H1170/1000),0,VLOOKUP($F1170,#REF!,6,0)*H1170/1000)</f>
        <v>0</v>
      </c>
      <c r="N1170" s="21">
        <f>IF(ISERROR(VLOOKUP($F1170,#REF!,6,0)*I1170/1000),0,VLOOKUP($F1170,#REF!,6,0)*I1170/1000)</f>
        <v>0</v>
      </c>
      <c r="O1170" s="21">
        <f>IF(ISERROR(VLOOKUP($F1170,#REF!,6,0)*J1170/1000),0,VLOOKUP($F1170,#REF!,6,0)*J1170/1000)</f>
        <v>0</v>
      </c>
      <c r="P1170" s="21">
        <f>IF(ISERROR(VLOOKUP(F1170,#REF!,6,0)*K1170/1000),0,VLOOKUP(F1170,#REF!,6,0)*K1170/1000)</f>
        <v>0</v>
      </c>
      <c r="Q1170" s="6">
        <f>IF(ISERROR(VLOOKUP(F1170,#REF!,3,0)),0,VLOOKUP(F1170,#REF!,3,0))</f>
        <v>0</v>
      </c>
      <c r="R1170" s="6">
        <f>IF(ISERROR(VLOOKUP(F1170,#REF!,4,0)),0,VLOOKUP(F1170,#REF!,4,0))</f>
        <v>0</v>
      </c>
      <c r="S1170" s="8">
        <f>IF(ISERROR(VLOOKUP(F1170,#REF!,4,0)),0,VLOOKUP(F1170,#REF!,10,0)/60*K1170)</f>
        <v>0</v>
      </c>
      <c r="T1170" s="3"/>
      <c r="U1170" s="3"/>
      <c r="V1170" s="4"/>
    </row>
    <row r="1171" spans="1:22" x14ac:dyDescent="0.3">
      <c r="A1171" s="5">
        <f t="shared" si="55"/>
        <v>0</v>
      </c>
      <c r="B1171" s="6">
        <f t="shared" si="56"/>
        <v>0</v>
      </c>
      <c r="K1171" s="18">
        <f t="shared" si="54"/>
        <v>0</v>
      </c>
      <c r="L1171" s="21">
        <f>IF(ISERROR(VLOOKUP($F1171,#REF!,6,0)*G1171/1000),0,VLOOKUP($F1171,#REF!,6,0)*G1171/1000)</f>
        <v>0</v>
      </c>
      <c r="M1171" s="21">
        <f>IF(ISERROR(VLOOKUP($F1171,#REF!,6,0)*H1171/1000),0,VLOOKUP($F1171,#REF!,6,0)*H1171/1000)</f>
        <v>0</v>
      </c>
      <c r="N1171" s="21">
        <f>IF(ISERROR(VLOOKUP($F1171,#REF!,6,0)*I1171/1000),0,VLOOKUP($F1171,#REF!,6,0)*I1171/1000)</f>
        <v>0</v>
      </c>
      <c r="O1171" s="21">
        <f>IF(ISERROR(VLOOKUP($F1171,#REF!,6,0)*J1171/1000),0,VLOOKUP($F1171,#REF!,6,0)*J1171/1000)</f>
        <v>0</v>
      </c>
      <c r="P1171" s="21">
        <f>IF(ISERROR(VLOOKUP(F1171,#REF!,6,0)*K1171/1000),0,VLOOKUP(F1171,#REF!,6,0)*K1171/1000)</f>
        <v>0</v>
      </c>
      <c r="Q1171" s="6">
        <f>IF(ISERROR(VLOOKUP(F1171,#REF!,3,0)),0,VLOOKUP(F1171,#REF!,3,0))</f>
        <v>0</v>
      </c>
      <c r="R1171" s="6">
        <f>IF(ISERROR(VLOOKUP(F1171,#REF!,4,0)),0,VLOOKUP(F1171,#REF!,4,0))</f>
        <v>0</v>
      </c>
      <c r="S1171" s="8">
        <f>IF(ISERROR(VLOOKUP(F1171,#REF!,4,0)),0,VLOOKUP(F1171,#REF!,10,0)/60*K1171)</f>
        <v>0</v>
      </c>
      <c r="T1171" s="3"/>
      <c r="U1171" s="3"/>
      <c r="V1171" s="4"/>
    </row>
    <row r="1172" spans="1:22" x14ac:dyDescent="0.3">
      <c r="A1172" s="5">
        <f t="shared" si="55"/>
        <v>0</v>
      </c>
      <c r="B1172" s="6">
        <f t="shared" si="56"/>
        <v>0</v>
      </c>
      <c r="K1172" s="18">
        <f t="shared" si="54"/>
        <v>0</v>
      </c>
      <c r="L1172" s="21">
        <f>IF(ISERROR(VLOOKUP($F1172,#REF!,6,0)*G1172/1000),0,VLOOKUP($F1172,#REF!,6,0)*G1172/1000)</f>
        <v>0</v>
      </c>
      <c r="M1172" s="21">
        <f>IF(ISERROR(VLOOKUP($F1172,#REF!,6,0)*H1172/1000),0,VLOOKUP($F1172,#REF!,6,0)*H1172/1000)</f>
        <v>0</v>
      </c>
      <c r="N1172" s="21">
        <f>IF(ISERROR(VLOOKUP($F1172,#REF!,6,0)*I1172/1000),0,VLOOKUP($F1172,#REF!,6,0)*I1172/1000)</f>
        <v>0</v>
      </c>
      <c r="O1172" s="21">
        <f>IF(ISERROR(VLOOKUP($F1172,#REF!,6,0)*J1172/1000),0,VLOOKUP($F1172,#REF!,6,0)*J1172/1000)</f>
        <v>0</v>
      </c>
      <c r="P1172" s="21">
        <f>IF(ISERROR(VLOOKUP(F1172,#REF!,6,0)*K1172/1000),0,VLOOKUP(F1172,#REF!,6,0)*K1172/1000)</f>
        <v>0</v>
      </c>
      <c r="Q1172" s="6">
        <f>IF(ISERROR(VLOOKUP(F1172,#REF!,3,0)),0,VLOOKUP(F1172,#REF!,3,0))</f>
        <v>0</v>
      </c>
      <c r="R1172" s="6">
        <f>IF(ISERROR(VLOOKUP(F1172,#REF!,4,0)),0,VLOOKUP(F1172,#REF!,4,0))</f>
        <v>0</v>
      </c>
      <c r="S1172" s="8">
        <f>IF(ISERROR(VLOOKUP(F1172,#REF!,4,0)),0,VLOOKUP(F1172,#REF!,10,0)/60*K1172)</f>
        <v>0</v>
      </c>
      <c r="T1172" s="3"/>
      <c r="U1172" s="3"/>
      <c r="V1172" s="4"/>
    </row>
    <row r="1173" spans="1:22" x14ac:dyDescent="0.3">
      <c r="A1173" s="5">
        <f t="shared" si="55"/>
        <v>0</v>
      </c>
      <c r="B1173" s="6">
        <f t="shared" si="56"/>
        <v>0</v>
      </c>
      <c r="K1173" s="18">
        <f t="shared" si="54"/>
        <v>0</v>
      </c>
      <c r="L1173" s="21">
        <f>IF(ISERROR(VLOOKUP($F1173,#REF!,6,0)*G1173/1000),0,VLOOKUP($F1173,#REF!,6,0)*G1173/1000)</f>
        <v>0</v>
      </c>
      <c r="M1173" s="21">
        <f>IF(ISERROR(VLOOKUP($F1173,#REF!,6,0)*H1173/1000),0,VLOOKUP($F1173,#REF!,6,0)*H1173/1000)</f>
        <v>0</v>
      </c>
      <c r="N1173" s="21">
        <f>IF(ISERROR(VLOOKUP($F1173,#REF!,6,0)*I1173/1000),0,VLOOKUP($F1173,#REF!,6,0)*I1173/1000)</f>
        <v>0</v>
      </c>
      <c r="O1173" s="21">
        <f>IF(ISERROR(VLOOKUP($F1173,#REF!,6,0)*J1173/1000),0,VLOOKUP($F1173,#REF!,6,0)*J1173/1000)</f>
        <v>0</v>
      </c>
      <c r="P1173" s="21">
        <f>IF(ISERROR(VLOOKUP(F1173,#REF!,6,0)*K1173/1000),0,VLOOKUP(F1173,#REF!,6,0)*K1173/1000)</f>
        <v>0</v>
      </c>
      <c r="Q1173" s="6">
        <f>IF(ISERROR(VLOOKUP(F1173,#REF!,3,0)),0,VLOOKUP(F1173,#REF!,3,0))</f>
        <v>0</v>
      </c>
      <c r="R1173" s="6">
        <f>IF(ISERROR(VLOOKUP(F1173,#REF!,4,0)),0,VLOOKUP(F1173,#REF!,4,0))</f>
        <v>0</v>
      </c>
      <c r="S1173" s="8">
        <f>IF(ISERROR(VLOOKUP(F1173,#REF!,4,0)),0,VLOOKUP(F1173,#REF!,10,0)/60*K1173)</f>
        <v>0</v>
      </c>
      <c r="T1173" s="3"/>
      <c r="U1173" s="3"/>
      <c r="V1173" s="4"/>
    </row>
    <row r="1174" spans="1:22" x14ac:dyDescent="0.3">
      <c r="A1174" s="5">
        <f t="shared" si="55"/>
        <v>0</v>
      </c>
      <c r="B1174" s="6">
        <f t="shared" si="56"/>
        <v>0</v>
      </c>
      <c r="K1174" s="18">
        <f t="shared" si="54"/>
        <v>0</v>
      </c>
      <c r="L1174" s="21">
        <f>IF(ISERROR(VLOOKUP($F1174,#REF!,6,0)*G1174/1000),0,VLOOKUP($F1174,#REF!,6,0)*G1174/1000)</f>
        <v>0</v>
      </c>
      <c r="M1174" s="21">
        <f>IF(ISERROR(VLOOKUP($F1174,#REF!,6,0)*H1174/1000),0,VLOOKUP($F1174,#REF!,6,0)*H1174/1000)</f>
        <v>0</v>
      </c>
      <c r="N1174" s="21">
        <f>IF(ISERROR(VLOOKUP($F1174,#REF!,6,0)*I1174/1000),0,VLOOKUP($F1174,#REF!,6,0)*I1174/1000)</f>
        <v>0</v>
      </c>
      <c r="O1174" s="21">
        <f>IF(ISERROR(VLOOKUP($F1174,#REF!,6,0)*J1174/1000),0,VLOOKUP($F1174,#REF!,6,0)*J1174/1000)</f>
        <v>0</v>
      </c>
      <c r="P1174" s="21">
        <f>IF(ISERROR(VLOOKUP(F1174,#REF!,6,0)*K1174/1000),0,VLOOKUP(F1174,#REF!,6,0)*K1174/1000)</f>
        <v>0</v>
      </c>
      <c r="Q1174" s="6">
        <f>IF(ISERROR(VLOOKUP(F1174,#REF!,3,0)),0,VLOOKUP(F1174,#REF!,3,0))</f>
        <v>0</v>
      </c>
      <c r="R1174" s="6">
        <f>IF(ISERROR(VLOOKUP(F1174,#REF!,4,0)),0,VLOOKUP(F1174,#REF!,4,0))</f>
        <v>0</v>
      </c>
      <c r="S1174" s="8">
        <f>IF(ISERROR(VLOOKUP(F1174,#REF!,4,0)),0,VLOOKUP(F1174,#REF!,10,0)/60*K1174)</f>
        <v>0</v>
      </c>
      <c r="T1174" s="3"/>
      <c r="U1174" s="3"/>
      <c r="V1174" s="4"/>
    </row>
    <row r="1175" spans="1:22" x14ac:dyDescent="0.3">
      <c r="A1175" s="5">
        <f t="shared" si="55"/>
        <v>0</v>
      </c>
      <c r="B1175" s="6">
        <f t="shared" si="56"/>
        <v>0</v>
      </c>
      <c r="K1175" s="18">
        <f t="shared" si="54"/>
        <v>0</v>
      </c>
      <c r="L1175" s="21">
        <f>IF(ISERROR(VLOOKUP($F1175,#REF!,6,0)*G1175/1000),0,VLOOKUP($F1175,#REF!,6,0)*G1175/1000)</f>
        <v>0</v>
      </c>
      <c r="M1175" s="21">
        <f>IF(ISERROR(VLOOKUP($F1175,#REF!,6,0)*H1175/1000),0,VLOOKUP($F1175,#REF!,6,0)*H1175/1000)</f>
        <v>0</v>
      </c>
      <c r="N1175" s="21">
        <f>IF(ISERROR(VLOOKUP($F1175,#REF!,6,0)*I1175/1000),0,VLOOKUP($F1175,#REF!,6,0)*I1175/1000)</f>
        <v>0</v>
      </c>
      <c r="O1175" s="21">
        <f>IF(ISERROR(VLOOKUP($F1175,#REF!,6,0)*J1175/1000),0,VLOOKUP($F1175,#REF!,6,0)*J1175/1000)</f>
        <v>0</v>
      </c>
      <c r="P1175" s="21">
        <f>IF(ISERROR(VLOOKUP(F1175,#REF!,6,0)*K1175/1000),0,VLOOKUP(F1175,#REF!,6,0)*K1175/1000)</f>
        <v>0</v>
      </c>
      <c r="Q1175" s="6">
        <f>IF(ISERROR(VLOOKUP(F1175,#REF!,3,0)),0,VLOOKUP(F1175,#REF!,3,0))</f>
        <v>0</v>
      </c>
      <c r="R1175" s="6">
        <f>IF(ISERROR(VLOOKUP(F1175,#REF!,4,0)),0,VLOOKUP(F1175,#REF!,4,0))</f>
        <v>0</v>
      </c>
      <c r="S1175" s="8">
        <f>IF(ISERROR(VLOOKUP(F1175,#REF!,4,0)),0,VLOOKUP(F1175,#REF!,10,0)/60*K1175)</f>
        <v>0</v>
      </c>
      <c r="T1175" s="3"/>
      <c r="U1175" s="3"/>
      <c r="V1175" s="4"/>
    </row>
    <row r="1176" spans="1:22" x14ac:dyDescent="0.3">
      <c r="A1176" s="5">
        <f t="shared" si="55"/>
        <v>0</v>
      </c>
      <c r="B1176" s="6">
        <f t="shared" si="56"/>
        <v>0</v>
      </c>
      <c r="K1176" s="18">
        <f t="shared" si="54"/>
        <v>0</v>
      </c>
      <c r="L1176" s="21">
        <f>IF(ISERROR(VLOOKUP($F1176,#REF!,6,0)*G1176/1000),0,VLOOKUP($F1176,#REF!,6,0)*G1176/1000)</f>
        <v>0</v>
      </c>
      <c r="M1176" s="21">
        <f>IF(ISERROR(VLOOKUP($F1176,#REF!,6,0)*H1176/1000),0,VLOOKUP($F1176,#REF!,6,0)*H1176/1000)</f>
        <v>0</v>
      </c>
      <c r="N1176" s="21">
        <f>IF(ISERROR(VLOOKUP($F1176,#REF!,6,0)*I1176/1000),0,VLOOKUP($F1176,#REF!,6,0)*I1176/1000)</f>
        <v>0</v>
      </c>
      <c r="O1176" s="21">
        <f>IF(ISERROR(VLOOKUP($F1176,#REF!,6,0)*J1176/1000),0,VLOOKUP($F1176,#REF!,6,0)*J1176/1000)</f>
        <v>0</v>
      </c>
      <c r="P1176" s="21">
        <f>IF(ISERROR(VLOOKUP(F1176,#REF!,6,0)*K1176/1000),0,VLOOKUP(F1176,#REF!,6,0)*K1176/1000)</f>
        <v>0</v>
      </c>
      <c r="Q1176" s="6">
        <f>IF(ISERROR(VLOOKUP(F1176,#REF!,3,0)),0,VLOOKUP(F1176,#REF!,3,0))</f>
        <v>0</v>
      </c>
      <c r="R1176" s="6">
        <f>IF(ISERROR(VLOOKUP(F1176,#REF!,4,0)),0,VLOOKUP(F1176,#REF!,4,0))</f>
        <v>0</v>
      </c>
      <c r="S1176" s="8">
        <f>IF(ISERROR(VLOOKUP(F1176,#REF!,4,0)),0,VLOOKUP(F1176,#REF!,10,0)/60*K1176)</f>
        <v>0</v>
      </c>
      <c r="T1176" s="3"/>
      <c r="U1176" s="3"/>
      <c r="V1176" s="4"/>
    </row>
    <row r="1177" spans="1:22" x14ac:dyDescent="0.3">
      <c r="A1177" s="5">
        <f t="shared" si="55"/>
        <v>0</v>
      </c>
      <c r="B1177" s="6">
        <f t="shared" si="56"/>
        <v>0</v>
      </c>
      <c r="K1177" s="18">
        <f t="shared" si="54"/>
        <v>0</v>
      </c>
      <c r="L1177" s="21">
        <f>IF(ISERROR(VLOOKUP($F1177,#REF!,6,0)*G1177/1000),0,VLOOKUP($F1177,#REF!,6,0)*G1177/1000)</f>
        <v>0</v>
      </c>
      <c r="M1177" s="21">
        <f>IF(ISERROR(VLOOKUP($F1177,#REF!,6,0)*H1177/1000),0,VLOOKUP($F1177,#REF!,6,0)*H1177/1000)</f>
        <v>0</v>
      </c>
      <c r="N1177" s="21">
        <f>IF(ISERROR(VLOOKUP($F1177,#REF!,6,0)*I1177/1000),0,VLOOKUP($F1177,#REF!,6,0)*I1177/1000)</f>
        <v>0</v>
      </c>
      <c r="O1177" s="21">
        <f>IF(ISERROR(VLOOKUP($F1177,#REF!,6,0)*J1177/1000),0,VLOOKUP($F1177,#REF!,6,0)*J1177/1000)</f>
        <v>0</v>
      </c>
      <c r="P1177" s="21">
        <f>IF(ISERROR(VLOOKUP(F1177,#REF!,6,0)*K1177/1000),0,VLOOKUP(F1177,#REF!,6,0)*K1177/1000)</f>
        <v>0</v>
      </c>
      <c r="Q1177" s="6">
        <f>IF(ISERROR(VLOOKUP(F1177,#REF!,3,0)),0,VLOOKUP(F1177,#REF!,3,0))</f>
        <v>0</v>
      </c>
      <c r="R1177" s="6">
        <f>IF(ISERROR(VLOOKUP(F1177,#REF!,4,0)),0,VLOOKUP(F1177,#REF!,4,0))</f>
        <v>0</v>
      </c>
      <c r="S1177" s="8">
        <f>IF(ISERROR(VLOOKUP(F1177,#REF!,4,0)),0,VLOOKUP(F1177,#REF!,10,0)/60*K1177)</f>
        <v>0</v>
      </c>
      <c r="T1177" s="3"/>
      <c r="U1177" s="3"/>
      <c r="V1177" s="4"/>
    </row>
    <row r="1178" spans="1:22" x14ac:dyDescent="0.3">
      <c r="A1178" s="5">
        <f t="shared" si="55"/>
        <v>0</v>
      </c>
      <c r="B1178" s="6">
        <f t="shared" si="56"/>
        <v>0</v>
      </c>
      <c r="K1178" s="18">
        <f t="shared" si="54"/>
        <v>0</v>
      </c>
      <c r="L1178" s="21">
        <f>IF(ISERROR(VLOOKUP($F1178,#REF!,6,0)*G1178/1000),0,VLOOKUP($F1178,#REF!,6,0)*G1178/1000)</f>
        <v>0</v>
      </c>
      <c r="M1178" s="21">
        <f>IF(ISERROR(VLOOKUP($F1178,#REF!,6,0)*H1178/1000),0,VLOOKUP($F1178,#REF!,6,0)*H1178/1000)</f>
        <v>0</v>
      </c>
      <c r="N1178" s="21">
        <f>IF(ISERROR(VLOOKUP($F1178,#REF!,6,0)*I1178/1000),0,VLOOKUP($F1178,#REF!,6,0)*I1178/1000)</f>
        <v>0</v>
      </c>
      <c r="O1178" s="21">
        <f>IF(ISERROR(VLOOKUP($F1178,#REF!,6,0)*J1178/1000),0,VLOOKUP($F1178,#REF!,6,0)*J1178/1000)</f>
        <v>0</v>
      </c>
      <c r="P1178" s="21">
        <f>IF(ISERROR(VLOOKUP(F1178,#REF!,6,0)*K1178/1000),0,VLOOKUP(F1178,#REF!,6,0)*K1178/1000)</f>
        <v>0</v>
      </c>
      <c r="Q1178" s="6">
        <f>IF(ISERROR(VLOOKUP(F1178,#REF!,3,0)),0,VLOOKUP(F1178,#REF!,3,0))</f>
        <v>0</v>
      </c>
      <c r="R1178" s="6">
        <f>IF(ISERROR(VLOOKUP(F1178,#REF!,4,0)),0,VLOOKUP(F1178,#REF!,4,0))</f>
        <v>0</v>
      </c>
      <c r="S1178" s="8">
        <f>IF(ISERROR(VLOOKUP(F1178,#REF!,4,0)),0,VLOOKUP(F1178,#REF!,10,0)/60*K1178)</f>
        <v>0</v>
      </c>
      <c r="T1178" s="3"/>
      <c r="U1178" s="3"/>
      <c r="V1178" s="4"/>
    </row>
    <row r="1179" spans="1:22" x14ac:dyDescent="0.3">
      <c r="A1179" s="5">
        <f t="shared" si="55"/>
        <v>0</v>
      </c>
      <c r="B1179" s="6">
        <f t="shared" si="56"/>
        <v>0</v>
      </c>
      <c r="K1179" s="18">
        <f t="shared" si="54"/>
        <v>0</v>
      </c>
      <c r="L1179" s="21">
        <f>IF(ISERROR(VLOOKUP($F1179,#REF!,6,0)*G1179/1000),0,VLOOKUP($F1179,#REF!,6,0)*G1179/1000)</f>
        <v>0</v>
      </c>
      <c r="M1179" s="21">
        <f>IF(ISERROR(VLOOKUP($F1179,#REF!,6,0)*H1179/1000),0,VLOOKUP($F1179,#REF!,6,0)*H1179/1000)</f>
        <v>0</v>
      </c>
      <c r="N1179" s="21">
        <f>IF(ISERROR(VLOOKUP($F1179,#REF!,6,0)*I1179/1000),0,VLOOKUP($F1179,#REF!,6,0)*I1179/1000)</f>
        <v>0</v>
      </c>
      <c r="O1179" s="21">
        <f>IF(ISERROR(VLOOKUP($F1179,#REF!,6,0)*J1179/1000),0,VLOOKUP($F1179,#REF!,6,0)*J1179/1000)</f>
        <v>0</v>
      </c>
      <c r="P1179" s="21">
        <f>IF(ISERROR(VLOOKUP(F1179,#REF!,6,0)*K1179/1000),0,VLOOKUP(F1179,#REF!,6,0)*K1179/1000)</f>
        <v>0</v>
      </c>
      <c r="Q1179" s="6">
        <f>IF(ISERROR(VLOOKUP(F1179,#REF!,3,0)),0,VLOOKUP(F1179,#REF!,3,0))</f>
        <v>0</v>
      </c>
      <c r="R1179" s="6">
        <f>IF(ISERROR(VLOOKUP(F1179,#REF!,4,0)),0,VLOOKUP(F1179,#REF!,4,0))</f>
        <v>0</v>
      </c>
      <c r="S1179" s="8">
        <f>IF(ISERROR(VLOOKUP(F1179,#REF!,4,0)),0,VLOOKUP(F1179,#REF!,10,0)/60*K1179)</f>
        <v>0</v>
      </c>
      <c r="T1179" s="3"/>
      <c r="U1179" s="3"/>
      <c r="V1179" s="4"/>
    </row>
    <row r="1180" spans="1:22" x14ac:dyDescent="0.3">
      <c r="A1180" s="5">
        <f t="shared" si="55"/>
        <v>0</v>
      </c>
      <c r="B1180" s="6">
        <f t="shared" si="56"/>
        <v>0</v>
      </c>
      <c r="K1180" s="18">
        <f t="shared" si="54"/>
        <v>0</v>
      </c>
      <c r="L1180" s="21">
        <f>IF(ISERROR(VLOOKUP($F1180,#REF!,6,0)*G1180/1000),0,VLOOKUP($F1180,#REF!,6,0)*G1180/1000)</f>
        <v>0</v>
      </c>
      <c r="M1180" s="21">
        <f>IF(ISERROR(VLOOKUP($F1180,#REF!,6,0)*H1180/1000),0,VLOOKUP($F1180,#REF!,6,0)*H1180/1000)</f>
        <v>0</v>
      </c>
      <c r="N1180" s="21">
        <f>IF(ISERROR(VLOOKUP($F1180,#REF!,6,0)*I1180/1000),0,VLOOKUP($F1180,#REF!,6,0)*I1180/1000)</f>
        <v>0</v>
      </c>
      <c r="O1180" s="21">
        <f>IF(ISERROR(VLOOKUP($F1180,#REF!,6,0)*J1180/1000),0,VLOOKUP($F1180,#REF!,6,0)*J1180/1000)</f>
        <v>0</v>
      </c>
      <c r="P1180" s="21">
        <f>IF(ISERROR(VLOOKUP(F1180,#REF!,6,0)*K1180/1000),0,VLOOKUP(F1180,#REF!,6,0)*K1180/1000)</f>
        <v>0</v>
      </c>
      <c r="Q1180" s="6">
        <f>IF(ISERROR(VLOOKUP(F1180,#REF!,3,0)),0,VLOOKUP(F1180,#REF!,3,0))</f>
        <v>0</v>
      </c>
      <c r="R1180" s="6">
        <f>IF(ISERROR(VLOOKUP(F1180,#REF!,4,0)),0,VLOOKUP(F1180,#REF!,4,0))</f>
        <v>0</v>
      </c>
      <c r="S1180" s="8">
        <f>IF(ISERROR(VLOOKUP(F1180,#REF!,4,0)),0,VLOOKUP(F1180,#REF!,10,0)/60*K1180)</f>
        <v>0</v>
      </c>
      <c r="T1180" s="3"/>
      <c r="U1180" s="3"/>
      <c r="V1180" s="4"/>
    </row>
    <row r="1181" spans="1:22" x14ac:dyDescent="0.3">
      <c r="A1181" s="5">
        <f t="shared" si="55"/>
        <v>0</v>
      </c>
      <c r="B1181" s="6">
        <f t="shared" si="56"/>
        <v>0</v>
      </c>
      <c r="K1181" s="18">
        <f t="shared" si="54"/>
        <v>0</v>
      </c>
      <c r="L1181" s="21">
        <f>IF(ISERROR(VLOOKUP($F1181,#REF!,6,0)*G1181/1000),0,VLOOKUP($F1181,#REF!,6,0)*G1181/1000)</f>
        <v>0</v>
      </c>
      <c r="M1181" s="21">
        <f>IF(ISERROR(VLOOKUP($F1181,#REF!,6,0)*H1181/1000),0,VLOOKUP($F1181,#REF!,6,0)*H1181/1000)</f>
        <v>0</v>
      </c>
      <c r="N1181" s="21">
        <f>IF(ISERROR(VLOOKUP($F1181,#REF!,6,0)*I1181/1000),0,VLOOKUP($F1181,#REF!,6,0)*I1181/1000)</f>
        <v>0</v>
      </c>
      <c r="O1181" s="21">
        <f>IF(ISERROR(VLOOKUP($F1181,#REF!,6,0)*J1181/1000),0,VLOOKUP($F1181,#REF!,6,0)*J1181/1000)</f>
        <v>0</v>
      </c>
      <c r="P1181" s="21">
        <f>IF(ISERROR(VLOOKUP(F1181,#REF!,6,0)*K1181/1000),0,VLOOKUP(F1181,#REF!,6,0)*K1181/1000)</f>
        <v>0</v>
      </c>
      <c r="Q1181" s="6">
        <f>IF(ISERROR(VLOOKUP(F1181,#REF!,3,0)),0,VLOOKUP(F1181,#REF!,3,0))</f>
        <v>0</v>
      </c>
      <c r="R1181" s="6">
        <f>IF(ISERROR(VLOOKUP(F1181,#REF!,4,0)),0,VLOOKUP(F1181,#REF!,4,0))</f>
        <v>0</v>
      </c>
      <c r="S1181" s="8">
        <f>IF(ISERROR(VLOOKUP(F1181,#REF!,4,0)),0,VLOOKUP(F1181,#REF!,10,0)/60*K1181)</f>
        <v>0</v>
      </c>
      <c r="T1181" s="3"/>
      <c r="U1181" s="3"/>
      <c r="V1181" s="4"/>
    </row>
    <row r="1182" spans="1:22" x14ac:dyDescent="0.3">
      <c r="A1182" s="5">
        <f t="shared" si="55"/>
        <v>0</v>
      </c>
      <c r="B1182" s="6">
        <f t="shared" si="56"/>
        <v>0</v>
      </c>
      <c r="K1182" s="18">
        <f t="shared" si="54"/>
        <v>0</v>
      </c>
      <c r="L1182" s="21">
        <f>IF(ISERROR(VLOOKUP($F1182,#REF!,6,0)*G1182/1000),0,VLOOKUP($F1182,#REF!,6,0)*G1182/1000)</f>
        <v>0</v>
      </c>
      <c r="M1182" s="21">
        <f>IF(ISERROR(VLOOKUP($F1182,#REF!,6,0)*H1182/1000),0,VLOOKUP($F1182,#REF!,6,0)*H1182/1000)</f>
        <v>0</v>
      </c>
      <c r="N1182" s="21">
        <f>IF(ISERROR(VLOOKUP($F1182,#REF!,6,0)*I1182/1000),0,VLOOKUP($F1182,#REF!,6,0)*I1182/1000)</f>
        <v>0</v>
      </c>
      <c r="O1182" s="21">
        <f>IF(ISERROR(VLOOKUP($F1182,#REF!,6,0)*J1182/1000),0,VLOOKUP($F1182,#REF!,6,0)*J1182/1000)</f>
        <v>0</v>
      </c>
      <c r="P1182" s="21">
        <f>IF(ISERROR(VLOOKUP(F1182,#REF!,6,0)*K1182/1000),0,VLOOKUP(F1182,#REF!,6,0)*K1182/1000)</f>
        <v>0</v>
      </c>
      <c r="Q1182" s="6">
        <f>IF(ISERROR(VLOOKUP(F1182,#REF!,3,0)),0,VLOOKUP(F1182,#REF!,3,0))</f>
        <v>0</v>
      </c>
      <c r="R1182" s="6">
        <f>IF(ISERROR(VLOOKUP(F1182,#REF!,4,0)),0,VLOOKUP(F1182,#REF!,4,0))</f>
        <v>0</v>
      </c>
      <c r="S1182" s="8">
        <f>IF(ISERROR(VLOOKUP(F1182,#REF!,4,0)),0,VLOOKUP(F1182,#REF!,10,0)/60*K1182)</f>
        <v>0</v>
      </c>
      <c r="T1182" s="3"/>
      <c r="U1182" s="3"/>
      <c r="V1182" s="4"/>
    </row>
    <row r="1183" spans="1:22" x14ac:dyDescent="0.3">
      <c r="A1183" s="5">
        <f t="shared" si="55"/>
        <v>0</v>
      </c>
      <c r="B1183" s="6">
        <f t="shared" si="56"/>
        <v>0</v>
      </c>
      <c r="K1183" s="18">
        <f t="shared" si="54"/>
        <v>0</v>
      </c>
      <c r="L1183" s="21">
        <f>IF(ISERROR(VLOOKUP($F1183,#REF!,6,0)*G1183/1000),0,VLOOKUP($F1183,#REF!,6,0)*G1183/1000)</f>
        <v>0</v>
      </c>
      <c r="M1183" s="21">
        <f>IF(ISERROR(VLOOKUP($F1183,#REF!,6,0)*H1183/1000),0,VLOOKUP($F1183,#REF!,6,0)*H1183/1000)</f>
        <v>0</v>
      </c>
      <c r="N1183" s="21">
        <f>IF(ISERROR(VLOOKUP($F1183,#REF!,6,0)*I1183/1000),0,VLOOKUP($F1183,#REF!,6,0)*I1183/1000)</f>
        <v>0</v>
      </c>
      <c r="O1183" s="21">
        <f>IF(ISERROR(VLOOKUP($F1183,#REF!,6,0)*J1183/1000),0,VLOOKUP($F1183,#REF!,6,0)*J1183/1000)</f>
        <v>0</v>
      </c>
      <c r="P1183" s="21">
        <f>IF(ISERROR(VLOOKUP(F1183,#REF!,6,0)*K1183/1000),0,VLOOKUP(F1183,#REF!,6,0)*K1183/1000)</f>
        <v>0</v>
      </c>
      <c r="Q1183" s="6">
        <f>IF(ISERROR(VLOOKUP(F1183,#REF!,3,0)),0,VLOOKUP(F1183,#REF!,3,0))</f>
        <v>0</v>
      </c>
      <c r="R1183" s="6">
        <f>IF(ISERROR(VLOOKUP(F1183,#REF!,4,0)),0,VLOOKUP(F1183,#REF!,4,0))</f>
        <v>0</v>
      </c>
      <c r="S1183" s="8">
        <f>IF(ISERROR(VLOOKUP(F1183,#REF!,4,0)),0,VLOOKUP(F1183,#REF!,10,0)/60*K1183)</f>
        <v>0</v>
      </c>
      <c r="T1183" s="3"/>
      <c r="U1183" s="3"/>
      <c r="V1183" s="4"/>
    </row>
    <row r="1184" spans="1:22" x14ac:dyDescent="0.3">
      <c r="A1184" s="5">
        <f t="shared" si="55"/>
        <v>0</v>
      </c>
      <c r="B1184" s="6">
        <f t="shared" si="56"/>
        <v>0</v>
      </c>
      <c r="K1184" s="18">
        <f t="shared" si="54"/>
        <v>0</v>
      </c>
      <c r="L1184" s="21">
        <f>IF(ISERROR(VLOOKUP($F1184,#REF!,6,0)*G1184/1000),0,VLOOKUP($F1184,#REF!,6,0)*G1184/1000)</f>
        <v>0</v>
      </c>
      <c r="M1184" s="21">
        <f>IF(ISERROR(VLOOKUP($F1184,#REF!,6,0)*H1184/1000),0,VLOOKUP($F1184,#REF!,6,0)*H1184/1000)</f>
        <v>0</v>
      </c>
      <c r="N1184" s="21">
        <f>IF(ISERROR(VLOOKUP($F1184,#REF!,6,0)*I1184/1000),0,VLOOKUP($F1184,#REF!,6,0)*I1184/1000)</f>
        <v>0</v>
      </c>
      <c r="O1184" s="21">
        <f>IF(ISERROR(VLOOKUP($F1184,#REF!,6,0)*J1184/1000),0,VLOOKUP($F1184,#REF!,6,0)*J1184/1000)</f>
        <v>0</v>
      </c>
      <c r="P1184" s="21">
        <f>IF(ISERROR(VLOOKUP(F1184,#REF!,6,0)*K1184/1000),0,VLOOKUP(F1184,#REF!,6,0)*K1184/1000)</f>
        <v>0</v>
      </c>
      <c r="Q1184" s="6">
        <f>IF(ISERROR(VLOOKUP(F1184,#REF!,3,0)),0,VLOOKUP(F1184,#REF!,3,0))</f>
        <v>0</v>
      </c>
      <c r="R1184" s="6">
        <f>IF(ISERROR(VLOOKUP(F1184,#REF!,4,0)),0,VLOOKUP(F1184,#REF!,4,0))</f>
        <v>0</v>
      </c>
      <c r="S1184" s="8">
        <f>IF(ISERROR(VLOOKUP(F1184,#REF!,4,0)),0,VLOOKUP(F1184,#REF!,10,0)/60*K1184)</f>
        <v>0</v>
      </c>
      <c r="T1184" s="3"/>
      <c r="U1184" s="3"/>
      <c r="V1184" s="4"/>
    </row>
    <row r="1185" spans="1:22" x14ac:dyDescent="0.3">
      <c r="A1185" s="5">
        <f t="shared" si="55"/>
        <v>0</v>
      </c>
      <c r="B1185" s="6">
        <f t="shared" si="56"/>
        <v>0</v>
      </c>
      <c r="K1185" s="18">
        <f t="shared" si="54"/>
        <v>0</v>
      </c>
      <c r="L1185" s="21">
        <f>IF(ISERROR(VLOOKUP($F1185,#REF!,6,0)*G1185/1000),0,VLOOKUP($F1185,#REF!,6,0)*G1185/1000)</f>
        <v>0</v>
      </c>
      <c r="M1185" s="21">
        <f>IF(ISERROR(VLOOKUP($F1185,#REF!,6,0)*H1185/1000),0,VLOOKUP($F1185,#REF!,6,0)*H1185/1000)</f>
        <v>0</v>
      </c>
      <c r="N1185" s="21">
        <f>IF(ISERROR(VLOOKUP($F1185,#REF!,6,0)*I1185/1000),0,VLOOKUP($F1185,#REF!,6,0)*I1185/1000)</f>
        <v>0</v>
      </c>
      <c r="O1185" s="21">
        <f>IF(ISERROR(VLOOKUP($F1185,#REF!,6,0)*J1185/1000),0,VLOOKUP($F1185,#REF!,6,0)*J1185/1000)</f>
        <v>0</v>
      </c>
      <c r="P1185" s="21">
        <f>IF(ISERROR(VLOOKUP(F1185,#REF!,6,0)*K1185/1000),0,VLOOKUP(F1185,#REF!,6,0)*K1185/1000)</f>
        <v>0</v>
      </c>
      <c r="Q1185" s="6">
        <f>IF(ISERROR(VLOOKUP(F1185,#REF!,3,0)),0,VLOOKUP(F1185,#REF!,3,0))</f>
        <v>0</v>
      </c>
      <c r="R1185" s="6">
        <f>IF(ISERROR(VLOOKUP(F1185,#REF!,4,0)),0,VLOOKUP(F1185,#REF!,4,0))</f>
        <v>0</v>
      </c>
      <c r="S1185" s="8">
        <f>IF(ISERROR(VLOOKUP(F1185,#REF!,4,0)),0,VLOOKUP(F1185,#REF!,10,0)/60*K1185)</f>
        <v>0</v>
      </c>
      <c r="T1185" s="3"/>
      <c r="U1185" s="3"/>
      <c r="V1185" s="4"/>
    </row>
    <row r="1186" spans="1:22" x14ac:dyDescent="0.3">
      <c r="A1186" s="5">
        <f t="shared" si="55"/>
        <v>0</v>
      </c>
      <c r="B1186" s="6">
        <f t="shared" si="56"/>
        <v>0</v>
      </c>
      <c r="K1186" s="18">
        <f t="shared" si="54"/>
        <v>0</v>
      </c>
      <c r="L1186" s="21">
        <f>IF(ISERROR(VLOOKUP($F1186,#REF!,6,0)*G1186/1000),0,VLOOKUP($F1186,#REF!,6,0)*G1186/1000)</f>
        <v>0</v>
      </c>
      <c r="M1186" s="21">
        <f>IF(ISERROR(VLOOKUP($F1186,#REF!,6,0)*H1186/1000),0,VLOOKUP($F1186,#REF!,6,0)*H1186/1000)</f>
        <v>0</v>
      </c>
      <c r="N1186" s="21">
        <f>IF(ISERROR(VLOOKUP($F1186,#REF!,6,0)*I1186/1000),0,VLOOKUP($F1186,#REF!,6,0)*I1186/1000)</f>
        <v>0</v>
      </c>
      <c r="O1186" s="21">
        <f>IF(ISERROR(VLOOKUP($F1186,#REF!,6,0)*J1186/1000),0,VLOOKUP($F1186,#REF!,6,0)*J1186/1000)</f>
        <v>0</v>
      </c>
      <c r="P1186" s="21">
        <f>IF(ISERROR(VLOOKUP(F1186,#REF!,6,0)*K1186/1000),0,VLOOKUP(F1186,#REF!,6,0)*K1186/1000)</f>
        <v>0</v>
      </c>
      <c r="Q1186" s="6">
        <f>IF(ISERROR(VLOOKUP(F1186,#REF!,3,0)),0,VLOOKUP(F1186,#REF!,3,0))</f>
        <v>0</v>
      </c>
      <c r="R1186" s="6">
        <f>IF(ISERROR(VLOOKUP(F1186,#REF!,4,0)),0,VLOOKUP(F1186,#REF!,4,0))</f>
        <v>0</v>
      </c>
      <c r="S1186" s="8">
        <f>IF(ISERROR(VLOOKUP(F1186,#REF!,4,0)),0,VLOOKUP(F1186,#REF!,10,0)/60*K1186)</f>
        <v>0</v>
      </c>
      <c r="T1186" s="3"/>
      <c r="U1186" s="3"/>
      <c r="V1186" s="4"/>
    </row>
    <row r="1187" spans="1:22" x14ac:dyDescent="0.3">
      <c r="A1187" s="5">
        <f t="shared" si="55"/>
        <v>0</v>
      </c>
      <c r="B1187" s="6">
        <f t="shared" si="56"/>
        <v>0</v>
      </c>
      <c r="K1187" s="18">
        <f t="shared" si="54"/>
        <v>0</v>
      </c>
      <c r="L1187" s="21">
        <f>IF(ISERROR(VLOOKUP($F1187,#REF!,6,0)*G1187/1000),0,VLOOKUP($F1187,#REF!,6,0)*G1187/1000)</f>
        <v>0</v>
      </c>
      <c r="M1187" s="21">
        <f>IF(ISERROR(VLOOKUP($F1187,#REF!,6,0)*H1187/1000),0,VLOOKUP($F1187,#REF!,6,0)*H1187/1000)</f>
        <v>0</v>
      </c>
      <c r="N1187" s="21">
        <f>IF(ISERROR(VLOOKUP($F1187,#REF!,6,0)*I1187/1000),0,VLOOKUP($F1187,#REF!,6,0)*I1187/1000)</f>
        <v>0</v>
      </c>
      <c r="O1187" s="21">
        <f>IF(ISERROR(VLOOKUP($F1187,#REF!,6,0)*J1187/1000),0,VLOOKUP($F1187,#REF!,6,0)*J1187/1000)</f>
        <v>0</v>
      </c>
      <c r="P1187" s="21">
        <f>IF(ISERROR(VLOOKUP(F1187,#REF!,6,0)*K1187/1000),0,VLOOKUP(F1187,#REF!,6,0)*K1187/1000)</f>
        <v>0</v>
      </c>
      <c r="Q1187" s="6">
        <f>IF(ISERROR(VLOOKUP(F1187,#REF!,3,0)),0,VLOOKUP(F1187,#REF!,3,0))</f>
        <v>0</v>
      </c>
      <c r="R1187" s="6">
        <f>IF(ISERROR(VLOOKUP(F1187,#REF!,4,0)),0,VLOOKUP(F1187,#REF!,4,0))</f>
        <v>0</v>
      </c>
      <c r="S1187" s="8">
        <f>IF(ISERROR(VLOOKUP(F1187,#REF!,4,0)),0,VLOOKUP(F1187,#REF!,10,0)/60*K1187)</f>
        <v>0</v>
      </c>
      <c r="T1187" s="3"/>
      <c r="U1187" s="3"/>
      <c r="V1187" s="4"/>
    </row>
    <row r="1188" spans="1:22" x14ac:dyDescent="0.3">
      <c r="A1188" s="5">
        <f t="shared" si="55"/>
        <v>0</v>
      </c>
      <c r="B1188" s="6">
        <f t="shared" si="56"/>
        <v>0</v>
      </c>
      <c r="K1188" s="18">
        <f t="shared" si="54"/>
        <v>0</v>
      </c>
      <c r="L1188" s="21">
        <f>IF(ISERROR(VLOOKUP($F1188,#REF!,6,0)*G1188/1000),0,VLOOKUP($F1188,#REF!,6,0)*G1188/1000)</f>
        <v>0</v>
      </c>
      <c r="M1188" s="21">
        <f>IF(ISERROR(VLOOKUP($F1188,#REF!,6,0)*H1188/1000),0,VLOOKUP($F1188,#REF!,6,0)*H1188/1000)</f>
        <v>0</v>
      </c>
      <c r="N1188" s="21">
        <f>IF(ISERROR(VLOOKUP($F1188,#REF!,6,0)*I1188/1000),0,VLOOKUP($F1188,#REF!,6,0)*I1188/1000)</f>
        <v>0</v>
      </c>
      <c r="O1188" s="21">
        <f>IF(ISERROR(VLOOKUP($F1188,#REF!,6,0)*J1188/1000),0,VLOOKUP($F1188,#REF!,6,0)*J1188/1000)</f>
        <v>0</v>
      </c>
      <c r="P1188" s="21">
        <f>IF(ISERROR(VLOOKUP(F1188,#REF!,6,0)*K1188/1000),0,VLOOKUP(F1188,#REF!,6,0)*K1188/1000)</f>
        <v>0</v>
      </c>
      <c r="Q1188" s="6">
        <f>IF(ISERROR(VLOOKUP(F1188,#REF!,3,0)),0,VLOOKUP(F1188,#REF!,3,0))</f>
        <v>0</v>
      </c>
      <c r="R1188" s="6">
        <f>IF(ISERROR(VLOOKUP(F1188,#REF!,4,0)),0,VLOOKUP(F1188,#REF!,4,0))</f>
        <v>0</v>
      </c>
      <c r="S1188" s="8">
        <f>IF(ISERROR(VLOOKUP(F1188,#REF!,4,0)),0,VLOOKUP(F1188,#REF!,10,0)/60*K1188)</f>
        <v>0</v>
      </c>
      <c r="T1188" s="3"/>
      <c r="U1188" s="3"/>
      <c r="V1188" s="4"/>
    </row>
    <row r="1189" spans="1:22" x14ac:dyDescent="0.3">
      <c r="A1189" s="5">
        <f t="shared" si="55"/>
        <v>0</v>
      </c>
      <c r="B1189" s="6">
        <f t="shared" si="56"/>
        <v>0</v>
      </c>
      <c r="K1189" s="18">
        <f t="shared" si="54"/>
        <v>0</v>
      </c>
      <c r="L1189" s="21">
        <f>IF(ISERROR(VLOOKUP($F1189,#REF!,6,0)*G1189/1000),0,VLOOKUP($F1189,#REF!,6,0)*G1189/1000)</f>
        <v>0</v>
      </c>
      <c r="M1189" s="21">
        <f>IF(ISERROR(VLOOKUP($F1189,#REF!,6,0)*H1189/1000),0,VLOOKUP($F1189,#REF!,6,0)*H1189/1000)</f>
        <v>0</v>
      </c>
      <c r="N1189" s="21">
        <f>IF(ISERROR(VLOOKUP($F1189,#REF!,6,0)*I1189/1000),0,VLOOKUP($F1189,#REF!,6,0)*I1189/1000)</f>
        <v>0</v>
      </c>
      <c r="O1189" s="21">
        <f>IF(ISERROR(VLOOKUP($F1189,#REF!,6,0)*J1189/1000),0,VLOOKUP($F1189,#REF!,6,0)*J1189/1000)</f>
        <v>0</v>
      </c>
      <c r="P1189" s="21">
        <f>IF(ISERROR(VLOOKUP(F1189,#REF!,6,0)*K1189/1000),0,VLOOKUP(F1189,#REF!,6,0)*K1189/1000)</f>
        <v>0</v>
      </c>
      <c r="Q1189" s="6">
        <f>IF(ISERROR(VLOOKUP(F1189,#REF!,3,0)),0,VLOOKUP(F1189,#REF!,3,0))</f>
        <v>0</v>
      </c>
      <c r="R1189" s="6">
        <f>IF(ISERROR(VLOOKUP(F1189,#REF!,4,0)),0,VLOOKUP(F1189,#REF!,4,0))</f>
        <v>0</v>
      </c>
      <c r="S1189" s="8">
        <f>IF(ISERROR(VLOOKUP(F1189,#REF!,4,0)),0,VLOOKUP(F1189,#REF!,10,0)/60*K1189)</f>
        <v>0</v>
      </c>
      <c r="T1189" s="3"/>
      <c r="U1189" s="3"/>
      <c r="V1189" s="4"/>
    </row>
    <row r="1190" spans="1:22" x14ac:dyDescent="0.3">
      <c r="A1190" s="5">
        <f t="shared" si="55"/>
        <v>0</v>
      </c>
      <c r="B1190" s="6">
        <f t="shared" si="56"/>
        <v>0</v>
      </c>
      <c r="K1190" s="18">
        <f t="shared" si="54"/>
        <v>0</v>
      </c>
      <c r="L1190" s="21">
        <f>IF(ISERROR(VLOOKUP($F1190,#REF!,6,0)*G1190/1000),0,VLOOKUP($F1190,#REF!,6,0)*G1190/1000)</f>
        <v>0</v>
      </c>
      <c r="M1190" s="21">
        <f>IF(ISERROR(VLOOKUP($F1190,#REF!,6,0)*H1190/1000),0,VLOOKUP($F1190,#REF!,6,0)*H1190/1000)</f>
        <v>0</v>
      </c>
      <c r="N1190" s="21">
        <f>IF(ISERROR(VLOOKUP($F1190,#REF!,6,0)*I1190/1000),0,VLOOKUP($F1190,#REF!,6,0)*I1190/1000)</f>
        <v>0</v>
      </c>
      <c r="O1190" s="21">
        <f>IF(ISERROR(VLOOKUP($F1190,#REF!,6,0)*J1190/1000),0,VLOOKUP($F1190,#REF!,6,0)*J1190/1000)</f>
        <v>0</v>
      </c>
      <c r="P1190" s="21">
        <f>IF(ISERROR(VLOOKUP(F1190,#REF!,6,0)*K1190/1000),0,VLOOKUP(F1190,#REF!,6,0)*K1190/1000)</f>
        <v>0</v>
      </c>
      <c r="Q1190" s="6">
        <f>IF(ISERROR(VLOOKUP(F1190,#REF!,3,0)),0,VLOOKUP(F1190,#REF!,3,0))</f>
        <v>0</v>
      </c>
      <c r="R1190" s="6">
        <f>IF(ISERROR(VLOOKUP(F1190,#REF!,4,0)),0,VLOOKUP(F1190,#REF!,4,0))</f>
        <v>0</v>
      </c>
      <c r="S1190" s="8">
        <f>IF(ISERROR(VLOOKUP(F1190,#REF!,4,0)),0,VLOOKUP(F1190,#REF!,10,0)/60*K1190)</f>
        <v>0</v>
      </c>
      <c r="T1190" s="3"/>
      <c r="U1190" s="3"/>
      <c r="V1190" s="4"/>
    </row>
    <row r="1191" spans="1:22" x14ac:dyDescent="0.3">
      <c r="A1191" s="5">
        <f t="shared" si="55"/>
        <v>0</v>
      </c>
      <c r="B1191" s="6">
        <f t="shared" si="56"/>
        <v>0</v>
      </c>
      <c r="K1191" s="18">
        <f t="shared" si="54"/>
        <v>0</v>
      </c>
      <c r="L1191" s="21">
        <f>IF(ISERROR(VLOOKUP($F1191,#REF!,6,0)*G1191/1000),0,VLOOKUP($F1191,#REF!,6,0)*G1191/1000)</f>
        <v>0</v>
      </c>
      <c r="M1191" s="21">
        <f>IF(ISERROR(VLOOKUP($F1191,#REF!,6,0)*H1191/1000),0,VLOOKUP($F1191,#REF!,6,0)*H1191/1000)</f>
        <v>0</v>
      </c>
      <c r="N1191" s="21">
        <f>IF(ISERROR(VLOOKUP($F1191,#REF!,6,0)*I1191/1000),0,VLOOKUP($F1191,#REF!,6,0)*I1191/1000)</f>
        <v>0</v>
      </c>
      <c r="O1191" s="21">
        <f>IF(ISERROR(VLOOKUP($F1191,#REF!,6,0)*J1191/1000),0,VLOOKUP($F1191,#REF!,6,0)*J1191/1000)</f>
        <v>0</v>
      </c>
      <c r="P1191" s="21">
        <f>IF(ISERROR(VLOOKUP(F1191,#REF!,6,0)*K1191/1000),0,VLOOKUP(F1191,#REF!,6,0)*K1191/1000)</f>
        <v>0</v>
      </c>
      <c r="Q1191" s="6">
        <f>IF(ISERROR(VLOOKUP(F1191,#REF!,3,0)),0,VLOOKUP(F1191,#REF!,3,0))</f>
        <v>0</v>
      </c>
      <c r="R1191" s="6">
        <f>IF(ISERROR(VLOOKUP(F1191,#REF!,4,0)),0,VLOOKUP(F1191,#REF!,4,0))</f>
        <v>0</v>
      </c>
      <c r="S1191" s="8">
        <f>IF(ISERROR(VLOOKUP(F1191,#REF!,4,0)),0,VLOOKUP(F1191,#REF!,10,0)/60*K1191)</f>
        <v>0</v>
      </c>
      <c r="T1191" s="3"/>
      <c r="U1191" s="3"/>
      <c r="V1191" s="4"/>
    </row>
    <row r="1192" spans="1:22" x14ac:dyDescent="0.3">
      <c r="A1192" s="5">
        <f t="shared" si="55"/>
        <v>0</v>
      </c>
      <c r="B1192" s="6">
        <f t="shared" si="56"/>
        <v>0</v>
      </c>
      <c r="K1192" s="18">
        <f t="shared" si="54"/>
        <v>0</v>
      </c>
      <c r="L1192" s="21">
        <f>IF(ISERROR(VLOOKUP($F1192,#REF!,6,0)*G1192/1000),0,VLOOKUP($F1192,#REF!,6,0)*G1192/1000)</f>
        <v>0</v>
      </c>
      <c r="M1192" s="21">
        <f>IF(ISERROR(VLOOKUP($F1192,#REF!,6,0)*H1192/1000),0,VLOOKUP($F1192,#REF!,6,0)*H1192/1000)</f>
        <v>0</v>
      </c>
      <c r="N1192" s="21">
        <f>IF(ISERROR(VLOOKUP($F1192,#REF!,6,0)*I1192/1000),0,VLOOKUP($F1192,#REF!,6,0)*I1192/1000)</f>
        <v>0</v>
      </c>
      <c r="O1192" s="21">
        <f>IF(ISERROR(VLOOKUP($F1192,#REF!,6,0)*J1192/1000),0,VLOOKUP($F1192,#REF!,6,0)*J1192/1000)</f>
        <v>0</v>
      </c>
      <c r="P1192" s="21">
        <f>IF(ISERROR(VLOOKUP(F1192,#REF!,6,0)*K1192/1000),0,VLOOKUP(F1192,#REF!,6,0)*K1192/1000)</f>
        <v>0</v>
      </c>
      <c r="Q1192" s="6">
        <f>IF(ISERROR(VLOOKUP(F1192,#REF!,3,0)),0,VLOOKUP(F1192,#REF!,3,0))</f>
        <v>0</v>
      </c>
      <c r="R1192" s="6">
        <f>IF(ISERROR(VLOOKUP(F1192,#REF!,4,0)),0,VLOOKUP(F1192,#REF!,4,0))</f>
        <v>0</v>
      </c>
      <c r="S1192" s="8">
        <f>IF(ISERROR(VLOOKUP(F1192,#REF!,4,0)),0,VLOOKUP(F1192,#REF!,10,0)/60*K1192)</f>
        <v>0</v>
      </c>
      <c r="T1192" s="3"/>
      <c r="U1192" s="3"/>
      <c r="V1192" s="4"/>
    </row>
    <row r="1193" spans="1:22" x14ac:dyDescent="0.3">
      <c r="A1193" s="5">
        <f t="shared" si="55"/>
        <v>0</v>
      </c>
      <c r="B1193" s="6">
        <f t="shared" si="56"/>
        <v>0</v>
      </c>
      <c r="K1193" s="18">
        <f t="shared" si="54"/>
        <v>0</v>
      </c>
      <c r="L1193" s="21">
        <f>IF(ISERROR(VLOOKUP($F1193,#REF!,6,0)*G1193/1000),0,VLOOKUP($F1193,#REF!,6,0)*G1193/1000)</f>
        <v>0</v>
      </c>
      <c r="M1193" s="21">
        <f>IF(ISERROR(VLOOKUP($F1193,#REF!,6,0)*H1193/1000),0,VLOOKUP($F1193,#REF!,6,0)*H1193/1000)</f>
        <v>0</v>
      </c>
      <c r="N1193" s="21">
        <f>IF(ISERROR(VLOOKUP($F1193,#REF!,6,0)*I1193/1000),0,VLOOKUP($F1193,#REF!,6,0)*I1193/1000)</f>
        <v>0</v>
      </c>
      <c r="O1193" s="21">
        <f>IF(ISERROR(VLOOKUP($F1193,#REF!,6,0)*J1193/1000),0,VLOOKUP($F1193,#REF!,6,0)*J1193/1000)</f>
        <v>0</v>
      </c>
      <c r="P1193" s="21">
        <f>IF(ISERROR(VLOOKUP(F1193,#REF!,6,0)*K1193/1000),0,VLOOKUP(F1193,#REF!,6,0)*K1193/1000)</f>
        <v>0</v>
      </c>
      <c r="Q1193" s="6">
        <f>IF(ISERROR(VLOOKUP(F1193,#REF!,3,0)),0,VLOOKUP(F1193,#REF!,3,0))</f>
        <v>0</v>
      </c>
      <c r="R1193" s="6">
        <f>IF(ISERROR(VLOOKUP(F1193,#REF!,4,0)),0,VLOOKUP(F1193,#REF!,4,0))</f>
        <v>0</v>
      </c>
      <c r="S1193" s="8">
        <f>IF(ISERROR(VLOOKUP(F1193,#REF!,4,0)),0,VLOOKUP(F1193,#REF!,10,0)/60*K1193)</f>
        <v>0</v>
      </c>
      <c r="T1193" s="3"/>
      <c r="U1193" s="3"/>
      <c r="V1193" s="4"/>
    </row>
    <row r="1194" spans="1:22" x14ac:dyDescent="0.3">
      <c r="A1194" s="5">
        <f t="shared" si="55"/>
        <v>0</v>
      </c>
      <c r="B1194" s="6">
        <f t="shared" si="56"/>
        <v>0</v>
      </c>
      <c r="K1194" s="18">
        <f t="shared" si="54"/>
        <v>0</v>
      </c>
      <c r="L1194" s="21">
        <f>IF(ISERROR(VLOOKUP($F1194,#REF!,6,0)*G1194/1000),0,VLOOKUP($F1194,#REF!,6,0)*G1194/1000)</f>
        <v>0</v>
      </c>
      <c r="M1194" s="21">
        <f>IF(ISERROR(VLOOKUP($F1194,#REF!,6,0)*H1194/1000),0,VLOOKUP($F1194,#REF!,6,0)*H1194/1000)</f>
        <v>0</v>
      </c>
      <c r="N1194" s="21">
        <f>IF(ISERROR(VLOOKUP($F1194,#REF!,6,0)*I1194/1000),0,VLOOKUP($F1194,#REF!,6,0)*I1194/1000)</f>
        <v>0</v>
      </c>
      <c r="O1194" s="21">
        <f>IF(ISERROR(VLOOKUP($F1194,#REF!,6,0)*J1194/1000),0,VLOOKUP($F1194,#REF!,6,0)*J1194/1000)</f>
        <v>0</v>
      </c>
      <c r="P1194" s="21">
        <f>IF(ISERROR(VLOOKUP(F1194,#REF!,6,0)*K1194/1000),0,VLOOKUP(F1194,#REF!,6,0)*K1194/1000)</f>
        <v>0</v>
      </c>
      <c r="Q1194" s="6">
        <f>IF(ISERROR(VLOOKUP(F1194,#REF!,3,0)),0,VLOOKUP(F1194,#REF!,3,0))</f>
        <v>0</v>
      </c>
      <c r="R1194" s="6">
        <f>IF(ISERROR(VLOOKUP(F1194,#REF!,4,0)),0,VLOOKUP(F1194,#REF!,4,0))</f>
        <v>0</v>
      </c>
      <c r="S1194" s="8">
        <f>IF(ISERROR(VLOOKUP(F1194,#REF!,4,0)),0,VLOOKUP(F1194,#REF!,10,0)/60*K1194)</f>
        <v>0</v>
      </c>
      <c r="T1194" s="3"/>
      <c r="U1194" s="3"/>
      <c r="V1194" s="4"/>
    </row>
    <row r="1195" spans="1:22" x14ac:dyDescent="0.3">
      <c r="A1195" s="5">
        <f t="shared" si="55"/>
        <v>0</v>
      </c>
      <c r="B1195" s="6">
        <f t="shared" si="56"/>
        <v>0</v>
      </c>
      <c r="K1195" s="18">
        <f t="shared" si="54"/>
        <v>0</v>
      </c>
      <c r="L1195" s="21">
        <f>IF(ISERROR(VLOOKUP($F1195,#REF!,6,0)*G1195/1000),0,VLOOKUP($F1195,#REF!,6,0)*G1195/1000)</f>
        <v>0</v>
      </c>
      <c r="M1195" s="21">
        <f>IF(ISERROR(VLOOKUP($F1195,#REF!,6,0)*H1195/1000),0,VLOOKUP($F1195,#REF!,6,0)*H1195/1000)</f>
        <v>0</v>
      </c>
      <c r="N1195" s="21">
        <f>IF(ISERROR(VLOOKUP($F1195,#REF!,6,0)*I1195/1000),0,VLOOKUP($F1195,#REF!,6,0)*I1195/1000)</f>
        <v>0</v>
      </c>
      <c r="O1195" s="21">
        <f>IF(ISERROR(VLOOKUP($F1195,#REF!,6,0)*J1195/1000),0,VLOOKUP($F1195,#REF!,6,0)*J1195/1000)</f>
        <v>0</v>
      </c>
      <c r="P1195" s="21">
        <f>IF(ISERROR(VLOOKUP(F1195,#REF!,6,0)*K1195/1000),0,VLOOKUP(F1195,#REF!,6,0)*K1195/1000)</f>
        <v>0</v>
      </c>
      <c r="Q1195" s="6">
        <f>IF(ISERROR(VLOOKUP(F1195,#REF!,3,0)),0,VLOOKUP(F1195,#REF!,3,0))</f>
        <v>0</v>
      </c>
      <c r="R1195" s="6">
        <f>IF(ISERROR(VLOOKUP(F1195,#REF!,4,0)),0,VLOOKUP(F1195,#REF!,4,0))</f>
        <v>0</v>
      </c>
      <c r="S1195" s="8">
        <f>IF(ISERROR(VLOOKUP(F1195,#REF!,4,0)),0,VLOOKUP(F1195,#REF!,10,0)/60*K1195)</f>
        <v>0</v>
      </c>
      <c r="T1195" s="3"/>
      <c r="U1195" s="3"/>
      <c r="V1195" s="4"/>
    </row>
    <row r="1196" spans="1:22" x14ac:dyDescent="0.3">
      <c r="A1196" s="5">
        <f t="shared" si="55"/>
        <v>0</v>
      </c>
      <c r="B1196" s="6">
        <f t="shared" si="56"/>
        <v>0</v>
      </c>
      <c r="K1196" s="18">
        <f t="shared" si="54"/>
        <v>0</v>
      </c>
      <c r="L1196" s="21">
        <f>IF(ISERROR(VLOOKUP($F1196,#REF!,6,0)*G1196/1000),0,VLOOKUP($F1196,#REF!,6,0)*G1196/1000)</f>
        <v>0</v>
      </c>
      <c r="M1196" s="21">
        <f>IF(ISERROR(VLOOKUP($F1196,#REF!,6,0)*H1196/1000),0,VLOOKUP($F1196,#REF!,6,0)*H1196/1000)</f>
        <v>0</v>
      </c>
      <c r="N1196" s="21">
        <f>IF(ISERROR(VLOOKUP($F1196,#REF!,6,0)*I1196/1000),0,VLOOKUP($F1196,#REF!,6,0)*I1196/1000)</f>
        <v>0</v>
      </c>
      <c r="O1196" s="21">
        <f>IF(ISERROR(VLOOKUP($F1196,#REF!,6,0)*J1196/1000),0,VLOOKUP($F1196,#REF!,6,0)*J1196/1000)</f>
        <v>0</v>
      </c>
      <c r="P1196" s="21">
        <f>IF(ISERROR(VLOOKUP(F1196,#REF!,6,0)*K1196/1000),0,VLOOKUP(F1196,#REF!,6,0)*K1196/1000)</f>
        <v>0</v>
      </c>
      <c r="Q1196" s="6">
        <f>IF(ISERROR(VLOOKUP(F1196,#REF!,3,0)),0,VLOOKUP(F1196,#REF!,3,0))</f>
        <v>0</v>
      </c>
      <c r="R1196" s="6">
        <f>IF(ISERROR(VLOOKUP(F1196,#REF!,4,0)),0,VLOOKUP(F1196,#REF!,4,0))</f>
        <v>0</v>
      </c>
      <c r="S1196" s="8">
        <f>IF(ISERROR(VLOOKUP(F1196,#REF!,4,0)),0,VLOOKUP(F1196,#REF!,10,0)/60*K1196)</f>
        <v>0</v>
      </c>
      <c r="T1196" s="3"/>
      <c r="U1196" s="3"/>
      <c r="V1196" s="4"/>
    </row>
    <row r="1197" spans="1:22" x14ac:dyDescent="0.3">
      <c r="A1197" s="5">
        <f t="shared" si="55"/>
        <v>0</v>
      </c>
      <c r="B1197" s="6">
        <f t="shared" si="56"/>
        <v>0</v>
      </c>
      <c r="K1197" s="18">
        <f t="shared" si="54"/>
        <v>0</v>
      </c>
      <c r="L1197" s="21">
        <f>IF(ISERROR(VLOOKUP($F1197,#REF!,6,0)*G1197/1000),0,VLOOKUP($F1197,#REF!,6,0)*G1197/1000)</f>
        <v>0</v>
      </c>
      <c r="M1197" s="21">
        <f>IF(ISERROR(VLOOKUP($F1197,#REF!,6,0)*H1197/1000),0,VLOOKUP($F1197,#REF!,6,0)*H1197/1000)</f>
        <v>0</v>
      </c>
      <c r="N1197" s="21">
        <f>IF(ISERROR(VLOOKUP($F1197,#REF!,6,0)*I1197/1000),0,VLOOKUP($F1197,#REF!,6,0)*I1197/1000)</f>
        <v>0</v>
      </c>
      <c r="O1197" s="21">
        <f>IF(ISERROR(VLOOKUP($F1197,#REF!,6,0)*J1197/1000),0,VLOOKUP($F1197,#REF!,6,0)*J1197/1000)</f>
        <v>0</v>
      </c>
      <c r="P1197" s="21">
        <f>IF(ISERROR(VLOOKUP(F1197,#REF!,6,0)*K1197/1000),0,VLOOKUP(F1197,#REF!,6,0)*K1197/1000)</f>
        <v>0</v>
      </c>
      <c r="Q1197" s="6">
        <f>IF(ISERROR(VLOOKUP(F1197,#REF!,3,0)),0,VLOOKUP(F1197,#REF!,3,0))</f>
        <v>0</v>
      </c>
      <c r="R1197" s="6">
        <f>IF(ISERROR(VLOOKUP(F1197,#REF!,4,0)),0,VLOOKUP(F1197,#REF!,4,0))</f>
        <v>0</v>
      </c>
      <c r="S1197" s="8">
        <f>IF(ISERROR(VLOOKUP(F1197,#REF!,4,0)),0,VLOOKUP(F1197,#REF!,10,0)/60*K1197)</f>
        <v>0</v>
      </c>
      <c r="T1197" s="3"/>
      <c r="U1197" s="3"/>
      <c r="V1197" s="4"/>
    </row>
    <row r="1198" spans="1:22" x14ac:dyDescent="0.3">
      <c r="A1198" s="5">
        <f t="shared" si="55"/>
        <v>0</v>
      </c>
      <c r="B1198" s="6">
        <f t="shared" si="56"/>
        <v>0</v>
      </c>
      <c r="K1198" s="18">
        <f t="shared" si="54"/>
        <v>0</v>
      </c>
      <c r="L1198" s="21">
        <f>IF(ISERROR(VLOOKUP($F1198,#REF!,6,0)*G1198/1000),0,VLOOKUP($F1198,#REF!,6,0)*G1198/1000)</f>
        <v>0</v>
      </c>
      <c r="M1198" s="21">
        <f>IF(ISERROR(VLOOKUP($F1198,#REF!,6,0)*H1198/1000),0,VLOOKUP($F1198,#REF!,6,0)*H1198/1000)</f>
        <v>0</v>
      </c>
      <c r="N1198" s="21">
        <f>IF(ISERROR(VLOOKUP($F1198,#REF!,6,0)*I1198/1000),0,VLOOKUP($F1198,#REF!,6,0)*I1198/1000)</f>
        <v>0</v>
      </c>
      <c r="O1198" s="21">
        <f>IF(ISERROR(VLOOKUP($F1198,#REF!,6,0)*J1198/1000),0,VLOOKUP($F1198,#REF!,6,0)*J1198/1000)</f>
        <v>0</v>
      </c>
      <c r="P1198" s="21">
        <f>IF(ISERROR(VLOOKUP(F1198,#REF!,6,0)*K1198/1000),0,VLOOKUP(F1198,#REF!,6,0)*K1198/1000)</f>
        <v>0</v>
      </c>
      <c r="Q1198" s="6">
        <f>IF(ISERROR(VLOOKUP(F1198,#REF!,3,0)),0,VLOOKUP(F1198,#REF!,3,0))</f>
        <v>0</v>
      </c>
      <c r="R1198" s="6">
        <f>IF(ISERROR(VLOOKUP(F1198,#REF!,4,0)),0,VLOOKUP(F1198,#REF!,4,0))</f>
        <v>0</v>
      </c>
      <c r="S1198" s="8">
        <f>IF(ISERROR(VLOOKUP(F1198,#REF!,4,0)),0,VLOOKUP(F1198,#REF!,10,0)/60*K1198)</f>
        <v>0</v>
      </c>
      <c r="T1198" s="3"/>
      <c r="U1198" s="3"/>
      <c r="V1198" s="4"/>
    </row>
    <row r="1199" spans="1:22" x14ac:dyDescent="0.3">
      <c r="A1199" s="5">
        <f t="shared" si="55"/>
        <v>0</v>
      </c>
      <c r="B1199" s="6">
        <f t="shared" si="56"/>
        <v>0</v>
      </c>
      <c r="K1199" s="18">
        <f t="shared" si="54"/>
        <v>0</v>
      </c>
      <c r="L1199" s="21">
        <f>IF(ISERROR(VLOOKUP($F1199,#REF!,6,0)*G1199/1000),0,VLOOKUP($F1199,#REF!,6,0)*G1199/1000)</f>
        <v>0</v>
      </c>
      <c r="M1199" s="21">
        <f>IF(ISERROR(VLOOKUP($F1199,#REF!,6,0)*H1199/1000),0,VLOOKUP($F1199,#REF!,6,0)*H1199/1000)</f>
        <v>0</v>
      </c>
      <c r="N1199" s="21">
        <f>IF(ISERROR(VLOOKUP($F1199,#REF!,6,0)*I1199/1000),0,VLOOKUP($F1199,#REF!,6,0)*I1199/1000)</f>
        <v>0</v>
      </c>
      <c r="O1199" s="21">
        <f>IF(ISERROR(VLOOKUP($F1199,#REF!,6,0)*J1199/1000),0,VLOOKUP($F1199,#REF!,6,0)*J1199/1000)</f>
        <v>0</v>
      </c>
      <c r="P1199" s="21">
        <f>IF(ISERROR(VLOOKUP(F1199,#REF!,6,0)*K1199/1000),0,VLOOKUP(F1199,#REF!,6,0)*K1199/1000)</f>
        <v>0</v>
      </c>
      <c r="Q1199" s="6">
        <f>IF(ISERROR(VLOOKUP(F1199,#REF!,3,0)),0,VLOOKUP(F1199,#REF!,3,0))</f>
        <v>0</v>
      </c>
      <c r="R1199" s="6">
        <f>IF(ISERROR(VLOOKUP(F1199,#REF!,4,0)),0,VLOOKUP(F1199,#REF!,4,0))</f>
        <v>0</v>
      </c>
      <c r="S1199" s="8">
        <f>IF(ISERROR(VLOOKUP(F1199,#REF!,4,0)),0,VLOOKUP(F1199,#REF!,10,0)/60*K1199)</f>
        <v>0</v>
      </c>
      <c r="T1199" s="3"/>
      <c r="U1199" s="3"/>
      <c r="V1199" s="4"/>
    </row>
    <row r="1200" spans="1:22" x14ac:dyDescent="0.3">
      <c r="A1200" s="5">
        <f t="shared" si="55"/>
        <v>0</v>
      </c>
      <c r="B1200" s="6">
        <f t="shared" si="56"/>
        <v>0</v>
      </c>
      <c r="K1200" s="18">
        <f t="shared" si="54"/>
        <v>0</v>
      </c>
      <c r="L1200" s="21">
        <f>IF(ISERROR(VLOOKUP($F1200,#REF!,6,0)*G1200/1000),0,VLOOKUP($F1200,#REF!,6,0)*G1200/1000)</f>
        <v>0</v>
      </c>
      <c r="M1200" s="21">
        <f>IF(ISERROR(VLOOKUP($F1200,#REF!,6,0)*H1200/1000),0,VLOOKUP($F1200,#REF!,6,0)*H1200/1000)</f>
        <v>0</v>
      </c>
      <c r="N1200" s="21">
        <f>IF(ISERROR(VLOOKUP($F1200,#REF!,6,0)*I1200/1000),0,VLOOKUP($F1200,#REF!,6,0)*I1200/1000)</f>
        <v>0</v>
      </c>
      <c r="O1200" s="21">
        <f>IF(ISERROR(VLOOKUP($F1200,#REF!,6,0)*J1200/1000),0,VLOOKUP($F1200,#REF!,6,0)*J1200/1000)</f>
        <v>0</v>
      </c>
      <c r="P1200" s="21">
        <f>IF(ISERROR(VLOOKUP(F1200,#REF!,6,0)*K1200/1000),0,VLOOKUP(F1200,#REF!,6,0)*K1200/1000)</f>
        <v>0</v>
      </c>
      <c r="Q1200" s="6">
        <f>IF(ISERROR(VLOOKUP(F1200,#REF!,3,0)),0,VLOOKUP(F1200,#REF!,3,0))</f>
        <v>0</v>
      </c>
      <c r="R1200" s="6">
        <f>IF(ISERROR(VLOOKUP(F1200,#REF!,4,0)),0,VLOOKUP(F1200,#REF!,4,0))</f>
        <v>0</v>
      </c>
      <c r="S1200" s="8">
        <f>IF(ISERROR(VLOOKUP(F1200,#REF!,4,0)),0,VLOOKUP(F1200,#REF!,10,0)/60*K1200)</f>
        <v>0</v>
      </c>
      <c r="T1200" s="3"/>
      <c r="U1200" s="3"/>
      <c r="V1200" s="4"/>
    </row>
    <row r="1201" spans="1:22" x14ac:dyDescent="0.3">
      <c r="A1201" s="5">
        <f t="shared" si="55"/>
        <v>0</v>
      </c>
      <c r="B1201" s="6">
        <f t="shared" si="56"/>
        <v>0</v>
      </c>
      <c r="K1201" s="18">
        <f t="shared" si="54"/>
        <v>0</v>
      </c>
      <c r="L1201" s="21">
        <f>IF(ISERROR(VLOOKUP($F1201,#REF!,6,0)*G1201/1000),0,VLOOKUP($F1201,#REF!,6,0)*G1201/1000)</f>
        <v>0</v>
      </c>
      <c r="M1201" s="21">
        <f>IF(ISERROR(VLOOKUP($F1201,#REF!,6,0)*H1201/1000),0,VLOOKUP($F1201,#REF!,6,0)*H1201/1000)</f>
        <v>0</v>
      </c>
      <c r="N1201" s="21">
        <f>IF(ISERROR(VLOOKUP($F1201,#REF!,6,0)*I1201/1000),0,VLOOKUP($F1201,#REF!,6,0)*I1201/1000)</f>
        <v>0</v>
      </c>
      <c r="O1201" s="21">
        <f>IF(ISERROR(VLOOKUP($F1201,#REF!,6,0)*J1201/1000),0,VLOOKUP($F1201,#REF!,6,0)*J1201/1000)</f>
        <v>0</v>
      </c>
      <c r="P1201" s="21">
        <f>IF(ISERROR(VLOOKUP(F1201,#REF!,6,0)*K1201/1000),0,VLOOKUP(F1201,#REF!,6,0)*K1201/1000)</f>
        <v>0</v>
      </c>
      <c r="Q1201" s="6">
        <f>IF(ISERROR(VLOOKUP(F1201,#REF!,3,0)),0,VLOOKUP(F1201,#REF!,3,0))</f>
        <v>0</v>
      </c>
      <c r="R1201" s="6">
        <f>IF(ISERROR(VLOOKUP(F1201,#REF!,4,0)),0,VLOOKUP(F1201,#REF!,4,0))</f>
        <v>0</v>
      </c>
      <c r="S1201" s="8">
        <f>IF(ISERROR(VLOOKUP(F1201,#REF!,4,0)),0,VLOOKUP(F1201,#REF!,10,0)/60*K1201)</f>
        <v>0</v>
      </c>
      <c r="T1201" s="3"/>
      <c r="U1201" s="3"/>
      <c r="V1201" s="4"/>
    </row>
    <row r="1202" spans="1:22" x14ac:dyDescent="0.3">
      <c r="A1202" s="5">
        <f t="shared" si="55"/>
        <v>0</v>
      </c>
      <c r="B1202" s="6">
        <f t="shared" si="56"/>
        <v>0</v>
      </c>
      <c r="K1202" s="18">
        <f t="shared" si="54"/>
        <v>0</v>
      </c>
      <c r="L1202" s="21">
        <f>IF(ISERROR(VLOOKUP($F1202,#REF!,6,0)*G1202/1000),0,VLOOKUP($F1202,#REF!,6,0)*G1202/1000)</f>
        <v>0</v>
      </c>
      <c r="M1202" s="21">
        <f>IF(ISERROR(VLOOKUP($F1202,#REF!,6,0)*H1202/1000),0,VLOOKUP($F1202,#REF!,6,0)*H1202/1000)</f>
        <v>0</v>
      </c>
      <c r="N1202" s="21">
        <f>IF(ISERROR(VLOOKUP($F1202,#REF!,6,0)*I1202/1000),0,VLOOKUP($F1202,#REF!,6,0)*I1202/1000)</f>
        <v>0</v>
      </c>
      <c r="O1202" s="21">
        <f>IF(ISERROR(VLOOKUP($F1202,#REF!,6,0)*J1202/1000),0,VLOOKUP($F1202,#REF!,6,0)*J1202/1000)</f>
        <v>0</v>
      </c>
      <c r="P1202" s="21">
        <f>IF(ISERROR(VLOOKUP(F1202,#REF!,6,0)*K1202/1000),0,VLOOKUP(F1202,#REF!,6,0)*K1202/1000)</f>
        <v>0</v>
      </c>
      <c r="Q1202" s="6">
        <f>IF(ISERROR(VLOOKUP(F1202,#REF!,3,0)),0,VLOOKUP(F1202,#REF!,3,0))</f>
        <v>0</v>
      </c>
      <c r="R1202" s="6">
        <f>IF(ISERROR(VLOOKUP(F1202,#REF!,4,0)),0,VLOOKUP(F1202,#REF!,4,0))</f>
        <v>0</v>
      </c>
      <c r="S1202" s="8">
        <f>IF(ISERROR(VLOOKUP(F1202,#REF!,4,0)),0,VLOOKUP(F1202,#REF!,10,0)/60*K1202)</f>
        <v>0</v>
      </c>
      <c r="T1202" s="3"/>
      <c r="U1202" s="3"/>
      <c r="V1202" s="4"/>
    </row>
    <row r="1203" spans="1:22" x14ac:dyDescent="0.3">
      <c r="A1203" s="5">
        <f t="shared" si="55"/>
        <v>0</v>
      </c>
      <c r="B1203" s="6">
        <f t="shared" si="56"/>
        <v>0</v>
      </c>
      <c r="K1203" s="18">
        <f t="shared" si="54"/>
        <v>0</v>
      </c>
      <c r="L1203" s="21">
        <f>IF(ISERROR(VLOOKUP($F1203,#REF!,6,0)*G1203/1000),0,VLOOKUP($F1203,#REF!,6,0)*G1203/1000)</f>
        <v>0</v>
      </c>
      <c r="M1203" s="21">
        <f>IF(ISERROR(VLOOKUP($F1203,#REF!,6,0)*H1203/1000),0,VLOOKUP($F1203,#REF!,6,0)*H1203/1000)</f>
        <v>0</v>
      </c>
      <c r="N1203" s="21">
        <f>IF(ISERROR(VLOOKUP($F1203,#REF!,6,0)*I1203/1000),0,VLOOKUP($F1203,#REF!,6,0)*I1203/1000)</f>
        <v>0</v>
      </c>
      <c r="O1203" s="21">
        <f>IF(ISERROR(VLOOKUP($F1203,#REF!,6,0)*J1203/1000),0,VLOOKUP($F1203,#REF!,6,0)*J1203/1000)</f>
        <v>0</v>
      </c>
      <c r="P1203" s="21">
        <f>IF(ISERROR(VLOOKUP(F1203,#REF!,6,0)*K1203/1000),0,VLOOKUP(F1203,#REF!,6,0)*K1203/1000)</f>
        <v>0</v>
      </c>
      <c r="Q1203" s="6">
        <f>IF(ISERROR(VLOOKUP(F1203,#REF!,3,0)),0,VLOOKUP(F1203,#REF!,3,0))</f>
        <v>0</v>
      </c>
      <c r="R1203" s="6">
        <f>IF(ISERROR(VLOOKUP(F1203,#REF!,4,0)),0,VLOOKUP(F1203,#REF!,4,0))</f>
        <v>0</v>
      </c>
      <c r="S1203" s="8">
        <f>IF(ISERROR(VLOOKUP(F1203,#REF!,4,0)),0,VLOOKUP(F1203,#REF!,10,0)/60*K1203)</f>
        <v>0</v>
      </c>
      <c r="T1203" s="3"/>
      <c r="U1203" s="3"/>
      <c r="V1203" s="4"/>
    </row>
    <row r="1204" spans="1:22" x14ac:dyDescent="0.3">
      <c r="A1204" s="5">
        <f t="shared" si="55"/>
        <v>0</v>
      </c>
      <c r="B1204" s="6">
        <f t="shared" si="56"/>
        <v>0</v>
      </c>
      <c r="K1204" s="18">
        <f t="shared" si="54"/>
        <v>0</v>
      </c>
      <c r="L1204" s="21">
        <f>IF(ISERROR(VLOOKUP($F1204,#REF!,6,0)*G1204/1000),0,VLOOKUP($F1204,#REF!,6,0)*G1204/1000)</f>
        <v>0</v>
      </c>
      <c r="M1204" s="21">
        <f>IF(ISERROR(VLOOKUP($F1204,#REF!,6,0)*H1204/1000),0,VLOOKUP($F1204,#REF!,6,0)*H1204/1000)</f>
        <v>0</v>
      </c>
      <c r="N1204" s="21">
        <f>IF(ISERROR(VLOOKUP($F1204,#REF!,6,0)*I1204/1000),0,VLOOKUP($F1204,#REF!,6,0)*I1204/1000)</f>
        <v>0</v>
      </c>
      <c r="O1204" s="21">
        <f>IF(ISERROR(VLOOKUP($F1204,#REF!,6,0)*J1204/1000),0,VLOOKUP($F1204,#REF!,6,0)*J1204/1000)</f>
        <v>0</v>
      </c>
      <c r="P1204" s="21">
        <f>IF(ISERROR(VLOOKUP(F1204,#REF!,6,0)*K1204/1000),0,VLOOKUP(F1204,#REF!,6,0)*K1204/1000)</f>
        <v>0</v>
      </c>
      <c r="Q1204" s="6">
        <f>IF(ISERROR(VLOOKUP(F1204,#REF!,3,0)),0,VLOOKUP(F1204,#REF!,3,0))</f>
        <v>0</v>
      </c>
      <c r="R1204" s="6">
        <f>IF(ISERROR(VLOOKUP(F1204,#REF!,4,0)),0,VLOOKUP(F1204,#REF!,4,0))</f>
        <v>0</v>
      </c>
      <c r="S1204" s="8">
        <f>IF(ISERROR(VLOOKUP(F1204,#REF!,4,0)),0,VLOOKUP(F1204,#REF!,10,0)/60*K1204)</f>
        <v>0</v>
      </c>
      <c r="T1204" s="3"/>
      <c r="U1204" s="3"/>
      <c r="V1204" s="4"/>
    </row>
    <row r="1205" spans="1:22" x14ac:dyDescent="0.3">
      <c r="A1205" s="5">
        <f t="shared" si="55"/>
        <v>0</v>
      </c>
      <c r="B1205" s="6">
        <f t="shared" si="56"/>
        <v>0</v>
      </c>
      <c r="K1205" s="18">
        <f t="shared" si="54"/>
        <v>0</v>
      </c>
      <c r="L1205" s="21">
        <f>IF(ISERROR(VLOOKUP($F1205,#REF!,6,0)*G1205/1000),0,VLOOKUP($F1205,#REF!,6,0)*G1205/1000)</f>
        <v>0</v>
      </c>
      <c r="M1205" s="21">
        <f>IF(ISERROR(VLOOKUP($F1205,#REF!,6,0)*H1205/1000),0,VLOOKUP($F1205,#REF!,6,0)*H1205/1000)</f>
        <v>0</v>
      </c>
      <c r="N1205" s="21">
        <f>IF(ISERROR(VLOOKUP($F1205,#REF!,6,0)*I1205/1000),0,VLOOKUP($F1205,#REF!,6,0)*I1205/1000)</f>
        <v>0</v>
      </c>
      <c r="O1205" s="21">
        <f>IF(ISERROR(VLOOKUP($F1205,#REF!,6,0)*J1205/1000),0,VLOOKUP($F1205,#REF!,6,0)*J1205/1000)</f>
        <v>0</v>
      </c>
      <c r="P1205" s="21">
        <f>IF(ISERROR(VLOOKUP(F1205,#REF!,6,0)*K1205/1000),0,VLOOKUP(F1205,#REF!,6,0)*K1205/1000)</f>
        <v>0</v>
      </c>
      <c r="Q1205" s="6">
        <f>IF(ISERROR(VLOOKUP(F1205,#REF!,3,0)),0,VLOOKUP(F1205,#REF!,3,0))</f>
        <v>0</v>
      </c>
      <c r="R1205" s="6">
        <f>IF(ISERROR(VLOOKUP(F1205,#REF!,4,0)),0,VLOOKUP(F1205,#REF!,4,0))</f>
        <v>0</v>
      </c>
      <c r="S1205" s="8">
        <f>IF(ISERROR(VLOOKUP(F1205,#REF!,4,0)),0,VLOOKUP(F1205,#REF!,10,0)/60*K1205)</f>
        <v>0</v>
      </c>
      <c r="T1205" s="3"/>
      <c r="U1205" s="3"/>
      <c r="V1205" s="4"/>
    </row>
    <row r="1206" spans="1:22" x14ac:dyDescent="0.3">
      <c r="A1206" s="5">
        <f t="shared" si="55"/>
        <v>0</v>
      </c>
      <c r="B1206" s="6">
        <f t="shared" si="56"/>
        <v>0</v>
      </c>
      <c r="K1206" s="18">
        <f t="shared" si="54"/>
        <v>0</v>
      </c>
      <c r="L1206" s="21">
        <f>IF(ISERROR(VLOOKUP($F1206,#REF!,6,0)*G1206/1000),0,VLOOKUP($F1206,#REF!,6,0)*G1206/1000)</f>
        <v>0</v>
      </c>
      <c r="M1206" s="21">
        <f>IF(ISERROR(VLOOKUP($F1206,#REF!,6,0)*H1206/1000),0,VLOOKUP($F1206,#REF!,6,0)*H1206/1000)</f>
        <v>0</v>
      </c>
      <c r="N1206" s="21">
        <f>IF(ISERROR(VLOOKUP($F1206,#REF!,6,0)*I1206/1000),0,VLOOKUP($F1206,#REF!,6,0)*I1206/1000)</f>
        <v>0</v>
      </c>
      <c r="O1206" s="21">
        <f>IF(ISERROR(VLOOKUP($F1206,#REF!,6,0)*J1206/1000),0,VLOOKUP($F1206,#REF!,6,0)*J1206/1000)</f>
        <v>0</v>
      </c>
      <c r="P1206" s="21">
        <f>IF(ISERROR(VLOOKUP(F1206,#REF!,6,0)*K1206/1000),0,VLOOKUP(F1206,#REF!,6,0)*K1206/1000)</f>
        <v>0</v>
      </c>
      <c r="Q1206" s="6">
        <f>IF(ISERROR(VLOOKUP(F1206,#REF!,3,0)),0,VLOOKUP(F1206,#REF!,3,0))</f>
        <v>0</v>
      </c>
      <c r="R1206" s="6">
        <f>IF(ISERROR(VLOOKUP(F1206,#REF!,4,0)),0,VLOOKUP(F1206,#REF!,4,0))</f>
        <v>0</v>
      </c>
      <c r="S1206" s="8">
        <f>IF(ISERROR(VLOOKUP(F1206,#REF!,4,0)),0,VLOOKUP(F1206,#REF!,10,0)/60*K1206)</f>
        <v>0</v>
      </c>
      <c r="T1206" s="3"/>
      <c r="U1206" s="3"/>
      <c r="V1206" s="4"/>
    </row>
    <row r="1207" spans="1:22" x14ac:dyDescent="0.3">
      <c r="A1207" s="5">
        <f t="shared" si="55"/>
        <v>0</v>
      </c>
      <c r="B1207" s="6">
        <f t="shared" si="56"/>
        <v>0</v>
      </c>
      <c r="K1207" s="18">
        <f t="shared" si="54"/>
        <v>0</v>
      </c>
      <c r="L1207" s="21">
        <f>IF(ISERROR(VLOOKUP($F1207,#REF!,6,0)*G1207/1000),0,VLOOKUP($F1207,#REF!,6,0)*G1207/1000)</f>
        <v>0</v>
      </c>
      <c r="M1207" s="21">
        <f>IF(ISERROR(VLOOKUP($F1207,#REF!,6,0)*H1207/1000),0,VLOOKUP($F1207,#REF!,6,0)*H1207/1000)</f>
        <v>0</v>
      </c>
      <c r="N1207" s="21">
        <f>IF(ISERROR(VLOOKUP($F1207,#REF!,6,0)*I1207/1000),0,VLOOKUP($F1207,#REF!,6,0)*I1207/1000)</f>
        <v>0</v>
      </c>
      <c r="O1207" s="21">
        <f>IF(ISERROR(VLOOKUP($F1207,#REF!,6,0)*J1207/1000),0,VLOOKUP($F1207,#REF!,6,0)*J1207/1000)</f>
        <v>0</v>
      </c>
      <c r="P1207" s="21">
        <f>IF(ISERROR(VLOOKUP(F1207,#REF!,6,0)*K1207/1000),0,VLOOKUP(F1207,#REF!,6,0)*K1207/1000)</f>
        <v>0</v>
      </c>
      <c r="Q1207" s="6">
        <f>IF(ISERROR(VLOOKUP(F1207,#REF!,3,0)),0,VLOOKUP(F1207,#REF!,3,0))</f>
        <v>0</v>
      </c>
      <c r="R1207" s="6">
        <f>IF(ISERROR(VLOOKUP(F1207,#REF!,4,0)),0,VLOOKUP(F1207,#REF!,4,0))</f>
        <v>0</v>
      </c>
      <c r="S1207" s="8">
        <f>IF(ISERROR(VLOOKUP(F1207,#REF!,4,0)),0,VLOOKUP(F1207,#REF!,10,0)/60*K1207)</f>
        <v>0</v>
      </c>
      <c r="T1207" s="3"/>
      <c r="U1207" s="3"/>
      <c r="V1207" s="4"/>
    </row>
    <row r="1208" spans="1:22" x14ac:dyDescent="0.3">
      <c r="A1208" s="5">
        <f t="shared" si="55"/>
        <v>0</v>
      </c>
      <c r="B1208" s="6">
        <f t="shared" si="56"/>
        <v>0</v>
      </c>
      <c r="K1208" s="18">
        <f t="shared" si="54"/>
        <v>0</v>
      </c>
      <c r="L1208" s="21">
        <f>IF(ISERROR(VLOOKUP($F1208,#REF!,6,0)*G1208/1000),0,VLOOKUP($F1208,#REF!,6,0)*G1208/1000)</f>
        <v>0</v>
      </c>
      <c r="M1208" s="21">
        <f>IF(ISERROR(VLOOKUP($F1208,#REF!,6,0)*H1208/1000),0,VLOOKUP($F1208,#REF!,6,0)*H1208/1000)</f>
        <v>0</v>
      </c>
      <c r="N1208" s="21">
        <f>IF(ISERROR(VLOOKUP($F1208,#REF!,6,0)*I1208/1000),0,VLOOKUP($F1208,#REF!,6,0)*I1208/1000)</f>
        <v>0</v>
      </c>
      <c r="O1208" s="21">
        <f>IF(ISERROR(VLOOKUP($F1208,#REF!,6,0)*J1208/1000),0,VLOOKUP($F1208,#REF!,6,0)*J1208/1000)</f>
        <v>0</v>
      </c>
      <c r="P1208" s="21">
        <f>IF(ISERROR(VLOOKUP(F1208,#REF!,6,0)*K1208/1000),0,VLOOKUP(F1208,#REF!,6,0)*K1208/1000)</f>
        <v>0</v>
      </c>
      <c r="Q1208" s="6">
        <f>IF(ISERROR(VLOOKUP(F1208,#REF!,3,0)),0,VLOOKUP(F1208,#REF!,3,0))</f>
        <v>0</v>
      </c>
      <c r="R1208" s="6">
        <f>IF(ISERROR(VLOOKUP(F1208,#REF!,4,0)),0,VLOOKUP(F1208,#REF!,4,0))</f>
        <v>0</v>
      </c>
      <c r="S1208" s="8">
        <f>IF(ISERROR(VLOOKUP(F1208,#REF!,4,0)),0,VLOOKUP(F1208,#REF!,10,0)/60*K1208)</f>
        <v>0</v>
      </c>
      <c r="T1208" s="3"/>
      <c r="U1208" s="3"/>
      <c r="V1208" s="4"/>
    </row>
    <row r="1209" spans="1:22" x14ac:dyDescent="0.3">
      <c r="A1209" s="5">
        <f t="shared" si="55"/>
        <v>0</v>
      </c>
      <c r="B1209" s="6">
        <f t="shared" si="56"/>
        <v>0</v>
      </c>
      <c r="K1209" s="18">
        <f t="shared" si="54"/>
        <v>0</v>
      </c>
      <c r="L1209" s="21">
        <f>IF(ISERROR(VLOOKUP($F1209,#REF!,6,0)*G1209/1000),0,VLOOKUP($F1209,#REF!,6,0)*G1209/1000)</f>
        <v>0</v>
      </c>
      <c r="M1209" s="21">
        <f>IF(ISERROR(VLOOKUP($F1209,#REF!,6,0)*H1209/1000),0,VLOOKUP($F1209,#REF!,6,0)*H1209/1000)</f>
        <v>0</v>
      </c>
      <c r="N1209" s="21">
        <f>IF(ISERROR(VLOOKUP($F1209,#REF!,6,0)*I1209/1000),0,VLOOKUP($F1209,#REF!,6,0)*I1209/1000)</f>
        <v>0</v>
      </c>
      <c r="O1209" s="21">
        <f>IF(ISERROR(VLOOKUP($F1209,#REF!,6,0)*J1209/1000),0,VLOOKUP($F1209,#REF!,6,0)*J1209/1000)</f>
        <v>0</v>
      </c>
      <c r="P1209" s="21">
        <f>IF(ISERROR(VLOOKUP(F1209,#REF!,6,0)*K1209/1000),0,VLOOKUP(F1209,#REF!,6,0)*K1209/1000)</f>
        <v>0</v>
      </c>
      <c r="Q1209" s="6">
        <f>IF(ISERROR(VLOOKUP(F1209,#REF!,3,0)),0,VLOOKUP(F1209,#REF!,3,0))</f>
        <v>0</v>
      </c>
      <c r="R1209" s="6">
        <f>IF(ISERROR(VLOOKUP(F1209,#REF!,4,0)),0,VLOOKUP(F1209,#REF!,4,0))</f>
        <v>0</v>
      </c>
      <c r="S1209" s="8">
        <f>IF(ISERROR(VLOOKUP(F1209,#REF!,4,0)),0,VLOOKUP(F1209,#REF!,10,0)/60*K1209)</f>
        <v>0</v>
      </c>
      <c r="T1209" s="3"/>
      <c r="U1209" s="3"/>
      <c r="V1209" s="4"/>
    </row>
    <row r="1210" spans="1:22" x14ac:dyDescent="0.3">
      <c r="A1210" s="5">
        <f t="shared" si="55"/>
        <v>0</v>
      </c>
      <c r="B1210" s="6">
        <f t="shared" si="56"/>
        <v>0</v>
      </c>
      <c r="K1210" s="18">
        <f t="shared" si="54"/>
        <v>0</v>
      </c>
      <c r="L1210" s="21">
        <f>IF(ISERROR(VLOOKUP($F1210,#REF!,6,0)*G1210/1000),0,VLOOKUP($F1210,#REF!,6,0)*G1210/1000)</f>
        <v>0</v>
      </c>
      <c r="M1210" s="21">
        <f>IF(ISERROR(VLOOKUP($F1210,#REF!,6,0)*H1210/1000),0,VLOOKUP($F1210,#REF!,6,0)*H1210/1000)</f>
        <v>0</v>
      </c>
      <c r="N1210" s="21">
        <f>IF(ISERROR(VLOOKUP($F1210,#REF!,6,0)*I1210/1000),0,VLOOKUP($F1210,#REF!,6,0)*I1210/1000)</f>
        <v>0</v>
      </c>
      <c r="O1210" s="21">
        <f>IF(ISERROR(VLOOKUP($F1210,#REF!,6,0)*J1210/1000),0,VLOOKUP($F1210,#REF!,6,0)*J1210/1000)</f>
        <v>0</v>
      </c>
      <c r="P1210" s="21">
        <f>IF(ISERROR(VLOOKUP(F1210,#REF!,6,0)*K1210/1000),0,VLOOKUP(F1210,#REF!,6,0)*K1210/1000)</f>
        <v>0</v>
      </c>
      <c r="Q1210" s="6">
        <f>IF(ISERROR(VLOOKUP(F1210,#REF!,3,0)),0,VLOOKUP(F1210,#REF!,3,0))</f>
        <v>0</v>
      </c>
      <c r="R1210" s="6">
        <f>IF(ISERROR(VLOOKUP(F1210,#REF!,4,0)),0,VLOOKUP(F1210,#REF!,4,0))</f>
        <v>0</v>
      </c>
      <c r="S1210" s="8">
        <f>IF(ISERROR(VLOOKUP(F1210,#REF!,4,0)),0,VLOOKUP(F1210,#REF!,10,0)/60*K1210)</f>
        <v>0</v>
      </c>
      <c r="T1210" s="3"/>
      <c r="U1210" s="3"/>
      <c r="V1210" s="4"/>
    </row>
    <row r="1211" spans="1:22" x14ac:dyDescent="0.3">
      <c r="A1211" s="5">
        <f t="shared" si="55"/>
        <v>0</v>
      </c>
      <c r="B1211" s="6">
        <f t="shared" si="56"/>
        <v>0</v>
      </c>
      <c r="K1211" s="18">
        <f t="shared" si="54"/>
        <v>0</v>
      </c>
      <c r="L1211" s="21">
        <f>IF(ISERROR(VLOOKUP($F1211,#REF!,6,0)*G1211/1000),0,VLOOKUP($F1211,#REF!,6,0)*G1211/1000)</f>
        <v>0</v>
      </c>
      <c r="M1211" s="21">
        <f>IF(ISERROR(VLOOKUP($F1211,#REF!,6,0)*H1211/1000),0,VLOOKUP($F1211,#REF!,6,0)*H1211/1000)</f>
        <v>0</v>
      </c>
      <c r="N1211" s="21">
        <f>IF(ISERROR(VLOOKUP($F1211,#REF!,6,0)*I1211/1000),0,VLOOKUP($F1211,#REF!,6,0)*I1211/1000)</f>
        <v>0</v>
      </c>
      <c r="O1211" s="21">
        <f>IF(ISERROR(VLOOKUP($F1211,#REF!,6,0)*J1211/1000),0,VLOOKUP($F1211,#REF!,6,0)*J1211/1000)</f>
        <v>0</v>
      </c>
      <c r="P1211" s="21">
        <f>IF(ISERROR(VLOOKUP(F1211,#REF!,6,0)*K1211/1000),0,VLOOKUP(F1211,#REF!,6,0)*K1211/1000)</f>
        <v>0</v>
      </c>
      <c r="Q1211" s="6">
        <f>IF(ISERROR(VLOOKUP(F1211,#REF!,3,0)),0,VLOOKUP(F1211,#REF!,3,0))</f>
        <v>0</v>
      </c>
      <c r="R1211" s="6">
        <f>IF(ISERROR(VLOOKUP(F1211,#REF!,4,0)),0,VLOOKUP(F1211,#REF!,4,0))</f>
        <v>0</v>
      </c>
      <c r="S1211" s="8">
        <f>IF(ISERROR(VLOOKUP(F1211,#REF!,4,0)),0,VLOOKUP(F1211,#REF!,10,0)/60*K1211)</f>
        <v>0</v>
      </c>
      <c r="T1211" s="3"/>
      <c r="U1211" s="3"/>
      <c r="V1211" s="4"/>
    </row>
    <row r="1212" spans="1:22" x14ac:dyDescent="0.3">
      <c r="A1212" s="5">
        <f t="shared" si="55"/>
        <v>0</v>
      </c>
      <c r="B1212" s="6">
        <f t="shared" si="56"/>
        <v>0</v>
      </c>
      <c r="K1212" s="18">
        <f t="shared" si="54"/>
        <v>0</v>
      </c>
      <c r="L1212" s="21">
        <f>IF(ISERROR(VLOOKUP($F1212,#REF!,6,0)*G1212/1000),0,VLOOKUP($F1212,#REF!,6,0)*G1212/1000)</f>
        <v>0</v>
      </c>
      <c r="M1212" s="21">
        <f>IF(ISERROR(VLOOKUP($F1212,#REF!,6,0)*H1212/1000),0,VLOOKUP($F1212,#REF!,6,0)*H1212/1000)</f>
        <v>0</v>
      </c>
      <c r="N1212" s="21">
        <f>IF(ISERROR(VLOOKUP($F1212,#REF!,6,0)*I1212/1000),0,VLOOKUP($F1212,#REF!,6,0)*I1212/1000)</f>
        <v>0</v>
      </c>
      <c r="O1212" s="21">
        <f>IF(ISERROR(VLOOKUP($F1212,#REF!,6,0)*J1212/1000),0,VLOOKUP($F1212,#REF!,6,0)*J1212/1000)</f>
        <v>0</v>
      </c>
      <c r="P1212" s="21">
        <f>IF(ISERROR(VLOOKUP(F1212,#REF!,6,0)*K1212/1000),0,VLOOKUP(F1212,#REF!,6,0)*K1212/1000)</f>
        <v>0</v>
      </c>
      <c r="Q1212" s="6">
        <f>IF(ISERROR(VLOOKUP(F1212,#REF!,3,0)),0,VLOOKUP(F1212,#REF!,3,0))</f>
        <v>0</v>
      </c>
      <c r="R1212" s="6">
        <f>IF(ISERROR(VLOOKUP(F1212,#REF!,4,0)),0,VLOOKUP(F1212,#REF!,4,0))</f>
        <v>0</v>
      </c>
      <c r="S1212" s="8">
        <f>IF(ISERROR(VLOOKUP(F1212,#REF!,4,0)),0,VLOOKUP(F1212,#REF!,10,0)/60*K1212)</f>
        <v>0</v>
      </c>
      <c r="T1212" s="3"/>
      <c r="U1212" s="3"/>
      <c r="V1212" s="4"/>
    </row>
    <row r="1213" spans="1:22" x14ac:dyDescent="0.3">
      <c r="A1213" s="5">
        <f t="shared" si="55"/>
        <v>0</v>
      </c>
      <c r="B1213" s="6">
        <f t="shared" si="56"/>
        <v>0</v>
      </c>
      <c r="K1213" s="18">
        <f t="shared" si="54"/>
        <v>0</v>
      </c>
      <c r="L1213" s="21">
        <f>IF(ISERROR(VLOOKUP($F1213,#REF!,6,0)*G1213/1000),0,VLOOKUP($F1213,#REF!,6,0)*G1213/1000)</f>
        <v>0</v>
      </c>
      <c r="M1213" s="21">
        <f>IF(ISERROR(VLOOKUP($F1213,#REF!,6,0)*H1213/1000),0,VLOOKUP($F1213,#REF!,6,0)*H1213/1000)</f>
        <v>0</v>
      </c>
      <c r="N1213" s="21">
        <f>IF(ISERROR(VLOOKUP($F1213,#REF!,6,0)*I1213/1000),0,VLOOKUP($F1213,#REF!,6,0)*I1213/1000)</f>
        <v>0</v>
      </c>
      <c r="O1213" s="21">
        <f>IF(ISERROR(VLOOKUP($F1213,#REF!,6,0)*J1213/1000),0,VLOOKUP($F1213,#REF!,6,0)*J1213/1000)</f>
        <v>0</v>
      </c>
      <c r="P1213" s="21">
        <f>IF(ISERROR(VLOOKUP(F1213,#REF!,6,0)*K1213/1000),0,VLOOKUP(F1213,#REF!,6,0)*K1213/1000)</f>
        <v>0</v>
      </c>
      <c r="Q1213" s="6">
        <f>IF(ISERROR(VLOOKUP(F1213,#REF!,3,0)),0,VLOOKUP(F1213,#REF!,3,0))</f>
        <v>0</v>
      </c>
      <c r="R1213" s="6">
        <f>IF(ISERROR(VLOOKUP(F1213,#REF!,4,0)),0,VLOOKUP(F1213,#REF!,4,0))</f>
        <v>0</v>
      </c>
      <c r="S1213" s="8">
        <f>IF(ISERROR(VLOOKUP(F1213,#REF!,4,0)),0,VLOOKUP(F1213,#REF!,10,0)/60*K1213)</f>
        <v>0</v>
      </c>
      <c r="T1213" s="3"/>
      <c r="U1213" s="3"/>
      <c r="V1213" s="4"/>
    </row>
    <row r="1214" spans="1:22" x14ac:dyDescent="0.3">
      <c r="A1214" s="5">
        <f t="shared" si="55"/>
        <v>0</v>
      </c>
      <c r="B1214" s="6">
        <f t="shared" si="56"/>
        <v>0</v>
      </c>
      <c r="K1214" s="18">
        <f t="shared" si="54"/>
        <v>0</v>
      </c>
      <c r="L1214" s="21">
        <f>IF(ISERROR(VLOOKUP($F1214,#REF!,6,0)*G1214/1000),0,VLOOKUP($F1214,#REF!,6,0)*G1214/1000)</f>
        <v>0</v>
      </c>
      <c r="M1214" s="21">
        <f>IF(ISERROR(VLOOKUP($F1214,#REF!,6,0)*H1214/1000),0,VLOOKUP($F1214,#REF!,6,0)*H1214/1000)</f>
        <v>0</v>
      </c>
      <c r="N1214" s="21">
        <f>IF(ISERROR(VLOOKUP($F1214,#REF!,6,0)*I1214/1000),0,VLOOKUP($F1214,#REF!,6,0)*I1214/1000)</f>
        <v>0</v>
      </c>
      <c r="O1214" s="21">
        <f>IF(ISERROR(VLOOKUP($F1214,#REF!,6,0)*J1214/1000),0,VLOOKUP($F1214,#REF!,6,0)*J1214/1000)</f>
        <v>0</v>
      </c>
      <c r="P1214" s="21">
        <f>IF(ISERROR(VLOOKUP(F1214,#REF!,6,0)*K1214/1000),0,VLOOKUP(F1214,#REF!,6,0)*K1214/1000)</f>
        <v>0</v>
      </c>
      <c r="Q1214" s="6">
        <f>IF(ISERROR(VLOOKUP(F1214,#REF!,3,0)),0,VLOOKUP(F1214,#REF!,3,0))</f>
        <v>0</v>
      </c>
      <c r="R1214" s="6">
        <f>IF(ISERROR(VLOOKUP(F1214,#REF!,4,0)),0,VLOOKUP(F1214,#REF!,4,0))</f>
        <v>0</v>
      </c>
      <c r="S1214" s="8">
        <f>IF(ISERROR(VLOOKUP(F1214,#REF!,4,0)),0,VLOOKUP(F1214,#REF!,10,0)/60*K1214)</f>
        <v>0</v>
      </c>
      <c r="T1214" s="3"/>
      <c r="U1214" s="3"/>
      <c r="V1214" s="4"/>
    </row>
    <row r="1215" spans="1:22" x14ac:dyDescent="0.3">
      <c r="A1215" s="5">
        <f t="shared" si="55"/>
        <v>0</v>
      </c>
      <c r="B1215" s="6">
        <f t="shared" si="56"/>
        <v>0</v>
      </c>
      <c r="K1215" s="18">
        <f t="shared" si="54"/>
        <v>0</v>
      </c>
      <c r="L1215" s="21">
        <f>IF(ISERROR(VLOOKUP($F1215,#REF!,6,0)*G1215/1000),0,VLOOKUP($F1215,#REF!,6,0)*G1215/1000)</f>
        <v>0</v>
      </c>
      <c r="M1215" s="21">
        <f>IF(ISERROR(VLOOKUP($F1215,#REF!,6,0)*H1215/1000),0,VLOOKUP($F1215,#REF!,6,0)*H1215/1000)</f>
        <v>0</v>
      </c>
      <c r="N1215" s="21">
        <f>IF(ISERROR(VLOOKUP($F1215,#REF!,6,0)*I1215/1000),0,VLOOKUP($F1215,#REF!,6,0)*I1215/1000)</f>
        <v>0</v>
      </c>
      <c r="O1215" s="21">
        <f>IF(ISERROR(VLOOKUP($F1215,#REF!,6,0)*J1215/1000),0,VLOOKUP($F1215,#REF!,6,0)*J1215/1000)</f>
        <v>0</v>
      </c>
      <c r="P1215" s="21">
        <f>IF(ISERROR(VLOOKUP(F1215,#REF!,6,0)*K1215/1000),0,VLOOKUP(F1215,#REF!,6,0)*K1215/1000)</f>
        <v>0</v>
      </c>
      <c r="Q1215" s="6">
        <f>IF(ISERROR(VLOOKUP(F1215,#REF!,3,0)),0,VLOOKUP(F1215,#REF!,3,0))</f>
        <v>0</v>
      </c>
      <c r="R1215" s="6">
        <f>IF(ISERROR(VLOOKUP(F1215,#REF!,4,0)),0,VLOOKUP(F1215,#REF!,4,0))</f>
        <v>0</v>
      </c>
      <c r="S1215" s="8">
        <f>IF(ISERROR(VLOOKUP(F1215,#REF!,4,0)),0,VLOOKUP(F1215,#REF!,10,0)/60*K1215)</f>
        <v>0</v>
      </c>
      <c r="T1215" s="3"/>
      <c r="U1215" s="3"/>
      <c r="V1215" s="4"/>
    </row>
    <row r="1216" spans="1:22" x14ac:dyDescent="0.3">
      <c r="A1216" s="5">
        <f t="shared" si="55"/>
        <v>0</v>
      </c>
      <c r="B1216" s="6">
        <f t="shared" si="56"/>
        <v>0</v>
      </c>
      <c r="K1216" s="18">
        <f t="shared" si="54"/>
        <v>0</v>
      </c>
      <c r="L1216" s="21">
        <f>IF(ISERROR(VLOOKUP($F1216,#REF!,6,0)*G1216/1000),0,VLOOKUP($F1216,#REF!,6,0)*G1216/1000)</f>
        <v>0</v>
      </c>
      <c r="M1216" s="21">
        <f>IF(ISERROR(VLOOKUP($F1216,#REF!,6,0)*H1216/1000),0,VLOOKUP($F1216,#REF!,6,0)*H1216/1000)</f>
        <v>0</v>
      </c>
      <c r="N1216" s="21">
        <f>IF(ISERROR(VLOOKUP($F1216,#REF!,6,0)*I1216/1000),0,VLOOKUP($F1216,#REF!,6,0)*I1216/1000)</f>
        <v>0</v>
      </c>
      <c r="O1216" s="21">
        <f>IF(ISERROR(VLOOKUP($F1216,#REF!,6,0)*J1216/1000),0,VLOOKUP($F1216,#REF!,6,0)*J1216/1000)</f>
        <v>0</v>
      </c>
      <c r="P1216" s="21">
        <f>IF(ISERROR(VLOOKUP(F1216,#REF!,6,0)*K1216/1000),0,VLOOKUP(F1216,#REF!,6,0)*K1216/1000)</f>
        <v>0</v>
      </c>
      <c r="Q1216" s="6">
        <f>IF(ISERROR(VLOOKUP(F1216,#REF!,3,0)),0,VLOOKUP(F1216,#REF!,3,0))</f>
        <v>0</v>
      </c>
      <c r="R1216" s="6">
        <f>IF(ISERROR(VLOOKUP(F1216,#REF!,4,0)),0,VLOOKUP(F1216,#REF!,4,0))</f>
        <v>0</v>
      </c>
      <c r="S1216" s="8">
        <f>IF(ISERROR(VLOOKUP(F1216,#REF!,4,0)),0,VLOOKUP(F1216,#REF!,10,0)/60*K1216)</f>
        <v>0</v>
      </c>
      <c r="T1216" s="3"/>
      <c r="U1216" s="3"/>
      <c r="V1216" s="4"/>
    </row>
    <row r="1217" spans="1:22" x14ac:dyDescent="0.3">
      <c r="A1217" s="5">
        <f t="shared" si="55"/>
        <v>0</v>
      </c>
      <c r="B1217" s="6">
        <f t="shared" si="56"/>
        <v>0</v>
      </c>
      <c r="K1217" s="18">
        <f t="shared" si="54"/>
        <v>0</v>
      </c>
      <c r="L1217" s="21">
        <f>IF(ISERROR(VLOOKUP($F1217,#REF!,6,0)*G1217/1000),0,VLOOKUP($F1217,#REF!,6,0)*G1217/1000)</f>
        <v>0</v>
      </c>
      <c r="M1217" s="21">
        <f>IF(ISERROR(VLOOKUP($F1217,#REF!,6,0)*H1217/1000),0,VLOOKUP($F1217,#REF!,6,0)*H1217/1000)</f>
        <v>0</v>
      </c>
      <c r="N1217" s="21">
        <f>IF(ISERROR(VLOOKUP($F1217,#REF!,6,0)*I1217/1000),0,VLOOKUP($F1217,#REF!,6,0)*I1217/1000)</f>
        <v>0</v>
      </c>
      <c r="O1217" s="21">
        <f>IF(ISERROR(VLOOKUP($F1217,#REF!,6,0)*J1217/1000),0,VLOOKUP($F1217,#REF!,6,0)*J1217/1000)</f>
        <v>0</v>
      </c>
      <c r="P1217" s="21">
        <f>IF(ISERROR(VLOOKUP(F1217,#REF!,6,0)*K1217/1000),0,VLOOKUP(F1217,#REF!,6,0)*K1217/1000)</f>
        <v>0</v>
      </c>
      <c r="Q1217" s="6">
        <f>IF(ISERROR(VLOOKUP(F1217,#REF!,3,0)),0,VLOOKUP(F1217,#REF!,3,0))</f>
        <v>0</v>
      </c>
      <c r="R1217" s="6">
        <f>IF(ISERROR(VLOOKUP(F1217,#REF!,4,0)),0,VLOOKUP(F1217,#REF!,4,0))</f>
        <v>0</v>
      </c>
      <c r="S1217" s="8">
        <f>IF(ISERROR(VLOOKUP(F1217,#REF!,4,0)),0,VLOOKUP(F1217,#REF!,10,0)/60*K1217)</f>
        <v>0</v>
      </c>
      <c r="T1217" s="3"/>
      <c r="U1217" s="3"/>
      <c r="V1217" s="4"/>
    </row>
    <row r="1218" spans="1:22" x14ac:dyDescent="0.3">
      <c r="A1218" s="5">
        <f t="shared" si="55"/>
        <v>0</v>
      </c>
      <c r="B1218" s="6">
        <f t="shared" si="56"/>
        <v>0</v>
      </c>
      <c r="K1218" s="18">
        <f t="shared" si="54"/>
        <v>0</v>
      </c>
      <c r="L1218" s="21">
        <f>IF(ISERROR(VLOOKUP($F1218,#REF!,6,0)*G1218/1000),0,VLOOKUP($F1218,#REF!,6,0)*G1218/1000)</f>
        <v>0</v>
      </c>
      <c r="M1218" s="21">
        <f>IF(ISERROR(VLOOKUP($F1218,#REF!,6,0)*H1218/1000),0,VLOOKUP($F1218,#REF!,6,0)*H1218/1000)</f>
        <v>0</v>
      </c>
      <c r="N1218" s="21">
        <f>IF(ISERROR(VLOOKUP($F1218,#REF!,6,0)*I1218/1000),0,VLOOKUP($F1218,#REF!,6,0)*I1218/1000)</f>
        <v>0</v>
      </c>
      <c r="O1218" s="21">
        <f>IF(ISERROR(VLOOKUP($F1218,#REF!,6,0)*J1218/1000),0,VLOOKUP($F1218,#REF!,6,0)*J1218/1000)</f>
        <v>0</v>
      </c>
      <c r="P1218" s="21">
        <f>IF(ISERROR(VLOOKUP(F1218,#REF!,6,0)*K1218/1000),0,VLOOKUP(F1218,#REF!,6,0)*K1218/1000)</f>
        <v>0</v>
      </c>
      <c r="Q1218" s="6">
        <f>IF(ISERROR(VLOOKUP(F1218,#REF!,3,0)),0,VLOOKUP(F1218,#REF!,3,0))</f>
        <v>0</v>
      </c>
      <c r="R1218" s="6">
        <f>IF(ISERROR(VLOOKUP(F1218,#REF!,4,0)),0,VLOOKUP(F1218,#REF!,4,0))</f>
        <v>0</v>
      </c>
      <c r="S1218" s="8">
        <f>IF(ISERROR(VLOOKUP(F1218,#REF!,4,0)),0,VLOOKUP(F1218,#REF!,10,0)/60*K1218)</f>
        <v>0</v>
      </c>
      <c r="T1218" s="3"/>
      <c r="U1218" s="3"/>
      <c r="V1218" s="4"/>
    </row>
    <row r="1219" spans="1:22" x14ac:dyDescent="0.3">
      <c r="A1219" s="5">
        <f t="shared" si="55"/>
        <v>0</v>
      </c>
      <c r="B1219" s="6">
        <f t="shared" si="56"/>
        <v>0</v>
      </c>
      <c r="K1219" s="18">
        <f t="shared" si="54"/>
        <v>0</v>
      </c>
      <c r="L1219" s="21">
        <f>IF(ISERROR(VLOOKUP($F1219,#REF!,6,0)*G1219/1000),0,VLOOKUP($F1219,#REF!,6,0)*G1219/1000)</f>
        <v>0</v>
      </c>
      <c r="M1219" s="21">
        <f>IF(ISERROR(VLOOKUP($F1219,#REF!,6,0)*H1219/1000),0,VLOOKUP($F1219,#REF!,6,0)*H1219/1000)</f>
        <v>0</v>
      </c>
      <c r="N1219" s="21">
        <f>IF(ISERROR(VLOOKUP($F1219,#REF!,6,0)*I1219/1000),0,VLOOKUP($F1219,#REF!,6,0)*I1219/1000)</f>
        <v>0</v>
      </c>
      <c r="O1219" s="21">
        <f>IF(ISERROR(VLOOKUP($F1219,#REF!,6,0)*J1219/1000),0,VLOOKUP($F1219,#REF!,6,0)*J1219/1000)</f>
        <v>0</v>
      </c>
      <c r="P1219" s="21">
        <f>IF(ISERROR(VLOOKUP(F1219,#REF!,6,0)*K1219/1000),0,VLOOKUP(F1219,#REF!,6,0)*K1219/1000)</f>
        <v>0</v>
      </c>
      <c r="Q1219" s="6">
        <f>IF(ISERROR(VLOOKUP(F1219,#REF!,3,0)),0,VLOOKUP(F1219,#REF!,3,0))</f>
        <v>0</v>
      </c>
      <c r="R1219" s="6">
        <f>IF(ISERROR(VLOOKUP(F1219,#REF!,4,0)),0,VLOOKUP(F1219,#REF!,4,0))</f>
        <v>0</v>
      </c>
      <c r="S1219" s="8">
        <f>IF(ISERROR(VLOOKUP(F1219,#REF!,4,0)),0,VLOOKUP(F1219,#REF!,10,0)/60*K1219)</f>
        <v>0</v>
      </c>
      <c r="T1219" s="3"/>
      <c r="U1219" s="3"/>
      <c r="V1219" s="4"/>
    </row>
    <row r="1220" spans="1:22" x14ac:dyDescent="0.3">
      <c r="A1220" s="5">
        <f t="shared" si="55"/>
        <v>0</v>
      </c>
      <c r="B1220" s="6">
        <f t="shared" si="56"/>
        <v>0</v>
      </c>
      <c r="K1220" s="18">
        <f t="shared" ref="K1220:K1283" si="57">SUM(G1220:J1220)</f>
        <v>0</v>
      </c>
      <c r="L1220" s="21">
        <f>IF(ISERROR(VLOOKUP($F1220,#REF!,6,0)*G1220/1000),0,VLOOKUP($F1220,#REF!,6,0)*G1220/1000)</f>
        <v>0</v>
      </c>
      <c r="M1220" s="21">
        <f>IF(ISERROR(VLOOKUP($F1220,#REF!,6,0)*H1220/1000),0,VLOOKUP($F1220,#REF!,6,0)*H1220/1000)</f>
        <v>0</v>
      </c>
      <c r="N1220" s="21">
        <f>IF(ISERROR(VLOOKUP($F1220,#REF!,6,0)*I1220/1000),0,VLOOKUP($F1220,#REF!,6,0)*I1220/1000)</f>
        <v>0</v>
      </c>
      <c r="O1220" s="21">
        <f>IF(ISERROR(VLOOKUP($F1220,#REF!,6,0)*J1220/1000),0,VLOOKUP($F1220,#REF!,6,0)*J1220/1000)</f>
        <v>0</v>
      </c>
      <c r="P1220" s="21">
        <f>IF(ISERROR(VLOOKUP(F1220,#REF!,6,0)*K1220/1000),0,VLOOKUP(F1220,#REF!,6,0)*K1220/1000)</f>
        <v>0</v>
      </c>
      <c r="Q1220" s="6">
        <f>IF(ISERROR(VLOOKUP(F1220,#REF!,3,0)),0,VLOOKUP(F1220,#REF!,3,0))</f>
        <v>0</v>
      </c>
      <c r="R1220" s="6">
        <f>IF(ISERROR(VLOOKUP(F1220,#REF!,4,0)),0,VLOOKUP(F1220,#REF!,4,0))</f>
        <v>0</v>
      </c>
      <c r="S1220" s="8">
        <f>IF(ISERROR(VLOOKUP(F1220,#REF!,4,0)),0,VLOOKUP(F1220,#REF!,10,0)/60*K1220)</f>
        <v>0</v>
      </c>
      <c r="T1220" s="3"/>
      <c r="U1220" s="3"/>
      <c r="V1220" s="4"/>
    </row>
    <row r="1221" spans="1:22" x14ac:dyDescent="0.3">
      <c r="A1221" s="5">
        <f t="shared" ref="A1221:A1284" si="58">IF(C1221=0,0,YEAR(C1221))</f>
        <v>0</v>
      </c>
      <c r="B1221" s="6">
        <f t="shared" ref="B1221:B1284" si="59">IF(C1221&gt;0,VLOOKUP(MONTH($C1221),$AJ$3:$AK$14,2,0),0)</f>
        <v>0</v>
      </c>
      <c r="K1221" s="18">
        <f t="shared" si="57"/>
        <v>0</v>
      </c>
      <c r="L1221" s="21">
        <f>IF(ISERROR(VLOOKUP($F1221,#REF!,6,0)*G1221/1000),0,VLOOKUP($F1221,#REF!,6,0)*G1221/1000)</f>
        <v>0</v>
      </c>
      <c r="M1221" s="21">
        <f>IF(ISERROR(VLOOKUP($F1221,#REF!,6,0)*H1221/1000),0,VLOOKUP($F1221,#REF!,6,0)*H1221/1000)</f>
        <v>0</v>
      </c>
      <c r="N1221" s="21">
        <f>IF(ISERROR(VLOOKUP($F1221,#REF!,6,0)*I1221/1000),0,VLOOKUP($F1221,#REF!,6,0)*I1221/1000)</f>
        <v>0</v>
      </c>
      <c r="O1221" s="21">
        <f>IF(ISERROR(VLOOKUP($F1221,#REF!,6,0)*J1221/1000),0,VLOOKUP($F1221,#REF!,6,0)*J1221/1000)</f>
        <v>0</v>
      </c>
      <c r="P1221" s="21">
        <f>IF(ISERROR(VLOOKUP(F1221,#REF!,6,0)*K1221/1000),0,VLOOKUP(F1221,#REF!,6,0)*K1221/1000)</f>
        <v>0</v>
      </c>
      <c r="Q1221" s="6">
        <f>IF(ISERROR(VLOOKUP(F1221,#REF!,3,0)),0,VLOOKUP(F1221,#REF!,3,0))</f>
        <v>0</v>
      </c>
      <c r="R1221" s="6">
        <f>IF(ISERROR(VLOOKUP(F1221,#REF!,4,0)),0,VLOOKUP(F1221,#REF!,4,0))</f>
        <v>0</v>
      </c>
      <c r="S1221" s="8">
        <f>IF(ISERROR(VLOOKUP(F1221,#REF!,4,0)),0,VLOOKUP(F1221,#REF!,10,0)/60*K1221)</f>
        <v>0</v>
      </c>
      <c r="T1221" s="3"/>
      <c r="U1221" s="3"/>
      <c r="V1221" s="4"/>
    </row>
    <row r="1222" spans="1:22" x14ac:dyDescent="0.3">
      <c r="A1222" s="5">
        <f t="shared" si="58"/>
        <v>0</v>
      </c>
      <c r="B1222" s="6">
        <f t="shared" si="59"/>
        <v>0</v>
      </c>
      <c r="K1222" s="18">
        <f t="shared" si="57"/>
        <v>0</v>
      </c>
      <c r="L1222" s="21">
        <f>IF(ISERROR(VLOOKUP($F1222,#REF!,6,0)*G1222/1000),0,VLOOKUP($F1222,#REF!,6,0)*G1222/1000)</f>
        <v>0</v>
      </c>
      <c r="M1222" s="21">
        <f>IF(ISERROR(VLOOKUP($F1222,#REF!,6,0)*H1222/1000),0,VLOOKUP($F1222,#REF!,6,0)*H1222/1000)</f>
        <v>0</v>
      </c>
      <c r="N1222" s="21">
        <f>IF(ISERROR(VLOOKUP($F1222,#REF!,6,0)*I1222/1000),0,VLOOKUP($F1222,#REF!,6,0)*I1222/1000)</f>
        <v>0</v>
      </c>
      <c r="O1222" s="21">
        <f>IF(ISERROR(VLOOKUP($F1222,#REF!,6,0)*J1222/1000),0,VLOOKUP($F1222,#REF!,6,0)*J1222/1000)</f>
        <v>0</v>
      </c>
      <c r="P1222" s="21">
        <f>IF(ISERROR(VLOOKUP(F1222,#REF!,6,0)*K1222/1000),0,VLOOKUP(F1222,#REF!,6,0)*K1222/1000)</f>
        <v>0</v>
      </c>
      <c r="Q1222" s="6">
        <f>IF(ISERROR(VLOOKUP(F1222,#REF!,3,0)),0,VLOOKUP(F1222,#REF!,3,0))</f>
        <v>0</v>
      </c>
      <c r="R1222" s="6">
        <f>IF(ISERROR(VLOOKUP(F1222,#REF!,4,0)),0,VLOOKUP(F1222,#REF!,4,0))</f>
        <v>0</v>
      </c>
      <c r="S1222" s="8">
        <f>IF(ISERROR(VLOOKUP(F1222,#REF!,4,0)),0,VLOOKUP(F1222,#REF!,10,0)/60*K1222)</f>
        <v>0</v>
      </c>
      <c r="T1222" s="3"/>
      <c r="U1222" s="3"/>
      <c r="V1222" s="4"/>
    </row>
    <row r="1223" spans="1:22" x14ac:dyDescent="0.3">
      <c r="A1223" s="5">
        <f t="shared" si="58"/>
        <v>0</v>
      </c>
      <c r="B1223" s="6">
        <f t="shared" si="59"/>
        <v>0</v>
      </c>
      <c r="K1223" s="18">
        <f t="shared" si="57"/>
        <v>0</v>
      </c>
      <c r="L1223" s="21">
        <f>IF(ISERROR(VLOOKUP($F1223,#REF!,6,0)*G1223/1000),0,VLOOKUP($F1223,#REF!,6,0)*G1223/1000)</f>
        <v>0</v>
      </c>
      <c r="M1223" s="21">
        <f>IF(ISERROR(VLOOKUP($F1223,#REF!,6,0)*H1223/1000),0,VLOOKUP($F1223,#REF!,6,0)*H1223/1000)</f>
        <v>0</v>
      </c>
      <c r="N1223" s="21">
        <f>IF(ISERROR(VLOOKUP($F1223,#REF!,6,0)*I1223/1000),0,VLOOKUP($F1223,#REF!,6,0)*I1223/1000)</f>
        <v>0</v>
      </c>
      <c r="O1223" s="21">
        <f>IF(ISERROR(VLOOKUP($F1223,#REF!,6,0)*J1223/1000),0,VLOOKUP($F1223,#REF!,6,0)*J1223/1000)</f>
        <v>0</v>
      </c>
      <c r="P1223" s="21">
        <f>IF(ISERROR(VLOOKUP(F1223,#REF!,6,0)*K1223/1000),0,VLOOKUP(F1223,#REF!,6,0)*K1223/1000)</f>
        <v>0</v>
      </c>
      <c r="Q1223" s="6">
        <f>IF(ISERROR(VLOOKUP(F1223,#REF!,3,0)),0,VLOOKUP(F1223,#REF!,3,0))</f>
        <v>0</v>
      </c>
      <c r="R1223" s="6">
        <f>IF(ISERROR(VLOOKUP(F1223,#REF!,4,0)),0,VLOOKUP(F1223,#REF!,4,0))</f>
        <v>0</v>
      </c>
      <c r="S1223" s="8">
        <f>IF(ISERROR(VLOOKUP(F1223,#REF!,4,0)),0,VLOOKUP(F1223,#REF!,10,0)/60*K1223)</f>
        <v>0</v>
      </c>
      <c r="T1223" s="3"/>
      <c r="U1223" s="3"/>
      <c r="V1223" s="4"/>
    </row>
    <row r="1224" spans="1:22" x14ac:dyDescent="0.3">
      <c r="A1224" s="5">
        <f t="shared" si="58"/>
        <v>0</v>
      </c>
      <c r="B1224" s="6">
        <f t="shared" si="59"/>
        <v>0</v>
      </c>
      <c r="K1224" s="18">
        <f t="shared" si="57"/>
        <v>0</v>
      </c>
      <c r="L1224" s="21">
        <f>IF(ISERROR(VLOOKUP($F1224,#REF!,6,0)*G1224/1000),0,VLOOKUP($F1224,#REF!,6,0)*G1224/1000)</f>
        <v>0</v>
      </c>
      <c r="M1224" s="21">
        <f>IF(ISERROR(VLOOKUP($F1224,#REF!,6,0)*H1224/1000),0,VLOOKUP($F1224,#REF!,6,0)*H1224/1000)</f>
        <v>0</v>
      </c>
      <c r="N1224" s="21">
        <f>IF(ISERROR(VLOOKUP($F1224,#REF!,6,0)*I1224/1000),0,VLOOKUP($F1224,#REF!,6,0)*I1224/1000)</f>
        <v>0</v>
      </c>
      <c r="O1224" s="21">
        <f>IF(ISERROR(VLOOKUP($F1224,#REF!,6,0)*J1224/1000),0,VLOOKUP($F1224,#REF!,6,0)*J1224/1000)</f>
        <v>0</v>
      </c>
      <c r="P1224" s="21">
        <f>IF(ISERROR(VLOOKUP(F1224,#REF!,6,0)*K1224/1000),0,VLOOKUP(F1224,#REF!,6,0)*K1224/1000)</f>
        <v>0</v>
      </c>
      <c r="Q1224" s="6">
        <f>IF(ISERROR(VLOOKUP(F1224,#REF!,3,0)),0,VLOOKUP(F1224,#REF!,3,0))</f>
        <v>0</v>
      </c>
      <c r="R1224" s="6">
        <f>IF(ISERROR(VLOOKUP(F1224,#REF!,4,0)),0,VLOOKUP(F1224,#REF!,4,0))</f>
        <v>0</v>
      </c>
      <c r="S1224" s="8">
        <f>IF(ISERROR(VLOOKUP(F1224,#REF!,4,0)),0,VLOOKUP(F1224,#REF!,10,0)/60*K1224)</f>
        <v>0</v>
      </c>
      <c r="T1224" s="3"/>
      <c r="U1224" s="3"/>
      <c r="V1224" s="4"/>
    </row>
    <row r="1225" spans="1:22" x14ac:dyDescent="0.3">
      <c r="A1225" s="5">
        <f t="shared" si="58"/>
        <v>0</v>
      </c>
      <c r="B1225" s="6">
        <f t="shared" si="59"/>
        <v>0</v>
      </c>
      <c r="K1225" s="18">
        <f t="shared" si="57"/>
        <v>0</v>
      </c>
      <c r="L1225" s="21">
        <f>IF(ISERROR(VLOOKUP($F1225,#REF!,6,0)*G1225/1000),0,VLOOKUP($F1225,#REF!,6,0)*G1225/1000)</f>
        <v>0</v>
      </c>
      <c r="M1225" s="21">
        <f>IF(ISERROR(VLOOKUP($F1225,#REF!,6,0)*H1225/1000),0,VLOOKUP($F1225,#REF!,6,0)*H1225/1000)</f>
        <v>0</v>
      </c>
      <c r="N1225" s="21">
        <f>IF(ISERROR(VLOOKUP($F1225,#REF!,6,0)*I1225/1000),0,VLOOKUP($F1225,#REF!,6,0)*I1225/1000)</f>
        <v>0</v>
      </c>
      <c r="O1225" s="21">
        <f>IF(ISERROR(VLOOKUP($F1225,#REF!,6,0)*J1225/1000),0,VLOOKUP($F1225,#REF!,6,0)*J1225/1000)</f>
        <v>0</v>
      </c>
      <c r="P1225" s="21">
        <f>IF(ISERROR(VLOOKUP(F1225,#REF!,6,0)*K1225/1000),0,VLOOKUP(F1225,#REF!,6,0)*K1225/1000)</f>
        <v>0</v>
      </c>
      <c r="Q1225" s="6">
        <f>IF(ISERROR(VLOOKUP(F1225,#REF!,3,0)),0,VLOOKUP(F1225,#REF!,3,0))</f>
        <v>0</v>
      </c>
      <c r="R1225" s="6">
        <f>IF(ISERROR(VLOOKUP(F1225,#REF!,4,0)),0,VLOOKUP(F1225,#REF!,4,0))</f>
        <v>0</v>
      </c>
      <c r="S1225" s="8">
        <f>IF(ISERROR(VLOOKUP(F1225,#REF!,4,0)),0,VLOOKUP(F1225,#REF!,10,0)/60*K1225)</f>
        <v>0</v>
      </c>
      <c r="T1225" s="3"/>
      <c r="U1225" s="3"/>
      <c r="V1225" s="4"/>
    </row>
    <row r="1226" spans="1:22" x14ac:dyDescent="0.3">
      <c r="A1226" s="5">
        <f t="shared" si="58"/>
        <v>0</v>
      </c>
      <c r="B1226" s="6">
        <f t="shared" si="59"/>
        <v>0</v>
      </c>
      <c r="K1226" s="18">
        <f t="shared" si="57"/>
        <v>0</v>
      </c>
      <c r="L1226" s="21">
        <f>IF(ISERROR(VLOOKUP($F1226,#REF!,6,0)*G1226/1000),0,VLOOKUP($F1226,#REF!,6,0)*G1226/1000)</f>
        <v>0</v>
      </c>
      <c r="M1226" s="21">
        <f>IF(ISERROR(VLOOKUP($F1226,#REF!,6,0)*H1226/1000),0,VLOOKUP($F1226,#REF!,6,0)*H1226/1000)</f>
        <v>0</v>
      </c>
      <c r="N1226" s="21">
        <f>IF(ISERROR(VLOOKUP($F1226,#REF!,6,0)*I1226/1000),0,VLOOKUP($F1226,#REF!,6,0)*I1226/1000)</f>
        <v>0</v>
      </c>
      <c r="O1226" s="21">
        <f>IF(ISERROR(VLOOKUP($F1226,#REF!,6,0)*J1226/1000),0,VLOOKUP($F1226,#REF!,6,0)*J1226/1000)</f>
        <v>0</v>
      </c>
      <c r="P1226" s="21">
        <f>IF(ISERROR(VLOOKUP(F1226,#REF!,6,0)*K1226/1000),0,VLOOKUP(F1226,#REF!,6,0)*K1226/1000)</f>
        <v>0</v>
      </c>
      <c r="Q1226" s="6">
        <f>IF(ISERROR(VLOOKUP(F1226,#REF!,3,0)),0,VLOOKUP(F1226,#REF!,3,0))</f>
        <v>0</v>
      </c>
      <c r="R1226" s="6">
        <f>IF(ISERROR(VLOOKUP(F1226,#REF!,4,0)),0,VLOOKUP(F1226,#REF!,4,0))</f>
        <v>0</v>
      </c>
      <c r="S1226" s="8">
        <f>IF(ISERROR(VLOOKUP(F1226,#REF!,4,0)),0,VLOOKUP(F1226,#REF!,10,0)/60*K1226)</f>
        <v>0</v>
      </c>
      <c r="T1226" s="3"/>
      <c r="U1226" s="3"/>
      <c r="V1226" s="4"/>
    </row>
    <row r="1227" spans="1:22" x14ac:dyDescent="0.3">
      <c r="A1227" s="5">
        <f t="shared" si="58"/>
        <v>0</v>
      </c>
      <c r="B1227" s="6">
        <f t="shared" si="59"/>
        <v>0</v>
      </c>
      <c r="K1227" s="18">
        <f t="shared" si="57"/>
        <v>0</v>
      </c>
      <c r="L1227" s="21">
        <f>IF(ISERROR(VLOOKUP($F1227,#REF!,6,0)*G1227/1000),0,VLOOKUP($F1227,#REF!,6,0)*G1227/1000)</f>
        <v>0</v>
      </c>
      <c r="M1227" s="21">
        <f>IF(ISERROR(VLOOKUP($F1227,#REF!,6,0)*H1227/1000),0,VLOOKUP($F1227,#REF!,6,0)*H1227/1000)</f>
        <v>0</v>
      </c>
      <c r="N1227" s="21">
        <f>IF(ISERROR(VLOOKUP($F1227,#REF!,6,0)*I1227/1000),0,VLOOKUP($F1227,#REF!,6,0)*I1227/1000)</f>
        <v>0</v>
      </c>
      <c r="O1227" s="21">
        <f>IF(ISERROR(VLOOKUP($F1227,#REF!,6,0)*J1227/1000),0,VLOOKUP($F1227,#REF!,6,0)*J1227/1000)</f>
        <v>0</v>
      </c>
      <c r="P1227" s="21">
        <f>IF(ISERROR(VLOOKUP(F1227,#REF!,6,0)*K1227/1000),0,VLOOKUP(F1227,#REF!,6,0)*K1227/1000)</f>
        <v>0</v>
      </c>
      <c r="Q1227" s="6">
        <f>IF(ISERROR(VLOOKUP(F1227,#REF!,3,0)),0,VLOOKUP(F1227,#REF!,3,0))</f>
        <v>0</v>
      </c>
      <c r="R1227" s="6">
        <f>IF(ISERROR(VLOOKUP(F1227,#REF!,4,0)),0,VLOOKUP(F1227,#REF!,4,0))</f>
        <v>0</v>
      </c>
      <c r="S1227" s="8">
        <f>IF(ISERROR(VLOOKUP(F1227,#REF!,4,0)),0,VLOOKUP(F1227,#REF!,10,0)/60*K1227)</f>
        <v>0</v>
      </c>
      <c r="T1227" s="3"/>
      <c r="U1227" s="3"/>
      <c r="V1227" s="4"/>
    </row>
    <row r="1228" spans="1:22" x14ac:dyDescent="0.3">
      <c r="A1228" s="5">
        <f t="shared" si="58"/>
        <v>0</v>
      </c>
      <c r="B1228" s="6">
        <f t="shared" si="59"/>
        <v>0</v>
      </c>
      <c r="K1228" s="18">
        <f t="shared" si="57"/>
        <v>0</v>
      </c>
      <c r="L1228" s="21">
        <f>IF(ISERROR(VLOOKUP($F1228,#REF!,6,0)*G1228/1000),0,VLOOKUP($F1228,#REF!,6,0)*G1228/1000)</f>
        <v>0</v>
      </c>
      <c r="M1228" s="21">
        <f>IF(ISERROR(VLOOKUP($F1228,#REF!,6,0)*H1228/1000),0,VLOOKUP($F1228,#REF!,6,0)*H1228/1000)</f>
        <v>0</v>
      </c>
      <c r="N1228" s="21">
        <f>IF(ISERROR(VLOOKUP($F1228,#REF!,6,0)*I1228/1000),0,VLOOKUP($F1228,#REF!,6,0)*I1228/1000)</f>
        <v>0</v>
      </c>
      <c r="O1228" s="21">
        <f>IF(ISERROR(VLOOKUP($F1228,#REF!,6,0)*J1228/1000),0,VLOOKUP($F1228,#REF!,6,0)*J1228/1000)</f>
        <v>0</v>
      </c>
      <c r="P1228" s="21">
        <f>IF(ISERROR(VLOOKUP(F1228,#REF!,6,0)*K1228/1000),0,VLOOKUP(F1228,#REF!,6,0)*K1228/1000)</f>
        <v>0</v>
      </c>
      <c r="Q1228" s="6">
        <f>IF(ISERROR(VLOOKUP(F1228,#REF!,3,0)),0,VLOOKUP(F1228,#REF!,3,0))</f>
        <v>0</v>
      </c>
      <c r="R1228" s="6">
        <f>IF(ISERROR(VLOOKUP(F1228,#REF!,4,0)),0,VLOOKUP(F1228,#REF!,4,0))</f>
        <v>0</v>
      </c>
      <c r="S1228" s="8">
        <f>IF(ISERROR(VLOOKUP(F1228,#REF!,4,0)),0,VLOOKUP(F1228,#REF!,10,0)/60*K1228)</f>
        <v>0</v>
      </c>
      <c r="T1228" s="3"/>
      <c r="U1228" s="3"/>
      <c r="V1228" s="4"/>
    </row>
    <row r="1229" spans="1:22" x14ac:dyDescent="0.3">
      <c r="A1229" s="5">
        <f t="shared" si="58"/>
        <v>0</v>
      </c>
      <c r="B1229" s="6">
        <f t="shared" si="59"/>
        <v>0</v>
      </c>
      <c r="K1229" s="18">
        <f t="shared" si="57"/>
        <v>0</v>
      </c>
      <c r="L1229" s="21">
        <f>IF(ISERROR(VLOOKUP($F1229,#REF!,6,0)*G1229/1000),0,VLOOKUP($F1229,#REF!,6,0)*G1229/1000)</f>
        <v>0</v>
      </c>
      <c r="M1229" s="21">
        <f>IF(ISERROR(VLOOKUP($F1229,#REF!,6,0)*H1229/1000),0,VLOOKUP($F1229,#REF!,6,0)*H1229/1000)</f>
        <v>0</v>
      </c>
      <c r="N1229" s="21">
        <f>IF(ISERROR(VLOOKUP($F1229,#REF!,6,0)*I1229/1000),0,VLOOKUP($F1229,#REF!,6,0)*I1229/1000)</f>
        <v>0</v>
      </c>
      <c r="O1229" s="21">
        <f>IF(ISERROR(VLOOKUP($F1229,#REF!,6,0)*J1229/1000),0,VLOOKUP($F1229,#REF!,6,0)*J1229/1000)</f>
        <v>0</v>
      </c>
      <c r="P1229" s="21">
        <f>IF(ISERROR(VLOOKUP(F1229,#REF!,6,0)*K1229/1000),0,VLOOKUP(F1229,#REF!,6,0)*K1229/1000)</f>
        <v>0</v>
      </c>
      <c r="Q1229" s="6">
        <f>IF(ISERROR(VLOOKUP(F1229,#REF!,3,0)),0,VLOOKUP(F1229,#REF!,3,0))</f>
        <v>0</v>
      </c>
      <c r="R1229" s="6">
        <f>IF(ISERROR(VLOOKUP(F1229,#REF!,4,0)),0,VLOOKUP(F1229,#REF!,4,0))</f>
        <v>0</v>
      </c>
      <c r="S1229" s="8">
        <f>IF(ISERROR(VLOOKUP(F1229,#REF!,4,0)),0,VLOOKUP(F1229,#REF!,10,0)/60*K1229)</f>
        <v>0</v>
      </c>
      <c r="T1229" s="3"/>
      <c r="U1229" s="3"/>
      <c r="V1229" s="4"/>
    </row>
    <row r="1230" spans="1:22" x14ac:dyDescent="0.3">
      <c r="A1230" s="5">
        <f t="shared" si="58"/>
        <v>0</v>
      </c>
      <c r="B1230" s="6">
        <f t="shared" si="59"/>
        <v>0</v>
      </c>
      <c r="K1230" s="18">
        <f t="shared" si="57"/>
        <v>0</v>
      </c>
      <c r="L1230" s="21">
        <f>IF(ISERROR(VLOOKUP($F1230,#REF!,6,0)*G1230/1000),0,VLOOKUP($F1230,#REF!,6,0)*G1230/1000)</f>
        <v>0</v>
      </c>
      <c r="M1230" s="21">
        <f>IF(ISERROR(VLOOKUP($F1230,#REF!,6,0)*H1230/1000),0,VLOOKUP($F1230,#REF!,6,0)*H1230/1000)</f>
        <v>0</v>
      </c>
      <c r="N1230" s="21">
        <f>IF(ISERROR(VLOOKUP($F1230,#REF!,6,0)*I1230/1000),0,VLOOKUP($F1230,#REF!,6,0)*I1230/1000)</f>
        <v>0</v>
      </c>
      <c r="O1230" s="21">
        <f>IF(ISERROR(VLOOKUP($F1230,#REF!,6,0)*J1230/1000),0,VLOOKUP($F1230,#REF!,6,0)*J1230/1000)</f>
        <v>0</v>
      </c>
      <c r="P1230" s="21">
        <f>IF(ISERROR(VLOOKUP(F1230,#REF!,6,0)*K1230/1000),0,VLOOKUP(F1230,#REF!,6,0)*K1230/1000)</f>
        <v>0</v>
      </c>
      <c r="Q1230" s="6">
        <f>IF(ISERROR(VLOOKUP(F1230,#REF!,3,0)),0,VLOOKUP(F1230,#REF!,3,0))</f>
        <v>0</v>
      </c>
      <c r="R1230" s="6">
        <f>IF(ISERROR(VLOOKUP(F1230,#REF!,4,0)),0,VLOOKUP(F1230,#REF!,4,0))</f>
        <v>0</v>
      </c>
      <c r="S1230" s="8">
        <f>IF(ISERROR(VLOOKUP(F1230,#REF!,4,0)),0,VLOOKUP(F1230,#REF!,10,0)/60*K1230)</f>
        <v>0</v>
      </c>
      <c r="T1230" s="3"/>
      <c r="U1230" s="3"/>
      <c r="V1230" s="4"/>
    </row>
    <row r="1231" spans="1:22" x14ac:dyDescent="0.3">
      <c r="A1231" s="5">
        <f t="shared" si="58"/>
        <v>0</v>
      </c>
      <c r="B1231" s="6">
        <f t="shared" si="59"/>
        <v>0</v>
      </c>
      <c r="K1231" s="18">
        <f t="shared" si="57"/>
        <v>0</v>
      </c>
      <c r="L1231" s="21">
        <f>IF(ISERROR(VLOOKUP($F1231,#REF!,6,0)*G1231/1000),0,VLOOKUP($F1231,#REF!,6,0)*G1231/1000)</f>
        <v>0</v>
      </c>
      <c r="M1231" s="21">
        <f>IF(ISERROR(VLOOKUP($F1231,#REF!,6,0)*H1231/1000),0,VLOOKUP($F1231,#REF!,6,0)*H1231/1000)</f>
        <v>0</v>
      </c>
      <c r="N1231" s="21">
        <f>IF(ISERROR(VLOOKUP($F1231,#REF!,6,0)*I1231/1000),0,VLOOKUP($F1231,#REF!,6,0)*I1231/1000)</f>
        <v>0</v>
      </c>
      <c r="O1231" s="21">
        <f>IF(ISERROR(VLOOKUP($F1231,#REF!,6,0)*J1231/1000),0,VLOOKUP($F1231,#REF!,6,0)*J1231/1000)</f>
        <v>0</v>
      </c>
      <c r="P1231" s="21">
        <f>IF(ISERROR(VLOOKUP(F1231,#REF!,6,0)*K1231/1000),0,VLOOKUP(F1231,#REF!,6,0)*K1231/1000)</f>
        <v>0</v>
      </c>
      <c r="Q1231" s="6">
        <f>IF(ISERROR(VLOOKUP(F1231,#REF!,3,0)),0,VLOOKUP(F1231,#REF!,3,0))</f>
        <v>0</v>
      </c>
      <c r="R1231" s="6">
        <f>IF(ISERROR(VLOOKUP(F1231,#REF!,4,0)),0,VLOOKUP(F1231,#REF!,4,0))</f>
        <v>0</v>
      </c>
      <c r="S1231" s="8">
        <f>IF(ISERROR(VLOOKUP(F1231,#REF!,4,0)),0,VLOOKUP(F1231,#REF!,10,0)/60*K1231)</f>
        <v>0</v>
      </c>
      <c r="T1231" s="3"/>
      <c r="U1231" s="3"/>
      <c r="V1231" s="4"/>
    </row>
    <row r="1232" spans="1:22" x14ac:dyDescent="0.3">
      <c r="A1232" s="5">
        <f t="shared" si="58"/>
        <v>0</v>
      </c>
      <c r="B1232" s="6">
        <f t="shared" si="59"/>
        <v>0</v>
      </c>
      <c r="K1232" s="18">
        <f t="shared" si="57"/>
        <v>0</v>
      </c>
      <c r="L1232" s="21">
        <f>IF(ISERROR(VLOOKUP($F1232,#REF!,6,0)*G1232/1000),0,VLOOKUP($F1232,#REF!,6,0)*G1232/1000)</f>
        <v>0</v>
      </c>
      <c r="M1232" s="21">
        <f>IF(ISERROR(VLOOKUP($F1232,#REF!,6,0)*H1232/1000),0,VLOOKUP($F1232,#REF!,6,0)*H1232/1000)</f>
        <v>0</v>
      </c>
      <c r="N1232" s="21">
        <f>IF(ISERROR(VLOOKUP($F1232,#REF!,6,0)*I1232/1000),0,VLOOKUP($F1232,#REF!,6,0)*I1232/1000)</f>
        <v>0</v>
      </c>
      <c r="O1232" s="21">
        <f>IF(ISERROR(VLOOKUP($F1232,#REF!,6,0)*J1232/1000),0,VLOOKUP($F1232,#REF!,6,0)*J1232/1000)</f>
        <v>0</v>
      </c>
      <c r="P1232" s="21">
        <f>IF(ISERROR(VLOOKUP(F1232,#REF!,6,0)*K1232/1000),0,VLOOKUP(F1232,#REF!,6,0)*K1232/1000)</f>
        <v>0</v>
      </c>
      <c r="Q1232" s="6">
        <f>IF(ISERROR(VLOOKUP(F1232,#REF!,3,0)),0,VLOOKUP(F1232,#REF!,3,0))</f>
        <v>0</v>
      </c>
      <c r="R1232" s="6">
        <f>IF(ISERROR(VLOOKUP(F1232,#REF!,4,0)),0,VLOOKUP(F1232,#REF!,4,0))</f>
        <v>0</v>
      </c>
      <c r="S1232" s="8">
        <f>IF(ISERROR(VLOOKUP(F1232,#REF!,4,0)),0,VLOOKUP(F1232,#REF!,10,0)/60*K1232)</f>
        <v>0</v>
      </c>
      <c r="T1232" s="3"/>
      <c r="U1232" s="3"/>
      <c r="V1232" s="4"/>
    </row>
    <row r="1233" spans="1:22" x14ac:dyDescent="0.3">
      <c r="A1233" s="5">
        <f t="shared" si="58"/>
        <v>0</v>
      </c>
      <c r="B1233" s="6">
        <f t="shared" si="59"/>
        <v>0</v>
      </c>
      <c r="K1233" s="18">
        <f t="shared" si="57"/>
        <v>0</v>
      </c>
      <c r="L1233" s="21">
        <f>IF(ISERROR(VLOOKUP($F1233,#REF!,6,0)*G1233/1000),0,VLOOKUP($F1233,#REF!,6,0)*G1233/1000)</f>
        <v>0</v>
      </c>
      <c r="M1233" s="21">
        <f>IF(ISERROR(VLOOKUP($F1233,#REF!,6,0)*H1233/1000),0,VLOOKUP($F1233,#REF!,6,0)*H1233/1000)</f>
        <v>0</v>
      </c>
      <c r="N1233" s="21">
        <f>IF(ISERROR(VLOOKUP($F1233,#REF!,6,0)*I1233/1000),0,VLOOKUP($F1233,#REF!,6,0)*I1233/1000)</f>
        <v>0</v>
      </c>
      <c r="O1233" s="21">
        <f>IF(ISERROR(VLOOKUP($F1233,#REF!,6,0)*J1233/1000),0,VLOOKUP($F1233,#REF!,6,0)*J1233/1000)</f>
        <v>0</v>
      </c>
      <c r="P1233" s="21">
        <f>IF(ISERROR(VLOOKUP(F1233,#REF!,6,0)*K1233/1000),0,VLOOKUP(F1233,#REF!,6,0)*K1233/1000)</f>
        <v>0</v>
      </c>
      <c r="Q1233" s="6">
        <f>IF(ISERROR(VLOOKUP(F1233,#REF!,3,0)),0,VLOOKUP(F1233,#REF!,3,0))</f>
        <v>0</v>
      </c>
      <c r="R1233" s="6">
        <f>IF(ISERROR(VLOOKUP(F1233,#REF!,4,0)),0,VLOOKUP(F1233,#REF!,4,0))</f>
        <v>0</v>
      </c>
      <c r="S1233" s="8">
        <f>IF(ISERROR(VLOOKUP(F1233,#REF!,4,0)),0,VLOOKUP(F1233,#REF!,10,0)/60*K1233)</f>
        <v>0</v>
      </c>
      <c r="T1233" s="3"/>
      <c r="U1233" s="3"/>
      <c r="V1233" s="4"/>
    </row>
    <row r="1234" spans="1:22" x14ac:dyDescent="0.3">
      <c r="A1234" s="5">
        <f t="shared" si="58"/>
        <v>0</v>
      </c>
      <c r="B1234" s="6">
        <f t="shared" si="59"/>
        <v>0</v>
      </c>
      <c r="K1234" s="18">
        <f t="shared" si="57"/>
        <v>0</v>
      </c>
      <c r="L1234" s="21">
        <f>IF(ISERROR(VLOOKUP($F1234,#REF!,6,0)*G1234/1000),0,VLOOKUP($F1234,#REF!,6,0)*G1234/1000)</f>
        <v>0</v>
      </c>
      <c r="M1234" s="21">
        <f>IF(ISERROR(VLOOKUP($F1234,#REF!,6,0)*H1234/1000),0,VLOOKUP($F1234,#REF!,6,0)*H1234/1000)</f>
        <v>0</v>
      </c>
      <c r="N1234" s="21">
        <f>IF(ISERROR(VLOOKUP($F1234,#REF!,6,0)*I1234/1000),0,VLOOKUP($F1234,#REF!,6,0)*I1234/1000)</f>
        <v>0</v>
      </c>
      <c r="O1234" s="21">
        <f>IF(ISERROR(VLOOKUP($F1234,#REF!,6,0)*J1234/1000),0,VLOOKUP($F1234,#REF!,6,0)*J1234/1000)</f>
        <v>0</v>
      </c>
      <c r="P1234" s="21">
        <f>IF(ISERROR(VLOOKUP(F1234,#REF!,6,0)*K1234/1000),0,VLOOKUP(F1234,#REF!,6,0)*K1234/1000)</f>
        <v>0</v>
      </c>
      <c r="Q1234" s="6">
        <f>IF(ISERROR(VLOOKUP(F1234,#REF!,3,0)),0,VLOOKUP(F1234,#REF!,3,0))</f>
        <v>0</v>
      </c>
      <c r="R1234" s="6">
        <f>IF(ISERROR(VLOOKUP(F1234,#REF!,4,0)),0,VLOOKUP(F1234,#REF!,4,0))</f>
        <v>0</v>
      </c>
      <c r="S1234" s="8">
        <f>IF(ISERROR(VLOOKUP(F1234,#REF!,4,0)),0,VLOOKUP(F1234,#REF!,10,0)/60*K1234)</f>
        <v>0</v>
      </c>
      <c r="T1234" s="3"/>
      <c r="U1234" s="3"/>
      <c r="V1234" s="4"/>
    </row>
    <row r="1235" spans="1:22" x14ac:dyDescent="0.3">
      <c r="A1235" s="5">
        <f t="shared" si="58"/>
        <v>0</v>
      </c>
      <c r="B1235" s="6">
        <f t="shared" si="59"/>
        <v>0</v>
      </c>
      <c r="K1235" s="18">
        <f t="shared" si="57"/>
        <v>0</v>
      </c>
      <c r="L1235" s="21">
        <f>IF(ISERROR(VLOOKUP($F1235,#REF!,6,0)*G1235/1000),0,VLOOKUP($F1235,#REF!,6,0)*G1235/1000)</f>
        <v>0</v>
      </c>
      <c r="M1235" s="21">
        <f>IF(ISERROR(VLOOKUP($F1235,#REF!,6,0)*H1235/1000),0,VLOOKUP($F1235,#REF!,6,0)*H1235/1000)</f>
        <v>0</v>
      </c>
      <c r="N1235" s="21">
        <f>IF(ISERROR(VLOOKUP($F1235,#REF!,6,0)*I1235/1000),0,VLOOKUP($F1235,#REF!,6,0)*I1235/1000)</f>
        <v>0</v>
      </c>
      <c r="O1235" s="21">
        <f>IF(ISERROR(VLOOKUP($F1235,#REF!,6,0)*J1235/1000),0,VLOOKUP($F1235,#REF!,6,0)*J1235/1000)</f>
        <v>0</v>
      </c>
      <c r="P1235" s="21">
        <f>IF(ISERROR(VLOOKUP(F1235,#REF!,6,0)*K1235/1000),0,VLOOKUP(F1235,#REF!,6,0)*K1235/1000)</f>
        <v>0</v>
      </c>
      <c r="Q1235" s="6">
        <f>IF(ISERROR(VLOOKUP(F1235,#REF!,3,0)),0,VLOOKUP(F1235,#REF!,3,0))</f>
        <v>0</v>
      </c>
      <c r="R1235" s="6">
        <f>IF(ISERROR(VLOOKUP(F1235,#REF!,4,0)),0,VLOOKUP(F1235,#REF!,4,0))</f>
        <v>0</v>
      </c>
      <c r="S1235" s="8">
        <f>IF(ISERROR(VLOOKUP(F1235,#REF!,4,0)),0,VLOOKUP(F1235,#REF!,10,0)/60*K1235)</f>
        <v>0</v>
      </c>
      <c r="T1235" s="3"/>
      <c r="U1235" s="3"/>
      <c r="V1235" s="4"/>
    </row>
    <row r="1236" spans="1:22" x14ac:dyDescent="0.3">
      <c r="A1236" s="5">
        <f t="shared" si="58"/>
        <v>0</v>
      </c>
      <c r="B1236" s="6">
        <f t="shared" si="59"/>
        <v>0</v>
      </c>
      <c r="K1236" s="18">
        <f t="shared" si="57"/>
        <v>0</v>
      </c>
      <c r="L1236" s="21">
        <f>IF(ISERROR(VLOOKUP($F1236,#REF!,6,0)*G1236/1000),0,VLOOKUP($F1236,#REF!,6,0)*G1236/1000)</f>
        <v>0</v>
      </c>
      <c r="M1236" s="21">
        <f>IF(ISERROR(VLOOKUP($F1236,#REF!,6,0)*H1236/1000),0,VLOOKUP($F1236,#REF!,6,0)*H1236/1000)</f>
        <v>0</v>
      </c>
      <c r="N1236" s="21">
        <f>IF(ISERROR(VLOOKUP($F1236,#REF!,6,0)*I1236/1000),0,VLOOKUP($F1236,#REF!,6,0)*I1236/1000)</f>
        <v>0</v>
      </c>
      <c r="O1236" s="21">
        <f>IF(ISERROR(VLOOKUP($F1236,#REF!,6,0)*J1236/1000),0,VLOOKUP($F1236,#REF!,6,0)*J1236/1000)</f>
        <v>0</v>
      </c>
      <c r="P1236" s="21">
        <f>IF(ISERROR(VLOOKUP(F1236,#REF!,6,0)*K1236/1000),0,VLOOKUP(F1236,#REF!,6,0)*K1236/1000)</f>
        <v>0</v>
      </c>
      <c r="Q1236" s="6">
        <f>IF(ISERROR(VLOOKUP(F1236,#REF!,3,0)),0,VLOOKUP(F1236,#REF!,3,0))</f>
        <v>0</v>
      </c>
      <c r="R1236" s="6">
        <f>IF(ISERROR(VLOOKUP(F1236,#REF!,4,0)),0,VLOOKUP(F1236,#REF!,4,0))</f>
        <v>0</v>
      </c>
      <c r="S1236" s="8">
        <f>IF(ISERROR(VLOOKUP(F1236,#REF!,4,0)),0,VLOOKUP(F1236,#REF!,10,0)/60*K1236)</f>
        <v>0</v>
      </c>
      <c r="T1236" s="3"/>
      <c r="U1236" s="3"/>
      <c r="V1236" s="4"/>
    </row>
    <row r="1237" spans="1:22" x14ac:dyDescent="0.3">
      <c r="A1237" s="5">
        <f t="shared" si="58"/>
        <v>0</v>
      </c>
      <c r="B1237" s="6">
        <f t="shared" si="59"/>
        <v>0</v>
      </c>
      <c r="K1237" s="18">
        <f t="shared" si="57"/>
        <v>0</v>
      </c>
      <c r="L1237" s="21">
        <f>IF(ISERROR(VLOOKUP($F1237,#REF!,6,0)*G1237/1000),0,VLOOKUP($F1237,#REF!,6,0)*G1237/1000)</f>
        <v>0</v>
      </c>
      <c r="M1237" s="21">
        <f>IF(ISERROR(VLOOKUP($F1237,#REF!,6,0)*H1237/1000),0,VLOOKUP($F1237,#REF!,6,0)*H1237/1000)</f>
        <v>0</v>
      </c>
      <c r="N1237" s="21">
        <f>IF(ISERROR(VLOOKUP($F1237,#REF!,6,0)*I1237/1000),0,VLOOKUP($F1237,#REF!,6,0)*I1237/1000)</f>
        <v>0</v>
      </c>
      <c r="O1237" s="21">
        <f>IF(ISERROR(VLOOKUP($F1237,#REF!,6,0)*J1237/1000),0,VLOOKUP($F1237,#REF!,6,0)*J1237/1000)</f>
        <v>0</v>
      </c>
      <c r="P1237" s="21">
        <f>IF(ISERROR(VLOOKUP(F1237,#REF!,6,0)*K1237/1000),0,VLOOKUP(F1237,#REF!,6,0)*K1237/1000)</f>
        <v>0</v>
      </c>
      <c r="Q1237" s="6">
        <f>IF(ISERROR(VLOOKUP(F1237,#REF!,3,0)),0,VLOOKUP(F1237,#REF!,3,0))</f>
        <v>0</v>
      </c>
      <c r="R1237" s="6">
        <f>IF(ISERROR(VLOOKUP(F1237,#REF!,4,0)),0,VLOOKUP(F1237,#REF!,4,0))</f>
        <v>0</v>
      </c>
      <c r="S1237" s="8">
        <f>IF(ISERROR(VLOOKUP(F1237,#REF!,4,0)),0,VLOOKUP(F1237,#REF!,10,0)/60*K1237)</f>
        <v>0</v>
      </c>
      <c r="T1237" s="3"/>
      <c r="U1237" s="3"/>
      <c r="V1237" s="4"/>
    </row>
    <row r="1238" spans="1:22" x14ac:dyDescent="0.3">
      <c r="A1238" s="5">
        <f t="shared" si="58"/>
        <v>0</v>
      </c>
      <c r="B1238" s="6">
        <f t="shared" si="59"/>
        <v>0</v>
      </c>
      <c r="K1238" s="18">
        <f t="shared" si="57"/>
        <v>0</v>
      </c>
      <c r="L1238" s="21">
        <f>IF(ISERROR(VLOOKUP($F1238,#REF!,6,0)*G1238/1000),0,VLOOKUP($F1238,#REF!,6,0)*G1238/1000)</f>
        <v>0</v>
      </c>
      <c r="M1238" s="21">
        <f>IF(ISERROR(VLOOKUP($F1238,#REF!,6,0)*H1238/1000),0,VLOOKUP($F1238,#REF!,6,0)*H1238/1000)</f>
        <v>0</v>
      </c>
      <c r="N1238" s="21">
        <f>IF(ISERROR(VLOOKUP($F1238,#REF!,6,0)*I1238/1000),0,VLOOKUP($F1238,#REF!,6,0)*I1238/1000)</f>
        <v>0</v>
      </c>
      <c r="O1238" s="21">
        <f>IF(ISERROR(VLOOKUP($F1238,#REF!,6,0)*J1238/1000),0,VLOOKUP($F1238,#REF!,6,0)*J1238/1000)</f>
        <v>0</v>
      </c>
      <c r="P1238" s="21">
        <f>IF(ISERROR(VLOOKUP(F1238,#REF!,6,0)*K1238/1000),0,VLOOKUP(F1238,#REF!,6,0)*K1238/1000)</f>
        <v>0</v>
      </c>
      <c r="Q1238" s="6">
        <f>IF(ISERROR(VLOOKUP(F1238,#REF!,3,0)),0,VLOOKUP(F1238,#REF!,3,0))</f>
        <v>0</v>
      </c>
      <c r="R1238" s="6">
        <f>IF(ISERROR(VLOOKUP(F1238,#REF!,4,0)),0,VLOOKUP(F1238,#REF!,4,0))</f>
        <v>0</v>
      </c>
      <c r="S1238" s="8">
        <f>IF(ISERROR(VLOOKUP(F1238,#REF!,4,0)),0,VLOOKUP(F1238,#REF!,10,0)/60*K1238)</f>
        <v>0</v>
      </c>
      <c r="T1238" s="3"/>
      <c r="U1238" s="3"/>
      <c r="V1238" s="4"/>
    </row>
    <row r="1239" spans="1:22" x14ac:dyDescent="0.3">
      <c r="A1239" s="5">
        <f t="shared" si="58"/>
        <v>0</v>
      </c>
      <c r="B1239" s="6">
        <f t="shared" si="59"/>
        <v>0</v>
      </c>
      <c r="K1239" s="18">
        <f t="shared" si="57"/>
        <v>0</v>
      </c>
      <c r="L1239" s="21">
        <f>IF(ISERROR(VLOOKUP($F1239,#REF!,6,0)*G1239/1000),0,VLOOKUP($F1239,#REF!,6,0)*G1239/1000)</f>
        <v>0</v>
      </c>
      <c r="M1239" s="21">
        <f>IF(ISERROR(VLOOKUP($F1239,#REF!,6,0)*H1239/1000),0,VLOOKUP($F1239,#REF!,6,0)*H1239/1000)</f>
        <v>0</v>
      </c>
      <c r="N1239" s="21">
        <f>IF(ISERROR(VLOOKUP($F1239,#REF!,6,0)*I1239/1000),0,VLOOKUP($F1239,#REF!,6,0)*I1239/1000)</f>
        <v>0</v>
      </c>
      <c r="O1239" s="21">
        <f>IF(ISERROR(VLOOKUP($F1239,#REF!,6,0)*J1239/1000),0,VLOOKUP($F1239,#REF!,6,0)*J1239/1000)</f>
        <v>0</v>
      </c>
      <c r="P1239" s="21">
        <f>IF(ISERROR(VLOOKUP(F1239,#REF!,6,0)*K1239/1000),0,VLOOKUP(F1239,#REF!,6,0)*K1239/1000)</f>
        <v>0</v>
      </c>
      <c r="Q1239" s="6">
        <f>IF(ISERROR(VLOOKUP(F1239,#REF!,3,0)),0,VLOOKUP(F1239,#REF!,3,0))</f>
        <v>0</v>
      </c>
      <c r="R1239" s="6">
        <f>IF(ISERROR(VLOOKUP(F1239,#REF!,4,0)),0,VLOOKUP(F1239,#REF!,4,0))</f>
        <v>0</v>
      </c>
      <c r="S1239" s="8">
        <f>IF(ISERROR(VLOOKUP(F1239,#REF!,4,0)),0,VLOOKUP(F1239,#REF!,10,0)/60*K1239)</f>
        <v>0</v>
      </c>
      <c r="T1239" s="3"/>
      <c r="U1239" s="3"/>
      <c r="V1239" s="4"/>
    </row>
    <row r="1240" spans="1:22" x14ac:dyDescent="0.3">
      <c r="A1240" s="5">
        <f t="shared" si="58"/>
        <v>0</v>
      </c>
      <c r="B1240" s="6">
        <f t="shared" si="59"/>
        <v>0</v>
      </c>
      <c r="K1240" s="18">
        <f t="shared" si="57"/>
        <v>0</v>
      </c>
      <c r="L1240" s="21">
        <f>IF(ISERROR(VLOOKUP($F1240,#REF!,6,0)*G1240/1000),0,VLOOKUP($F1240,#REF!,6,0)*G1240/1000)</f>
        <v>0</v>
      </c>
      <c r="M1240" s="21">
        <f>IF(ISERROR(VLOOKUP($F1240,#REF!,6,0)*H1240/1000),0,VLOOKUP($F1240,#REF!,6,0)*H1240/1000)</f>
        <v>0</v>
      </c>
      <c r="N1240" s="21">
        <f>IF(ISERROR(VLOOKUP($F1240,#REF!,6,0)*I1240/1000),0,VLOOKUP($F1240,#REF!,6,0)*I1240/1000)</f>
        <v>0</v>
      </c>
      <c r="O1240" s="21">
        <f>IF(ISERROR(VLOOKUP($F1240,#REF!,6,0)*J1240/1000),0,VLOOKUP($F1240,#REF!,6,0)*J1240/1000)</f>
        <v>0</v>
      </c>
      <c r="P1240" s="21">
        <f>IF(ISERROR(VLOOKUP(F1240,#REF!,6,0)*K1240/1000),0,VLOOKUP(F1240,#REF!,6,0)*K1240/1000)</f>
        <v>0</v>
      </c>
      <c r="Q1240" s="6">
        <f>IF(ISERROR(VLOOKUP(F1240,#REF!,3,0)),0,VLOOKUP(F1240,#REF!,3,0))</f>
        <v>0</v>
      </c>
      <c r="R1240" s="6">
        <f>IF(ISERROR(VLOOKUP(F1240,#REF!,4,0)),0,VLOOKUP(F1240,#REF!,4,0))</f>
        <v>0</v>
      </c>
      <c r="S1240" s="8">
        <f>IF(ISERROR(VLOOKUP(F1240,#REF!,4,0)),0,VLOOKUP(F1240,#REF!,10,0)/60*K1240)</f>
        <v>0</v>
      </c>
      <c r="T1240" s="3"/>
      <c r="U1240" s="3"/>
      <c r="V1240" s="4"/>
    </row>
    <row r="1241" spans="1:22" x14ac:dyDescent="0.3">
      <c r="A1241" s="5">
        <f t="shared" si="58"/>
        <v>0</v>
      </c>
      <c r="B1241" s="6">
        <f t="shared" si="59"/>
        <v>0</v>
      </c>
      <c r="K1241" s="18">
        <f t="shared" si="57"/>
        <v>0</v>
      </c>
      <c r="L1241" s="21">
        <f>IF(ISERROR(VLOOKUP($F1241,#REF!,6,0)*G1241/1000),0,VLOOKUP($F1241,#REF!,6,0)*G1241/1000)</f>
        <v>0</v>
      </c>
      <c r="M1241" s="21">
        <f>IF(ISERROR(VLOOKUP($F1241,#REF!,6,0)*H1241/1000),0,VLOOKUP($F1241,#REF!,6,0)*H1241/1000)</f>
        <v>0</v>
      </c>
      <c r="N1241" s="21">
        <f>IF(ISERROR(VLOOKUP($F1241,#REF!,6,0)*I1241/1000),0,VLOOKUP($F1241,#REF!,6,0)*I1241/1000)</f>
        <v>0</v>
      </c>
      <c r="O1241" s="21">
        <f>IF(ISERROR(VLOOKUP($F1241,#REF!,6,0)*J1241/1000),0,VLOOKUP($F1241,#REF!,6,0)*J1241/1000)</f>
        <v>0</v>
      </c>
      <c r="P1241" s="21">
        <f>IF(ISERROR(VLOOKUP(F1241,#REF!,6,0)*K1241/1000),0,VLOOKUP(F1241,#REF!,6,0)*K1241/1000)</f>
        <v>0</v>
      </c>
      <c r="Q1241" s="6">
        <f>IF(ISERROR(VLOOKUP(F1241,#REF!,3,0)),0,VLOOKUP(F1241,#REF!,3,0))</f>
        <v>0</v>
      </c>
      <c r="R1241" s="6">
        <f>IF(ISERROR(VLOOKUP(F1241,#REF!,4,0)),0,VLOOKUP(F1241,#REF!,4,0))</f>
        <v>0</v>
      </c>
      <c r="S1241" s="8">
        <f>IF(ISERROR(VLOOKUP(F1241,#REF!,4,0)),0,VLOOKUP(F1241,#REF!,10,0)/60*K1241)</f>
        <v>0</v>
      </c>
      <c r="T1241" s="3"/>
      <c r="U1241" s="3"/>
      <c r="V1241" s="4"/>
    </row>
    <row r="1242" spans="1:22" x14ac:dyDescent="0.3">
      <c r="A1242" s="5">
        <f t="shared" si="58"/>
        <v>0</v>
      </c>
      <c r="B1242" s="6">
        <f t="shared" si="59"/>
        <v>0</v>
      </c>
      <c r="K1242" s="18">
        <f t="shared" si="57"/>
        <v>0</v>
      </c>
      <c r="L1242" s="21">
        <f>IF(ISERROR(VLOOKUP($F1242,#REF!,6,0)*G1242/1000),0,VLOOKUP($F1242,#REF!,6,0)*G1242/1000)</f>
        <v>0</v>
      </c>
      <c r="M1242" s="21">
        <f>IF(ISERROR(VLOOKUP($F1242,#REF!,6,0)*H1242/1000),0,VLOOKUP($F1242,#REF!,6,0)*H1242/1000)</f>
        <v>0</v>
      </c>
      <c r="N1242" s="21">
        <f>IF(ISERROR(VLOOKUP($F1242,#REF!,6,0)*I1242/1000),0,VLOOKUP($F1242,#REF!,6,0)*I1242/1000)</f>
        <v>0</v>
      </c>
      <c r="O1242" s="21">
        <f>IF(ISERROR(VLOOKUP($F1242,#REF!,6,0)*J1242/1000),0,VLOOKUP($F1242,#REF!,6,0)*J1242/1000)</f>
        <v>0</v>
      </c>
      <c r="P1242" s="21">
        <f>IF(ISERROR(VLOOKUP(F1242,#REF!,6,0)*K1242/1000),0,VLOOKUP(F1242,#REF!,6,0)*K1242/1000)</f>
        <v>0</v>
      </c>
      <c r="Q1242" s="6">
        <f>IF(ISERROR(VLOOKUP(F1242,#REF!,3,0)),0,VLOOKUP(F1242,#REF!,3,0))</f>
        <v>0</v>
      </c>
      <c r="R1242" s="6">
        <f>IF(ISERROR(VLOOKUP(F1242,#REF!,4,0)),0,VLOOKUP(F1242,#REF!,4,0))</f>
        <v>0</v>
      </c>
      <c r="S1242" s="8">
        <f>IF(ISERROR(VLOOKUP(F1242,#REF!,4,0)),0,VLOOKUP(F1242,#REF!,10,0)/60*K1242)</f>
        <v>0</v>
      </c>
      <c r="T1242" s="3"/>
      <c r="U1242" s="3"/>
      <c r="V1242" s="4"/>
    </row>
    <row r="1243" spans="1:22" x14ac:dyDescent="0.3">
      <c r="A1243" s="5">
        <f t="shared" si="58"/>
        <v>0</v>
      </c>
      <c r="B1243" s="6">
        <f t="shared" si="59"/>
        <v>0</v>
      </c>
      <c r="K1243" s="18">
        <f t="shared" si="57"/>
        <v>0</v>
      </c>
      <c r="L1243" s="21">
        <f>IF(ISERROR(VLOOKUP($F1243,#REF!,6,0)*G1243/1000),0,VLOOKUP($F1243,#REF!,6,0)*G1243/1000)</f>
        <v>0</v>
      </c>
      <c r="M1243" s="21">
        <f>IF(ISERROR(VLOOKUP($F1243,#REF!,6,0)*H1243/1000),0,VLOOKUP($F1243,#REF!,6,0)*H1243/1000)</f>
        <v>0</v>
      </c>
      <c r="N1243" s="21">
        <f>IF(ISERROR(VLOOKUP($F1243,#REF!,6,0)*I1243/1000),0,VLOOKUP($F1243,#REF!,6,0)*I1243/1000)</f>
        <v>0</v>
      </c>
      <c r="O1243" s="21">
        <f>IF(ISERROR(VLOOKUP($F1243,#REF!,6,0)*J1243/1000),0,VLOOKUP($F1243,#REF!,6,0)*J1243/1000)</f>
        <v>0</v>
      </c>
      <c r="P1243" s="21">
        <f>IF(ISERROR(VLOOKUP(F1243,#REF!,6,0)*K1243/1000),0,VLOOKUP(F1243,#REF!,6,0)*K1243/1000)</f>
        <v>0</v>
      </c>
      <c r="Q1243" s="6">
        <f>IF(ISERROR(VLOOKUP(F1243,#REF!,3,0)),0,VLOOKUP(F1243,#REF!,3,0))</f>
        <v>0</v>
      </c>
      <c r="R1243" s="6">
        <f>IF(ISERROR(VLOOKUP(F1243,#REF!,4,0)),0,VLOOKUP(F1243,#REF!,4,0))</f>
        <v>0</v>
      </c>
      <c r="S1243" s="8">
        <f>IF(ISERROR(VLOOKUP(F1243,#REF!,4,0)),0,VLOOKUP(F1243,#REF!,10,0)/60*K1243)</f>
        <v>0</v>
      </c>
      <c r="T1243" s="3"/>
      <c r="U1243" s="3"/>
      <c r="V1243" s="4"/>
    </row>
    <row r="1244" spans="1:22" x14ac:dyDescent="0.3">
      <c r="A1244" s="5">
        <f t="shared" si="58"/>
        <v>0</v>
      </c>
      <c r="B1244" s="6">
        <f t="shared" si="59"/>
        <v>0</v>
      </c>
      <c r="K1244" s="18">
        <f t="shared" si="57"/>
        <v>0</v>
      </c>
      <c r="L1244" s="21">
        <f>IF(ISERROR(VLOOKUP($F1244,#REF!,6,0)*G1244/1000),0,VLOOKUP($F1244,#REF!,6,0)*G1244/1000)</f>
        <v>0</v>
      </c>
      <c r="M1244" s="21">
        <f>IF(ISERROR(VLOOKUP($F1244,#REF!,6,0)*H1244/1000),0,VLOOKUP($F1244,#REF!,6,0)*H1244/1000)</f>
        <v>0</v>
      </c>
      <c r="N1244" s="21">
        <f>IF(ISERROR(VLOOKUP($F1244,#REF!,6,0)*I1244/1000),0,VLOOKUP($F1244,#REF!,6,0)*I1244/1000)</f>
        <v>0</v>
      </c>
      <c r="O1244" s="21">
        <f>IF(ISERROR(VLOOKUP($F1244,#REF!,6,0)*J1244/1000),0,VLOOKUP($F1244,#REF!,6,0)*J1244/1000)</f>
        <v>0</v>
      </c>
      <c r="P1244" s="21">
        <f>IF(ISERROR(VLOOKUP(F1244,#REF!,6,0)*K1244/1000),0,VLOOKUP(F1244,#REF!,6,0)*K1244/1000)</f>
        <v>0</v>
      </c>
      <c r="Q1244" s="6">
        <f>IF(ISERROR(VLOOKUP(F1244,#REF!,3,0)),0,VLOOKUP(F1244,#REF!,3,0))</f>
        <v>0</v>
      </c>
      <c r="R1244" s="6">
        <f>IF(ISERROR(VLOOKUP(F1244,#REF!,4,0)),0,VLOOKUP(F1244,#REF!,4,0))</f>
        <v>0</v>
      </c>
      <c r="S1244" s="8">
        <f>IF(ISERROR(VLOOKUP(F1244,#REF!,4,0)),0,VLOOKUP(F1244,#REF!,10,0)/60*K1244)</f>
        <v>0</v>
      </c>
      <c r="T1244" s="3"/>
      <c r="U1244" s="3"/>
      <c r="V1244" s="4"/>
    </row>
    <row r="1245" spans="1:22" x14ac:dyDescent="0.3">
      <c r="A1245" s="5">
        <f t="shared" si="58"/>
        <v>0</v>
      </c>
      <c r="B1245" s="6">
        <f t="shared" si="59"/>
        <v>0</v>
      </c>
      <c r="K1245" s="18">
        <f t="shared" si="57"/>
        <v>0</v>
      </c>
      <c r="L1245" s="21">
        <f>IF(ISERROR(VLOOKUP($F1245,#REF!,6,0)*G1245/1000),0,VLOOKUP($F1245,#REF!,6,0)*G1245/1000)</f>
        <v>0</v>
      </c>
      <c r="M1245" s="21">
        <f>IF(ISERROR(VLOOKUP($F1245,#REF!,6,0)*H1245/1000),0,VLOOKUP($F1245,#REF!,6,0)*H1245/1000)</f>
        <v>0</v>
      </c>
      <c r="N1245" s="21">
        <f>IF(ISERROR(VLOOKUP($F1245,#REF!,6,0)*I1245/1000),0,VLOOKUP($F1245,#REF!,6,0)*I1245/1000)</f>
        <v>0</v>
      </c>
      <c r="O1245" s="21">
        <f>IF(ISERROR(VLOOKUP($F1245,#REF!,6,0)*J1245/1000),0,VLOOKUP($F1245,#REF!,6,0)*J1245/1000)</f>
        <v>0</v>
      </c>
      <c r="P1245" s="21">
        <f>IF(ISERROR(VLOOKUP(F1245,#REF!,6,0)*K1245/1000),0,VLOOKUP(F1245,#REF!,6,0)*K1245/1000)</f>
        <v>0</v>
      </c>
      <c r="Q1245" s="6">
        <f>IF(ISERROR(VLOOKUP(F1245,#REF!,3,0)),0,VLOOKUP(F1245,#REF!,3,0))</f>
        <v>0</v>
      </c>
      <c r="R1245" s="6">
        <f>IF(ISERROR(VLOOKUP(F1245,#REF!,4,0)),0,VLOOKUP(F1245,#REF!,4,0))</f>
        <v>0</v>
      </c>
      <c r="S1245" s="8">
        <f>IF(ISERROR(VLOOKUP(F1245,#REF!,4,0)),0,VLOOKUP(F1245,#REF!,10,0)/60*K1245)</f>
        <v>0</v>
      </c>
      <c r="T1245" s="3"/>
      <c r="U1245" s="3"/>
      <c r="V1245" s="4"/>
    </row>
    <row r="1246" spans="1:22" x14ac:dyDescent="0.3">
      <c r="A1246" s="5">
        <f t="shared" si="58"/>
        <v>0</v>
      </c>
      <c r="B1246" s="6">
        <f t="shared" si="59"/>
        <v>0</v>
      </c>
      <c r="K1246" s="18">
        <f t="shared" si="57"/>
        <v>0</v>
      </c>
      <c r="L1246" s="21">
        <f>IF(ISERROR(VLOOKUP($F1246,#REF!,6,0)*G1246/1000),0,VLOOKUP($F1246,#REF!,6,0)*G1246/1000)</f>
        <v>0</v>
      </c>
      <c r="M1246" s="21">
        <f>IF(ISERROR(VLOOKUP($F1246,#REF!,6,0)*H1246/1000),0,VLOOKUP($F1246,#REF!,6,0)*H1246/1000)</f>
        <v>0</v>
      </c>
      <c r="N1246" s="21">
        <f>IF(ISERROR(VLOOKUP($F1246,#REF!,6,0)*I1246/1000),0,VLOOKUP($F1246,#REF!,6,0)*I1246/1000)</f>
        <v>0</v>
      </c>
      <c r="O1246" s="21">
        <f>IF(ISERROR(VLOOKUP($F1246,#REF!,6,0)*J1246/1000),0,VLOOKUP($F1246,#REF!,6,0)*J1246/1000)</f>
        <v>0</v>
      </c>
      <c r="P1246" s="21">
        <f>IF(ISERROR(VLOOKUP(F1246,#REF!,6,0)*K1246/1000),0,VLOOKUP(F1246,#REF!,6,0)*K1246/1000)</f>
        <v>0</v>
      </c>
      <c r="Q1246" s="6">
        <f>IF(ISERROR(VLOOKUP(F1246,#REF!,3,0)),0,VLOOKUP(F1246,#REF!,3,0))</f>
        <v>0</v>
      </c>
      <c r="R1246" s="6">
        <f>IF(ISERROR(VLOOKUP(F1246,#REF!,4,0)),0,VLOOKUP(F1246,#REF!,4,0))</f>
        <v>0</v>
      </c>
      <c r="S1246" s="8">
        <f>IF(ISERROR(VLOOKUP(F1246,#REF!,4,0)),0,VLOOKUP(F1246,#REF!,10,0)/60*K1246)</f>
        <v>0</v>
      </c>
      <c r="T1246" s="3"/>
      <c r="U1246" s="3"/>
      <c r="V1246" s="4"/>
    </row>
    <row r="1247" spans="1:22" x14ac:dyDescent="0.3">
      <c r="A1247" s="5">
        <f t="shared" si="58"/>
        <v>0</v>
      </c>
      <c r="B1247" s="6">
        <f t="shared" si="59"/>
        <v>0</v>
      </c>
      <c r="K1247" s="18">
        <f t="shared" si="57"/>
        <v>0</v>
      </c>
      <c r="L1247" s="21">
        <f>IF(ISERROR(VLOOKUP($F1247,#REF!,6,0)*G1247/1000),0,VLOOKUP($F1247,#REF!,6,0)*G1247/1000)</f>
        <v>0</v>
      </c>
      <c r="M1247" s="21">
        <f>IF(ISERROR(VLOOKUP($F1247,#REF!,6,0)*H1247/1000),0,VLOOKUP($F1247,#REF!,6,0)*H1247/1000)</f>
        <v>0</v>
      </c>
      <c r="N1247" s="21">
        <f>IF(ISERROR(VLOOKUP($F1247,#REF!,6,0)*I1247/1000),0,VLOOKUP($F1247,#REF!,6,0)*I1247/1000)</f>
        <v>0</v>
      </c>
      <c r="O1247" s="21">
        <f>IF(ISERROR(VLOOKUP($F1247,#REF!,6,0)*J1247/1000),0,VLOOKUP($F1247,#REF!,6,0)*J1247/1000)</f>
        <v>0</v>
      </c>
      <c r="P1247" s="21">
        <f>IF(ISERROR(VLOOKUP(F1247,#REF!,6,0)*K1247/1000),0,VLOOKUP(F1247,#REF!,6,0)*K1247/1000)</f>
        <v>0</v>
      </c>
      <c r="Q1247" s="6">
        <f>IF(ISERROR(VLOOKUP(F1247,#REF!,3,0)),0,VLOOKUP(F1247,#REF!,3,0))</f>
        <v>0</v>
      </c>
      <c r="R1247" s="6">
        <f>IF(ISERROR(VLOOKUP(F1247,#REF!,4,0)),0,VLOOKUP(F1247,#REF!,4,0))</f>
        <v>0</v>
      </c>
      <c r="S1247" s="8">
        <f>IF(ISERROR(VLOOKUP(F1247,#REF!,4,0)),0,VLOOKUP(F1247,#REF!,10,0)/60*K1247)</f>
        <v>0</v>
      </c>
      <c r="T1247" s="3"/>
      <c r="U1247" s="3"/>
      <c r="V1247" s="4"/>
    </row>
    <row r="1248" spans="1:22" x14ac:dyDescent="0.3">
      <c r="A1248" s="5">
        <f t="shared" si="58"/>
        <v>0</v>
      </c>
      <c r="B1248" s="6">
        <f t="shared" si="59"/>
        <v>0</v>
      </c>
      <c r="K1248" s="18">
        <f t="shared" si="57"/>
        <v>0</v>
      </c>
      <c r="L1248" s="21">
        <f>IF(ISERROR(VLOOKUP($F1248,#REF!,6,0)*G1248/1000),0,VLOOKUP($F1248,#REF!,6,0)*G1248/1000)</f>
        <v>0</v>
      </c>
      <c r="M1248" s="21">
        <f>IF(ISERROR(VLOOKUP($F1248,#REF!,6,0)*H1248/1000),0,VLOOKUP($F1248,#REF!,6,0)*H1248/1000)</f>
        <v>0</v>
      </c>
      <c r="N1248" s="21">
        <f>IF(ISERROR(VLOOKUP($F1248,#REF!,6,0)*I1248/1000),0,VLOOKUP($F1248,#REF!,6,0)*I1248/1000)</f>
        <v>0</v>
      </c>
      <c r="O1248" s="21">
        <f>IF(ISERROR(VLOOKUP($F1248,#REF!,6,0)*J1248/1000),0,VLOOKUP($F1248,#REF!,6,0)*J1248/1000)</f>
        <v>0</v>
      </c>
      <c r="P1248" s="21">
        <f>IF(ISERROR(VLOOKUP(F1248,#REF!,6,0)*K1248/1000),0,VLOOKUP(F1248,#REF!,6,0)*K1248/1000)</f>
        <v>0</v>
      </c>
      <c r="Q1248" s="6">
        <f>IF(ISERROR(VLOOKUP(F1248,#REF!,3,0)),0,VLOOKUP(F1248,#REF!,3,0))</f>
        <v>0</v>
      </c>
      <c r="R1248" s="6">
        <f>IF(ISERROR(VLOOKUP(F1248,#REF!,4,0)),0,VLOOKUP(F1248,#REF!,4,0))</f>
        <v>0</v>
      </c>
      <c r="S1248" s="8">
        <f>IF(ISERROR(VLOOKUP(F1248,#REF!,4,0)),0,VLOOKUP(F1248,#REF!,10,0)/60*K1248)</f>
        <v>0</v>
      </c>
      <c r="T1248" s="3"/>
      <c r="U1248" s="3"/>
      <c r="V1248" s="4"/>
    </row>
    <row r="1249" spans="1:22" x14ac:dyDescent="0.3">
      <c r="A1249" s="5">
        <f t="shared" si="58"/>
        <v>0</v>
      </c>
      <c r="B1249" s="6">
        <f t="shared" si="59"/>
        <v>0</v>
      </c>
      <c r="K1249" s="18">
        <f t="shared" si="57"/>
        <v>0</v>
      </c>
      <c r="L1249" s="21">
        <f>IF(ISERROR(VLOOKUP($F1249,#REF!,6,0)*G1249/1000),0,VLOOKUP($F1249,#REF!,6,0)*G1249/1000)</f>
        <v>0</v>
      </c>
      <c r="M1249" s="21">
        <f>IF(ISERROR(VLOOKUP($F1249,#REF!,6,0)*H1249/1000),0,VLOOKUP($F1249,#REF!,6,0)*H1249/1000)</f>
        <v>0</v>
      </c>
      <c r="N1249" s="21">
        <f>IF(ISERROR(VLOOKUP($F1249,#REF!,6,0)*I1249/1000),0,VLOOKUP($F1249,#REF!,6,0)*I1249/1000)</f>
        <v>0</v>
      </c>
      <c r="O1249" s="21">
        <f>IF(ISERROR(VLOOKUP($F1249,#REF!,6,0)*J1249/1000),0,VLOOKUP($F1249,#REF!,6,0)*J1249/1000)</f>
        <v>0</v>
      </c>
      <c r="P1249" s="21">
        <f>IF(ISERROR(VLOOKUP(F1249,#REF!,6,0)*K1249/1000),0,VLOOKUP(F1249,#REF!,6,0)*K1249/1000)</f>
        <v>0</v>
      </c>
      <c r="Q1249" s="6">
        <f>IF(ISERROR(VLOOKUP(F1249,#REF!,3,0)),0,VLOOKUP(F1249,#REF!,3,0))</f>
        <v>0</v>
      </c>
      <c r="R1249" s="6">
        <f>IF(ISERROR(VLOOKUP(F1249,#REF!,4,0)),0,VLOOKUP(F1249,#REF!,4,0))</f>
        <v>0</v>
      </c>
      <c r="S1249" s="8">
        <f>IF(ISERROR(VLOOKUP(F1249,#REF!,4,0)),0,VLOOKUP(F1249,#REF!,10,0)/60*K1249)</f>
        <v>0</v>
      </c>
      <c r="T1249" s="3"/>
      <c r="U1249" s="3"/>
      <c r="V1249" s="4"/>
    </row>
    <row r="1250" spans="1:22" x14ac:dyDescent="0.3">
      <c r="A1250" s="5">
        <f t="shared" si="58"/>
        <v>0</v>
      </c>
      <c r="B1250" s="6">
        <f t="shared" si="59"/>
        <v>0</v>
      </c>
      <c r="K1250" s="18">
        <f t="shared" si="57"/>
        <v>0</v>
      </c>
      <c r="L1250" s="21">
        <f>IF(ISERROR(VLOOKUP($F1250,#REF!,6,0)*G1250/1000),0,VLOOKUP($F1250,#REF!,6,0)*G1250/1000)</f>
        <v>0</v>
      </c>
      <c r="M1250" s="21">
        <f>IF(ISERROR(VLOOKUP($F1250,#REF!,6,0)*H1250/1000),0,VLOOKUP($F1250,#REF!,6,0)*H1250/1000)</f>
        <v>0</v>
      </c>
      <c r="N1250" s="21">
        <f>IF(ISERROR(VLOOKUP($F1250,#REF!,6,0)*I1250/1000),0,VLOOKUP($F1250,#REF!,6,0)*I1250/1000)</f>
        <v>0</v>
      </c>
      <c r="O1250" s="21">
        <f>IF(ISERROR(VLOOKUP($F1250,#REF!,6,0)*J1250/1000),0,VLOOKUP($F1250,#REF!,6,0)*J1250/1000)</f>
        <v>0</v>
      </c>
      <c r="P1250" s="21">
        <f>IF(ISERROR(VLOOKUP(F1250,#REF!,6,0)*K1250/1000),0,VLOOKUP(F1250,#REF!,6,0)*K1250/1000)</f>
        <v>0</v>
      </c>
      <c r="Q1250" s="6">
        <f>IF(ISERROR(VLOOKUP(F1250,#REF!,3,0)),0,VLOOKUP(F1250,#REF!,3,0))</f>
        <v>0</v>
      </c>
      <c r="R1250" s="6">
        <f>IF(ISERROR(VLOOKUP(F1250,#REF!,4,0)),0,VLOOKUP(F1250,#REF!,4,0))</f>
        <v>0</v>
      </c>
      <c r="S1250" s="8">
        <f>IF(ISERROR(VLOOKUP(F1250,#REF!,4,0)),0,VLOOKUP(F1250,#REF!,10,0)/60*K1250)</f>
        <v>0</v>
      </c>
      <c r="T1250" s="3"/>
      <c r="U1250" s="3"/>
      <c r="V1250" s="4"/>
    </row>
    <row r="1251" spans="1:22" x14ac:dyDescent="0.3">
      <c r="A1251" s="5">
        <f t="shared" si="58"/>
        <v>0</v>
      </c>
      <c r="B1251" s="6">
        <f t="shared" si="59"/>
        <v>0</v>
      </c>
      <c r="K1251" s="18">
        <f t="shared" si="57"/>
        <v>0</v>
      </c>
      <c r="L1251" s="21">
        <f>IF(ISERROR(VLOOKUP($F1251,#REF!,6,0)*G1251/1000),0,VLOOKUP($F1251,#REF!,6,0)*G1251/1000)</f>
        <v>0</v>
      </c>
      <c r="M1251" s="21">
        <f>IF(ISERROR(VLOOKUP($F1251,#REF!,6,0)*H1251/1000),0,VLOOKUP($F1251,#REF!,6,0)*H1251/1000)</f>
        <v>0</v>
      </c>
      <c r="N1251" s="21">
        <f>IF(ISERROR(VLOOKUP($F1251,#REF!,6,0)*I1251/1000),0,VLOOKUP($F1251,#REF!,6,0)*I1251/1000)</f>
        <v>0</v>
      </c>
      <c r="O1251" s="21">
        <f>IF(ISERROR(VLOOKUP($F1251,#REF!,6,0)*J1251/1000),0,VLOOKUP($F1251,#REF!,6,0)*J1251/1000)</f>
        <v>0</v>
      </c>
      <c r="P1251" s="21">
        <f>IF(ISERROR(VLOOKUP(F1251,#REF!,6,0)*K1251/1000),0,VLOOKUP(F1251,#REF!,6,0)*K1251/1000)</f>
        <v>0</v>
      </c>
      <c r="Q1251" s="6">
        <f>IF(ISERROR(VLOOKUP(F1251,#REF!,3,0)),0,VLOOKUP(F1251,#REF!,3,0))</f>
        <v>0</v>
      </c>
      <c r="R1251" s="6">
        <f>IF(ISERROR(VLOOKUP(F1251,#REF!,4,0)),0,VLOOKUP(F1251,#REF!,4,0))</f>
        <v>0</v>
      </c>
      <c r="S1251" s="8">
        <f>IF(ISERROR(VLOOKUP(F1251,#REF!,4,0)),0,VLOOKUP(F1251,#REF!,10,0)/60*K1251)</f>
        <v>0</v>
      </c>
      <c r="T1251" s="3"/>
      <c r="U1251" s="3"/>
      <c r="V1251" s="4"/>
    </row>
    <row r="1252" spans="1:22" x14ac:dyDescent="0.3">
      <c r="A1252" s="5">
        <f t="shared" si="58"/>
        <v>0</v>
      </c>
      <c r="B1252" s="6">
        <f t="shared" si="59"/>
        <v>0</v>
      </c>
      <c r="K1252" s="18">
        <f t="shared" si="57"/>
        <v>0</v>
      </c>
      <c r="L1252" s="21">
        <f>IF(ISERROR(VLOOKUP($F1252,#REF!,6,0)*G1252/1000),0,VLOOKUP($F1252,#REF!,6,0)*G1252/1000)</f>
        <v>0</v>
      </c>
      <c r="M1252" s="21">
        <f>IF(ISERROR(VLOOKUP($F1252,#REF!,6,0)*H1252/1000),0,VLOOKUP($F1252,#REF!,6,0)*H1252/1000)</f>
        <v>0</v>
      </c>
      <c r="N1252" s="21">
        <f>IF(ISERROR(VLOOKUP($F1252,#REF!,6,0)*I1252/1000),0,VLOOKUP($F1252,#REF!,6,0)*I1252/1000)</f>
        <v>0</v>
      </c>
      <c r="O1252" s="21">
        <f>IF(ISERROR(VLOOKUP($F1252,#REF!,6,0)*J1252/1000),0,VLOOKUP($F1252,#REF!,6,0)*J1252/1000)</f>
        <v>0</v>
      </c>
      <c r="P1252" s="21">
        <f>IF(ISERROR(VLOOKUP(F1252,#REF!,6,0)*K1252/1000),0,VLOOKUP(F1252,#REF!,6,0)*K1252/1000)</f>
        <v>0</v>
      </c>
      <c r="Q1252" s="6">
        <f>IF(ISERROR(VLOOKUP(F1252,#REF!,3,0)),0,VLOOKUP(F1252,#REF!,3,0))</f>
        <v>0</v>
      </c>
      <c r="R1252" s="6">
        <f>IF(ISERROR(VLOOKUP(F1252,#REF!,4,0)),0,VLOOKUP(F1252,#REF!,4,0))</f>
        <v>0</v>
      </c>
      <c r="S1252" s="8">
        <f>IF(ISERROR(VLOOKUP(F1252,#REF!,4,0)),0,VLOOKUP(F1252,#REF!,10,0)/60*K1252)</f>
        <v>0</v>
      </c>
      <c r="T1252" s="3"/>
      <c r="U1252" s="3"/>
      <c r="V1252" s="4"/>
    </row>
    <row r="1253" spans="1:22" x14ac:dyDescent="0.3">
      <c r="A1253" s="5">
        <f t="shared" si="58"/>
        <v>0</v>
      </c>
      <c r="B1253" s="6">
        <f t="shared" si="59"/>
        <v>0</v>
      </c>
      <c r="K1253" s="18">
        <f t="shared" si="57"/>
        <v>0</v>
      </c>
      <c r="L1253" s="21">
        <f>IF(ISERROR(VLOOKUP($F1253,#REF!,6,0)*G1253/1000),0,VLOOKUP($F1253,#REF!,6,0)*G1253/1000)</f>
        <v>0</v>
      </c>
      <c r="M1253" s="21">
        <f>IF(ISERROR(VLOOKUP($F1253,#REF!,6,0)*H1253/1000),0,VLOOKUP($F1253,#REF!,6,0)*H1253/1000)</f>
        <v>0</v>
      </c>
      <c r="N1253" s="21">
        <f>IF(ISERROR(VLOOKUP($F1253,#REF!,6,0)*I1253/1000),0,VLOOKUP($F1253,#REF!,6,0)*I1253/1000)</f>
        <v>0</v>
      </c>
      <c r="O1253" s="21">
        <f>IF(ISERROR(VLOOKUP($F1253,#REF!,6,0)*J1253/1000),0,VLOOKUP($F1253,#REF!,6,0)*J1253/1000)</f>
        <v>0</v>
      </c>
      <c r="P1253" s="21">
        <f>IF(ISERROR(VLOOKUP(F1253,#REF!,6,0)*K1253/1000),0,VLOOKUP(F1253,#REF!,6,0)*K1253/1000)</f>
        <v>0</v>
      </c>
      <c r="Q1253" s="6">
        <f>IF(ISERROR(VLOOKUP(F1253,#REF!,3,0)),0,VLOOKUP(F1253,#REF!,3,0))</f>
        <v>0</v>
      </c>
      <c r="R1253" s="6">
        <f>IF(ISERROR(VLOOKUP(F1253,#REF!,4,0)),0,VLOOKUP(F1253,#REF!,4,0))</f>
        <v>0</v>
      </c>
      <c r="S1253" s="8">
        <f>IF(ISERROR(VLOOKUP(F1253,#REF!,4,0)),0,VLOOKUP(F1253,#REF!,10,0)/60*K1253)</f>
        <v>0</v>
      </c>
      <c r="T1253" s="3"/>
      <c r="U1253" s="3"/>
      <c r="V1253" s="4"/>
    </row>
    <row r="1254" spans="1:22" x14ac:dyDescent="0.3">
      <c r="A1254" s="5">
        <f t="shared" si="58"/>
        <v>0</v>
      </c>
      <c r="B1254" s="6">
        <f t="shared" si="59"/>
        <v>0</v>
      </c>
      <c r="K1254" s="18">
        <f t="shared" si="57"/>
        <v>0</v>
      </c>
      <c r="L1254" s="21">
        <f>IF(ISERROR(VLOOKUP($F1254,#REF!,6,0)*G1254/1000),0,VLOOKUP($F1254,#REF!,6,0)*G1254/1000)</f>
        <v>0</v>
      </c>
      <c r="M1254" s="21">
        <f>IF(ISERROR(VLOOKUP($F1254,#REF!,6,0)*H1254/1000),0,VLOOKUP($F1254,#REF!,6,0)*H1254/1000)</f>
        <v>0</v>
      </c>
      <c r="N1254" s="21">
        <f>IF(ISERROR(VLOOKUP($F1254,#REF!,6,0)*I1254/1000),0,VLOOKUP($F1254,#REF!,6,0)*I1254/1000)</f>
        <v>0</v>
      </c>
      <c r="O1254" s="21">
        <f>IF(ISERROR(VLOOKUP($F1254,#REF!,6,0)*J1254/1000),0,VLOOKUP($F1254,#REF!,6,0)*J1254/1000)</f>
        <v>0</v>
      </c>
      <c r="P1254" s="21">
        <f>IF(ISERROR(VLOOKUP(F1254,#REF!,6,0)*K1254/1000),0,VLOOKUP(F1254,#REF!,6,0)*K1254/1000)</f>
        <v>0</v>
      </c>
      <c r="Q1254" s="6">
        <f>IF(ISERROR(VLOOKUP(F1254,#REF!,3,0)),0,VLOOKUP(F1254,#REF!,3,0))</f>
        <v>0</v>
      </c>
      <c r="R1254" s="6">
        <f>IF(ISERROR(VLOOKUP(F1254,#REF!,4,0)),0,VLOOKUP(F1254,#REF!,4,0))</f>
        <v>0</v>
      </c>
      <c r="S1254" s="8">
        <f>IF(ISERROR(VLOOKUP(F1254,#REF!,4,0)),0,VLOOKUP(F1254,#REF!,10,0)/60*K1254)</f>
        <v>0</v>
      </c>
      <c r="T1254" s="3"/>
      <c r="U1254" s="3"/>
      <c r="V1254" s="4"/>
    </row>
    <row r="1255" spans="1:22" x14ac:dyDescent="0.3">
      <c r="A1255" s="5">
        <f t="shared" si="58"/>
        <v>0</v>
      </c>
      <c r="B1255" s="6">
        <f t="shared" si="59"/>
        <v>0</v>
      </c>
      <c r="K1255" s="18">
        <f t="shared" si="57"/>
        <v>0</v>
      </c>
      <c r="L1255" s="21">
        <f>IF(ISERROR(VLOOKUP($F1255,#REF!,6,0)*G1255/1000),0,VLOOKUP($F1255,#REF!,6,0)*G1255/1000)</f>
        <v>0</v>
      </c>
      <c r="M1255" s="21">
        <f>IF(ISERROR(VLOOKUP($F1255,#REF!,6,0)*H1255/1000),0,VLOOKUP($F1255,#REF!,6,0)*H1255/1000)</f>
        <v>0</v>
      </c>
      <c r="N1255" s="21">
        <f>IF(ISERROR(VLOOKUP($F1255,#REF!,6,0)*I1255/1000),0,VLOOKUP($F1255,#REF!,6,0)*I1255/1000)</f>
        <v>0</v>
      </c>
      <c r="O1255" s="21">
        <f>IF(ISERROR(VLOOKUP($F1255,#REF!,6,0)*J1255/1000),0,VLOOKUP($F1255,#REF!,6,0)*J1255/1000)</f>
        <v>0</v>
      </c>
      <c r="P1255" s="21">
        <f>IF(ISERROR(VLOOKUP(F1255,#REF!,6,0)*K1255/1000),0,VLOOKUP(F1255,#REF!,6,0)*K1255/1000)</f>
        <v>0</v>
      </c>
      <c r="Q1255" s="6">
        <f>IF(ISERROR(VLOOKUP(F1255,#REF!,3,0)),0,VLOOKUP(F1255,#REF!,3,0))</f>
        <v>0</v>
      </c>
      <c r="R1255" s="6">
        <f>IF(ISERROR(VLOOKUP(F1255,#REF!,4,0)),0,VLOOKUP(F1255,#REF!,4,0))</f>
        <v>0</v>
      </c>
      <c r="S1255" s="8">
        <f>IF(ISERROR(VLOOKUP(F1255,#REF!,4,0)),0,VLOOKUP(F1255,#REF!,10,0)/60*K1255)</f>
        <v>0</v>
      </c>
      <c r="T1255" s="3"/>
      <c r="U1255" s="3"/>
      <c r="V1255" s="4"/>
    </row>
    <row r="1256" spans="1:22" x14ac:dyDescent="0.3">
      <c r="A1256" s="5">
        <f t="shared" si="58"/>
        <v>0</v>
      </c>
      <c r="B1256" s="6">
        <f t="shared" si="59"/>
        <v>0</v>
      </c>
      <c r="K1256" s="18">
        <f t="shared" si="57"/>
        <v>0</v>
      </c>
      <c r="L1256" s="21">
        <f>IF(ISERROR(VLOOKUP($F1256,#REF!,6,0)*G1256/1000),0,VLOOKUP($F1256,#REF!,6,0)*G1256/1000)</f>
        <v>0</v>
      </c>
      <c r="M1256" s="21">
        <f>IF(ISERROR(VLOOKUP($F1256,#REF!,6,0)*H1256/1000),0,VLOOKUP($F1256,#REF!,6,0)*H1256/1000)</f>
        <v>0</v>
      </c>
      <c r="N1256" s="21">
        <f>IF(ISERROR(VLOOKUP($F1256,#REF!,6,0)*I1256/1000),0,VLOOKUP($F1256,#REF!,6,0)*I1256/1000)</f>
        <v>0</v>
      </c>
      <c r="O1256" s="21">
        <f>IF(ISERROR(VLOOKUP($F1256,#REF!,6,0)*J1256/1000),0,VLOOKUP($F1256,#REF!,6,0)*J1256/1000)</f>
        <v>0</v>
      </c>
      <c r="P1256" s="21">
        <f>IF(ISERROR(VLOOKUP(F1256,#REF!,6,0)*K1256/1000),0,VLOOKUP(F1256,#REF!,6,0)*K1256/1000)</f>
        <v>0</v>
      </c>
      <c r="Q1256" s="6">
        <f>IF(ISERROR(VLOOKUP(F1256,#REF!,3,0)),0,VLOOKUP(F1256,#REF!,3,0))</f>
        <v>0</v>
      </c>
      <c r="R1256" s="6">
        <f>IF(ISERROR(VLOOKUP(F1256,#REF!,4,0)),0,VLOOKUP(F1256,#REF!,4,0))</f>
        <v>0</v>
      </c>
      <c r="S1256" s="8">
        <f>IF(ISERROR(VLOOKUP(F1256,#REF!,4,0)),0,VLOOKUP(F1256,#REF!,10,0)/60*K1256)</f>
        <v>0</v>
      </c>
      <c r="T1256" s="3"/>
      <c r="U1256" s="3"/>
      <c r="V1256" s="4"/>
    </row>
    <row r="1257" spans="1:22" x14ac:dyDescent="0.3">
      <c r="A1257" s="5">
        <f t="shared" si="58"/>
        <v>0</v>
      </c>
      <c r="B1257" s="6">
        <f t="shared" si="59"/>
        <v>0</v>
      </c>
      <c r="K1257" s="18">
        <f t="shared" si="57"/>
        <v>0</v>
      </c>
      <c r="L1257" s="21">
        <f>IF(ISERROR(VLOOKUP($F1257,#REF!,6,0)*G1257/1000),0,VLOOKUP($F1257,#REF!,6,0)*G1257/1000)</f>
        <v>0</v>
      </c>
      <c r="M1257" s="21">
        <f>IF(ISERROR(VLOOKUP($F1257,#REF!,6,0)*H1257/1000),0,VLOOKUP($F1257,#REF!,6,0)*H1257/1000)</f>
        <v>0</v>
      </c>
      <c r="N1257" s="21">
        <f>IF(ISERROR(VLOOKUP($F1257,#REF!,6,0)*I1257/1000),0,VLOOKUP($F1257,#REF!,6,0)*I1257/1000)</f>
        <v>0</v>
      </c>
      <c r="O1257" s="21">
        <f>IF(ISERROR(VLOOKUP($F1257,#REF!,6,0)*J1257/1000),0,VLOOKUP($F1257,#REF!,6,0)*J1257/1000)</f>
        <v>0</v>
      </c>
      <c r="P1257" s="21">
        <f>IF(ISERROR(VLOOKUP(F1257,#REF!,6,0)*K1257/1000),0,VLOOKUP(F1257,#REF!,6,0)*K1257/1000)</f>
        <v>0</v>
      </c>
      <c r="Q1257" s="6">
        <f>IF(ISERROR(VLOOKUP(F1257,#REF!,3,0)),0,VLOOKUP(F1257,#REF!,3,0))</f>
        <v>0</v>
      </c>
      <c r="R1257" s="6">
        <f>IF(ISERROR(VLOOKUP(F1257,#REF!,4,0)),0,VLOOKUP(F1257,#REF!,4,0))</f>
        <v>0</v>
      </c>
      <c r="S1257" s="8">
        <f>IF(ISERROR(VLOOKUP(F1257,#REF!,4,0)),0,VLOOKUP(F1257,#REF!,10,0)/60*K1257)</f>
        <v>0</v>
      </c>
      <c r="T1257" s="3"/>
      <c r="U1257" s="3"/>
      <c r="V1257" s="4"/>
    </row>
    <row r="1258" spans="1:22" x14ac:dyDescent="0.3">
      <c r="A1258" s="5">
        <f t="shared" si="58"/>
        <v>0</v>
      </c>
      <c r="B1258" s="6">
        <f t="shared" si="59"/>
        <v>0</v>
      </c>
      <c r="K1258" s="18">
        <f t="shared" si="57"/>
        <v>0</v>
      </c>
      <c r="L1258" s="21">
        <f>IF(ISERROR(VLOOKUP($F1258,#REF!,6,0)*G1258/1000),0,VLOOKUP($F1258,#REF!,6,0)*G1258/1000)</f>
        <v>0</v>
      </c>
      <c r="M1258" s="21">
        <f>IF(ISERROR(VLOOKUP($F1258,#REF!,6,0)*H1258/1000),0,VLOOKUP($F1258,#REF!,6,0)*H1258/1000)</f>
        <v>0</v>
      </c>
      <c r="N1258" s="21">
        <f>IF(ISERROR(VLOOKUP($F1258,#REF!,6,0)*I1258/1000),0,VLOOKUP($F1258,#REF!,6,0)*I1258/1000)</f>
        <v>0</v>
      </c>
      <c r="O1258" s="21">
        <f>IF(ISERROR(VLOOKUP($F1258,#REF!,6,0)*J1258/1000),0,VLOOKUP($F1258,#REF!,6,0)*J1258/1000)</f>
        <v>0</v>
      </c>
      <c r="P1258" s="21">
        <f>IF(ISERROR(VLOOKUP(F1258,#REF!,6,0)*K1258/1000),0,VLOOKUP(F1258,#REF!,6,0)*K1258/1000)</f>
        <v>0</v>
      </c>
      <c r="Q1258" s="6">
        <f>IF(ISERROR(VLOOKUP(F1258,#REF!,3,0)),0,VLOOKUP(F1258,#REF!,3,0))</f>
        <v>0</v>
      </c>
      <c r="R1258" s="6">
        <f>IF(ISERROR(VLOOKUP(F1258,#REF!,4,0)),0,VLOOKUP(F1258,#REF!,4,0))</f>
        <v>0</v>
      </c>
      <c r="S1258" s="8">
        <f>IF(ISERROR(VLOOKUP(F1258,#REF!,4,0)),0,VLOOKUP(F1258,#REF!,10,0)/60*K1258)</f>
        <v>0</v>
      </c>
      <c r="T1258" s="3"/>
      <c r="U1258" s="3"/>
      <c r="V1258" s="4"/>
    </row>
    <row r="1259" spans="1:22" x14ac:dyDescent="0.3">
      <c r="A1259" s="5">
        <f t="shared" si="58"/>
        <v>0</v>
      </c>
      <c r="B1259" s="6">
        <f t="shared" si="59"/>
        <v>0</v>
      </c>
      <c r="K1259" s="18">
        <f t="shared" si="57"/>
        <v>0</v>
      </c>
      <c r="L1259" s="21">
        <f>IF(ISERROR(VLOOKUP($F1259,#REF!,6,0)*G1259/1000),0,VLOOKUP($F1259,#REF!,6,0)*G1259/1000)</f>
        <v>0</v>
      </c>
      <c r="M1259" s="21">
        <f>IF(ISERROR(VLOOKUP($F1259,#REF!,6,0)*H1259/1000),0,VLOOKUP($F1259,#REF!,6,0)*H1259/1000)</f>
        <v>0</v>
      </c>
      <c r="N1259" s="21">
        <f>IF(ISERROR(VLOOKUP($F1259,#REF!,6,0)*I1259/1000),0,VLOOKUP($F1259,#REF!,6,0)*I1259/1000)</f>
        <v>0</v>
      </c>
      <c r="O1259" s="21">
        <f>IF(ISERROR(VLOOKUP($F1259,#REF!,6,0)*J1259/1000),0,VLOOKUP($F1259,#REF!,6,0)*J1259/1000)</f>
        <v>0</v>
      </c>
      <c r="P1259" s="21">
        <f>IF(ISERROR(VLOOKUP(F1259,#REF!,6,0)*K1259/1000),0,VLOOKUP(F1259,#REF!,6,0)*K1259/1000)</f>
        <v>0</v>
      </c>
      <c r="Q1259" s="6">
        <f>IF(ISERROR(VLOOKUP(F1259,#REF!,3,0)),0,VLOOKUP(F1259,#REF!,3,0))</f>
        <v>0</v>
      </c>
      <c r="R1259" s="6">
        <f>IF(ISERROR(VLOOKUP(F1259,#REF!,4,0)),0,VLOOKUP(F1259,#REF!,4,0))</f>
        <v>0</v>
      </c>
      <c r="S1259" s="8">
        <f>IF(ISERROR(VLOOKUP(F1259,#REF!,4,0)),0,VLOOKUP(F1259,#REF!,10,0)/60*K1259)</f>
        <v>0</v>
      </c>
      <c r="T1259" s="3"/>
      <c r="U1259" s="3"/>
      <c r="V1259" s="4"/>
    </row>
    <row r="1260" spans="1:22" x14ac:dyDescent="0.3">
      <c r="A1260" s="5">
        <f t="shared" si="58"/>
        <v>0</v>
      </c>
      <c r="B1260" s="6">
        <f t="shared" si="59"/>
        <v>0</v>
      </c>
      <c r="K1260" s="18">
        <f t="shared" si="57"/>
        <v>0</v>
      </c>
      <c r="L1260" s="21">
        <f>IF(ISERROR(VLOOKUP($F1260,#REF!,6,0)*G1260/1000),0,VLOOKUP($F1260,#REF!,6,0)*G1260/1000)</f>
        <v>0</v>
      </c>
      <c r="M1260" s="21">
        <f>IF(ISERROR(VLOOKUP($F1260,#REF!,6,0)*H1260/1000),0,VLOOKUP($F1260,#REF!,6,0)*H1260/1000)</f>
        <v>0</v>
      </c>
      <c r="N1260" s="21">
        <f>IF(ISERROR(VLOOKUP($F1260,#REF!,6,0)*I1260/1000),0,VLOOKUP($F1260,#REF!,6,0)*I1260/1000)</f>
        <v>0</v>
      </c>
      <c r="O1260" s="21">
        <f>IF(ISERROR(VLOOKUP($F1260,#REF!,6,0)*J1260/1000),0,VLOOKUP($F1260,#REF!,6,0)*J1260/1000)</f>
        <v>0</v>
      </c>
      <c r="P1260" s="21">
        <f>IF(ISERROR(VLOOKUP(F1260,#REF!,6,0)*K1260/1000),0,VLOOKUP(F1260,#REF!,6,0)*K1260/1000)</f>
        <v>0</v>
      </c>
      <c r="Q1260" s="6">
        <f>IF(ISERROR(VLOOKUP(F1260,#REF!,3,0)),0,VLOOKUP(F1260,#REF!,3,0))</f>
        <v>0</v>
      </c>
      <c r="R1260" s="6">
        <f>IF(ISERROR(VLOOKUP(F1260,#REF!,4,0)),0,VLOOKUP(F1260,#REF!,4,0))</f>
        <v>0</v>
      </c>
      <c r="S1260" s="8">
        <f>IF(ISERROR(VLOOKUP(F1260,#REF!,4,0)),0,VLOOKUP(F1260,#REF!,10,0)/60*K1260)</f>
        <v>0</v>
      </c>
      <c r="T1260" s="3"/>
      <c r="U1260" s="3"/>
      <c r="V1260" s="4"/>
    </row>
    <row r="1261" spans="1:22" x14ac:dyDescent="0.3">
      <c r="A1261" s="5">
        <f t="shared" si="58"/>
        <v>0</v>
      </c>
      <c r="B1261" s="6">
        <f t="shared" si="59"/>
        <v>0</v>
      </c>
      <c r="K1261" s="18">
        <f t="shared" si="57"/>
        <v>0</v>
      </c>
      <c r="L1261" s="21">
        <f>IF(ISERROR(VLOOKUP($F1261,#REF!,6,0)*G1261/1000),0,VLOOKUP($F1261,#REF!,6,0)*G1261/1000)</f>
        <v>0</v>
      </c>
      <c r="M1261" s="21">
        <f>IF(ISERROR(VLOOKUP($F1261,#REF!,6,0)*H1261/1000),0,VLOOKUP($F1261,#REF!,6,0)*H1261/1000)</f>
        <v>0</v>
      </c>
      <c r="N1261" s="21">
        <f>IF(ISERROR(VLOOKUP($F1261,#REF!,6,0)*I1261/1000),0,VLOOKUP($F1261,#REF!,6,0)*I1261/1000)</f>
        <v>0</v>
      </c>
      <c r="O1261" s="21">
        <f>IF(ISERROR(VLOOKUP($F1261,#REF!,6,0)*J1261/1000),0,VLOOKUP($F1261,#REF!,6,0)*J1261/1000)</f>
        <v>0</v>
      </c>
      <c r="P1261" s="21">
        <f>IF(ISERROR(VLOOKUP(F1261,#REF!,6,0)*K1261/1000),0,VLOOKUP(F1261,#REF!,6,0)*K1261/1000)</f>
        <v>0</v>
      </c>
      <c r="Q1261" s="6">
        <f>IF(ISERROR(VLOOKUP(F1261,#REF!,3,0)),0,VLOOKUP(F1261,#REF!,3,0))</f>
        <v>0</v>
      </c>
      <c r="R1261" s="6">
        <f>IF(ISERROR(VLOOKUP(F1261,#REF!,4,0)),0,VLOOKUP(F1261,#REF!,4,0))</f>
        <v>0</v>
      </c>
      <c r="S1261" s="8">
        <f>IF(ISERROR(VLOOKUP(F1261,#REF!,4,0)),0,VLOOKUP(F1261,#REF!,10,0)/60*K1261)</f>
        <v>0</v>
      </c>
      <c r="T1261" s="3"/>
      <c r="U1261" s="3"/>
      <c r="V1261" s="4"/>
    </row>
    <row r="1262" spans="1:22" x14ac:dyDescent="0.3">
      <c r="A1262" s="5">
        <f t="shared" si="58"/>
        <v>0</v>
      </c>
      <c r="B1262" s="6">
        <f t="shared" si="59"/>
        <v>0</v>
      </c>
      <c r="K1262" s="18">
        <f t="shared" si="57"/>
        <v>0</v>
      </c>
      <c r="L1262" s="21">
        <f>IF(ISERROR(VLOOKUP($F1262,#REF!,6,0)*G1262/1000),0,VLOOKUP($F1262,#REF!,6,0)*G1262/1000)</f>
        <v>0</v>
      </c>
      <c r="M1262" s="21">
        <f>IF(ISERROR(VLOOKUP($F1262,#REF!,6,0)*H1262/1000),0,VLOOKUP($F1262,#REF!,6,0)*H1262/1000)</f>
        <v>0</v>
      </c>
      <c r="N1262" s="21">
        <f>IF(ISERROR(VLOOKUP($F1262,#REF!,6,0)*I1262/1000),0,VLOOKUP($F1262,#REF!,6,0)*I1262/1000)</f>
        <v>0</v>
      </c>
      <c r="O1262" s="21">
        <f>IF(ISERROR(VLOOKUP($F1262,#REF!,6,0)*J1262/1000),0,VLOOKUP($F1262,#REF!,6,0)*J1262/1000)</f>
        <v>0</v>
      </c>
      <c r="P1262" s="21">
        <f>IF(ISERROR(VLOOKUP(F1262,#REF!,6,0)*K1262/1000),0,VLOOKUP(F1262,#REF!,6,0)*K1262/1000)</f>
        <v>0</v>
      </c>
      <c r="Q1262" s="6">
        <f>IF(ISERROR(VLOOKUP(F1262,#REF!,3,0)),0,VLOOKUP(F1262,#REF!,3,0))</f>
        <v>0</v>
      </c>
      <c r="R1262" s="6">
        <f>IF(ISERROR(VLOOKUP(F1262,#REF!,4,0)),0,VLOOKUP(F1262,#REF!,4,0))</f>
        <v>0</v>
      </c>
      <c r="S1262" s="8">
        <f>IF(ISERROR(VLOOKUP(F1262,#REF!,4,0)),0,VLOOKUP(F1262,#REF!,10,0)/60*K1262)</f>
        <v>0</v>
      </c>
      <c r="T1262" s="3"/>
      <c r="U1262" s="3"/>
      <c r="V1262" s="4"/>
    </row>
    <row r="1263" spans="1:22" x14ac:dyDescent="0.3">
      <c r="A1263" s="5">
        <f t="shared" si="58"/>
        <v>0</v>
      </c>
      <c r="B1263" s="6">
        <f t="shared" si="59"/>
        <v>0</v>
      </c>
      <c r="K1263" s="18">
        <f t="shared" si="57"/>
        <v>0</v>
      </c>
      <c r="L1263" s="21">
        <f>IF(ISERROR(VLOOKUP($F1263,#REF!,6,0)*G1263/1000),0,VLOOKUP($F1263,#REF!,6,0)*G1263/1000)</f>
        <v>0</v>
      </c>
      <c r="M1263" s="21">
        <f>IF(ISERROR(VLOOKUP($F1263,#REF!,6,0)*H1263/1000),0,VLOOKUP($F1263,#REF!,6,0)*H1263/1000)</f>
        <v>0</v>
      </c>
      <c r="N1263" s="21">
        <f>IF(ISERROR(VLOOKUP($F1263,#REF!,6,0)*I1263/1000),0,VLOOKUP($F1263,#REF!,6,0)*I1263/1000)</f>
        <v>0</v>
      </c>
      <c r="O1263" s="21">
        <f>IF(ISERROR(VLOOKUP($F1263,#REF!,6,0)*J1263/1000),0,VLOOKUP($F1263,#REF!,6,0)*J1263/1000)</f>
        <v>0</v>
      </c>
      <c r="P1263" s="21">
        <f>IF(ISERROR(VLOOKUP(F1263,#REF!,6,0)*K1263/1000),0,VLOOKUP(F1263,#REF!,6,0)*K1263/1000)</f>
        <v>0</v>
      </c>
      <c r="Q1263" s="6">
        <f>IF(ISERROR(VLOOKUP(F1263,#REF!,3,0)),0,VLOOKUP(F1263,#REF!,3,0))</f>
        <v>0</v>
      </c>
      <c r="R1263" s="6">
        <f>IF(ISERROR(VLOOKUP(F1263,#REF!,4,0)),0,VLOOKUP(F1263,#REF!,4,0))</f>
        <v>0</v>
      </c>
      <c r="S1263" s="8">
        <f>IF(ISERROR(VLOOKUP(F1263,#REF!,4,0)),0,VLOOKUP(F1263,#REF!,10,0)/60*K1263)</f>
        <v>0</v>
      </c>
      <c r="T1263" s="3"/>
      <c r="U1263" s="3"/>
      <c r="V1263" s="4"/>
    </row>
    <row r="1264" spans="1:22" x14ac:dyDescent="0.3">
      <c r="A1264" s="5">
        <f t="shared" si="58"/>
        <v>0</v>
      </c>
      <c r="B1264" s="6">
        <f t="shared" si="59"/>
        <v>0</v>
      </c>
      <c r="K1264" s="18">
        <f t="shared" si="57"/>
        <v>0</v>
      </c>
      <c r="L1264" s="21">
        <f>IF(ISERROR(VLOOKUP($F1264,#REF!,6,0)*G1264/1000),0,VLOOKUP($F1264,#REF!,6,0)*G1264/1000)</f>
        <v>0</v>
      </c>
      <c r="M1264" s="21">
        <f>IF(ISERROR(VLOOKUP($F1264,#REF!,6,0)*H1264/1000),0,VLOOKUP($F1264,#REF!,6,0)*H1264/1000)</f>
        <v>0</v>
      </c>
      <c r="N1264" s="21">
        <f>IF(ISERROR(VLOOKUP($F1264,#REF!,6,0)*I1264/1000),0,VLOOKUP($F1264,#REF!,6,0)*I1264/1000)</f>
        <v>0</v>
      </c>
      <c r="O1264" s="21">
        <f>IF(ISERROR(VLOOKUP($F1264,#REF!,6,0)*J1264/1000),0,VLOOKUP($F1264,#REF!,6,0)*J1264/1000)</f>
        <v>0</v>
      </c>
      <c r="P1264" s="21">
        <f>IF(ISERROR(VLOOKUP(F1264,#REF!,6,0)*K1264/1000),0,VLOOKUP(F1264,#REF!,6,0)*K1264/1000)</f>
        <v>0</v>
      </c>
      <c r="Q1264" s="6">
        <f>IF(ISERROR(VLOOKUP(F1264,#REF!,3,0)),0,VLOOKUP(F1264,#REF!,3,0))</f>
        <v>0</v>
      </c>
      <c r="R1264" s="6">
        <f>IF(ISERROR(VLOOKUP(F1264,#REF!,4,0)),0,VLOOKUP(F1264,#REF!,4,0))</f>
        <v>0</v>
      </c>
      <c r="S1264" s="8">
        <f>IF(ISERROR(VLOOKUP(F1264,#REF!,4,0)),0,VLOOKUP(F1264,#REF!,10,0)/60*K1264)</f>
        <v>0</v>
      </c>
      <c r="T1264" s="3"/>
      <c r="U1264" s="3"/>
      <c r="V1264" s="4"/>
    </row>
    <row r="1265" spans="1:22" x14ac:dyDescent="0.3">
      <c r="A1265" s="5">
        <f t="shared" si="58"/>
        <v>0</v>
      </c>
      <c r="B1265" s="6">
        <f t="shared" si="59"/>
        <v>0</v>
      </c>
      <c r="K1265" s="18">
        <f t="shared" si="57"/>
        <v>0</v>
      </c>
      <c r="L1265" s="21">
        <f>IF(ISERROR(VLOOKUP($F1265,#REF!,6,0)*G1265/1000),0,VLOOKUP($F1265,#REF!,6,0)*G1265/1000)</f>
        <v>0</v>
      </c>
      <c r="M1265" s="21">
        <f>IF(ISERROR(VLOOKUP($F1265,#REF!,6,0)*H1265/1000),0,VLOOKUP($F1265,#REF!,6,0)*H1265/1000)</f>
        <v>0</v>
      </c>
      <c r="N1265" s="21">
        <f>IF(ISERROR(VLOOKUP($F1265,#REF!,6,0)*I1265/1000),0,VLOOKUP($F1265,#REF!,6,0)*I1265/1000)</f>
        <v>0</v>
      </c>
      <c r="O1265" s="21">
        <f>IF(ISERROR(VLOOKUP($F1265,#REF!,6,0)*J1265/1000),0,VLOOKUP($F1265,#REF!,6,0)*J1265/1000)</f>
        <v>0</v>
      </c>
      <c r="P1265" s="21">
        <f>IF(ISERROR(VLOOKUP(F1265,#REF!,6,0)*K1265/1000),0,VLOOKUP(F1265,#REF!,6,0)*K1265/1000)</f>
        <v>0</v>
      </c>
      <c r="Q1265" s="6">
        <f>IF(ISERROR(VLOOKUP(F1265,#REF!,3,0)),0,VLOOKUP(F1265,#REF!,3,0))</f>
        <v>0</v>
      </c>
      <c r="R1265" s="6">
        <f>IF(ISERROR(VLOOKUP(F1265,#REF!,4,0)),0,VLOOKUP(F1265,#REF!,4,0))</f>
        <v>0</v>
      </c>
      <c r="S1265" s="8">
        <f>IF(ISERROR(VLOOKUP(F1265,#REF!,4,0)),0,VLOOKUP(F1265,#REF!,10,0)/60*K1265)</f>
        <v>0</v>
      </c>
      <c r="T1265" s="3"/>
      <c r="U1265" s="3"/>
      <c r="V1265" s="4"/>
    </row>
    <row r="1266" spans="1:22" x14ac:dyDescent="0.3">
      <c r="A1266" s="5">
        <f t="shared" si="58"/>
        <v>0</v>
      </c>
      <c r="B1266" s="6">
        <f t="shared" si="59"/>
        <v>0</v>
      </c>
      <c r="K1266" s="18">
        <f t="shared" si="57"/>
        <v>0</v>
      </c>
      <c r="L1266" s="21">
        <f>IF(ISERROR(VLOOKUP($F1266,#REF!,6,0)*G1266/1000),0,VLOOKUP($F1266,#REF!,6,0)*G1266/1000)</f>
        <v>0</v>
      </c>
      <c r="M1266" s="21">
        <f>IF(ISERROR(VLOOKUP($F1266,#REF!,6,0)*H1266/1000),0,VLOOKUP($F1266,#REF!,6,0)*H1266/1000)</f>
        <v>0</v>
      </c>
      <c r="N1266" s="21">
        <f>IF(ISERROR(VLOOKUP($F1266,#REF!,6,0)*I1266/1000),0,VLOOKUP($F1266,#REF!,6,0)*I1266/1000)</f>
        <v>0</v>
      </c>
      <c r="O1266" s="21">
        <f>IF(ISERROR(VLOOKUP($F1266,#REF!,6,0)*J1266/1000),0,VLOOKUP($F1266,#REF!,6,0)*J1266/1000)</f>
        <v>0</v>
      </c>
      <c r="P1266" s="21">
        <f>IF(ISERROR(VLOOKUP(F1266,#REF!,6,0)*K1266/1000),0,VLOOKUP(F1266,#REF!,6,0)*K1266/1000)</f>
        <v>0</v>
      </c>
      <c r="Q1266" s="6">
        <f>IF(ISERROR(VLOOKUP(F1266,#REF!,3,0)),0,VLOOKUP(F1266,#REF!,3,0))</f>
        <v>0</v>
      </c>
      <c r="R1266" s="6">
        <f>IF(ISERROR(VLOOKUP(F1266,#REF!,4,0)),0,VLOOKUP(F1266,#REF!,4,0))</f>
        <v>0</v>
      </c>
      <c r="S1266" s="8">
        <f>IF(ISERROR(VLOOKUP(F1266,#REF!,4,0)),0,VLOOKUP(F1266,#REF!,10,0)/60*K1266)</f>
        <v>0</v>
      </c>
      <c r="T1266" s="3"/>
      <c r="U1266" s="3"/>
      <c r="V1266" s="4"/>
    </row>
    <row r="1267" spans="1:22" x14ac:dyDescent="0.3">
      <c r="A1267" s="5">
        <f t="shared" si="58"/>
        <v>0</v>
      </c>
      <c r="B1267" s="6">
        <f t="shared" si="59"/>
        <v>0</v>
      </c>
      <c r="K1267" s="18">
        <f t="shared" si="57"/>
        <v>0</v>
      </c>
      <c r="L1267" s="21">
        <f>IF(ISERROR(VLOOKUP($F1267,#REF!,6,0)*G1267/1000),0,VLOOKUP($F1267,#REF!,6,0)*G1267/1000)</f>
        <v>0</v>
      </c>
      <c r="M1267" s="21">
        <f>IF(ISERROR(VLOOKUP($F1267,#REF!,6,0)*H1267/1000),0,VLOOKUP($F1267,#REF!,6,0)*H1267/1000)</f>
        <v>0</v>
      </c>
      <c r="N1267" s="21">
        <f>IF(ISERROR(VLOOKUP($F1267,#REF!,6,0)*I1267/1000),0,VLOOKUP($F1267,#REF!,6,0)*I1267/1000)</f>
        <v>0</v>
      </c>
      <c r="O1267" s="21">
        <f>IF(ISERROR(VLOOKUP($F1267,#REF!,6,0)*J1267/1000),0,VLOOKUP($F1267,#REF!,6,0)*J1267/1000)</f>
        <v>0</v>
      </c>
      <c r="P1267" s="21">
        <f>IF(ISERROR(VLOOKUP(F1267,#REF!,6,0)*K1267/1000),0,VLOOKUP(F1267,#REF!,6,0)*K1267/1000)</f>
        <v>0</v>
      </c>
      <c r="Q1267" s="6">
        <f>IF(ISERROR(VLOOKUP(F1267,#REF!,3,0)),0,VLOOKUP(F1267,#REF!,3,0))</f>
        <v>0</v>
      </c>
      <c r="R1267" s="6">
        <f>IF(ISERROR(VLOOKUP(F1267,#REF!,4,0)),0,VLOOKUP(F1267,#REF!,4,0))</f>
        <v>0</v>
      </c>
      <c r="S1267" s="8">
        <f>IF(ISERROR(VLOOKUP(F1267,#REF!,4,0)),0,VLOOKUP(F1267,#REF!,10,0)/60*K1267)</f>
        <v>0</v>
      </c>
      <c r="T1267" s="3"/>
      <c r="U1267" s="3"/>
      <c r="V1267" s="4"/>
    </row>
    <row r="1268" spans="1:22" x14ac:dyDescent="0.3">
      <c r="A1268" s="5">
        <f t="shared" si="58"/>
        <v>0</v>
      </c>
      <c r="B1268" s="6">
        <f t="shared" si="59"/>
        <v>0</v>
      </c>
      <c r="K1268" s="18">
        <f t="shared" si="57"/>
        <v>0</v>
      </c>
      <c r="L1268" s="21">
        <f>IF(ISERROR(VLOOKUP($F1268,#REF!,6,0)*G1268/1000),0,VLOOKUP($F1268,#REF!,6,0)*G1268/1000)</f>
        <v>0</v>
      </c>
      <c r="M1268" s="21">
        <f>IF(ISERROR(VLOOKUP($F1268,#REF!,6,0)*H1268/1000),0,VLOOKUP($F1268,#REF!,6,0)*H1268/1000)</f>
        <v>0</v>
      </c>
      <c r="N1268" s="21">
        <f>IF(ISERROR(VLOOKUP($F1268,#REF!,6,0)*I1268/1000),0,VLOOKUP($F1268,#REF!,6,0)*I1268/1000)</f>
        <v>0</v>
      </c>
      <c r="O1268" s="21">
        <f>IF(ISERROR(VLOOKUP($F1268,#REF!,6,0)*J1268/1000),0,VLOOKUP($F1268,#REF!,6,0)*J1268/1000)</f>
        <v>0</v>
      </c>
      <c r="P1268" s="21">
        <f>IF(ISERROR(VLOOKUP(F1268,#REF!,6,0)*K1268/1000),0,VLOOKUP(F1268,#REF!,6,0)*K1268/1000)</f>
        <v>0</v>
      </c>
      <c r="Q1268" s="6">
        <f>IF(ISERROR(VLOOKUP(F1268,#REF!,3,0)),0,VLOOKUP(F1268,#REF!,3,0))</f>
        <v>0</v>
      </c>
      <c r="R1268" s="6">
        <f>IF(ISERROR(VLOOKUP(F1268,#REF!,4,0)),0,VLOOKUP(F1268,#REF!,4,0))</f>
        <v>0</v>
      </c>
      <c r="S1268" s="8">
        <f>IF(ISERROR(VLOOKUP(F1268,#REF!,4,0)),0,VLOOKUP(F1268,#REF!,10,0)/60*K1268)</f>
        <v>0</v>
      </c>
      <c r="T1268" s="3"/>
      <c r="U1268" s="3"/>
      <c r="V1268" s="4"/>
    </row>
    <row r="1269" spans="1:22" x14ac:dyDescent="0.3">
      <c r="A1269" s="5">
        <f t="shared" si="58"/>
        <v>0</v>
      </c>
      <c r="B1269" s="6">
        <f t="shared" si="59"/>
        <v>0</v>
      </c>
      <c r="K1269" s="18">
        <f t="shared" si="57"/>
        <v>0</v>
      </c>
      <c r="L1269" s="21">
        <f>IF(ISERROR(VLOOKUP($F1269,#REF!,6,0)*G1269/1000),0,VLOOKUP($F1269,#REF!,6,0)*G1269/1000)</f>
        <v>0</v>
      </c>
      <c r="M1269" s="21">
        <f>IF(ISERROR(VLOOKUP($F1269,#REF!,6,0)*H1269/1000),0,VLOOKUP($F1269,#REF!,6,0)*H1269/1000)</f>
        <v>0</v>
      </c>
      <c r="N1269" s="21">
        <f>IF(ISERROR(VLOOKUP($F1269,#REF!,6,0)*I1269/1000),0,VLOOKUP($F1269,#REF!,6,0)*I1269/1000)</f>
        <v>0</v>
      </c>
      <c r="O1269" s="21">
        <f>IF(ISERROR(VLOOKUP($F1269,#REF!,6,0)*J1269/1000),0,VLOOKUP($F1269,#REF!,6,0)*J1269/1000)</f>
        <v>0</v>
      </c>
      <c r="P1269" s="21">
        <f>IF(ISERROR(VLOOKUP(F1269,#REF!,6,0)*K1269/1000),0,VLOOKUP(F1269,#REF!,6,0)*K1269/1000)</f>
        <v>0</v>
      </c>
      <c r="Q1269" s="6">
        <f>IF(ISERROR(VLOOKUP(F1269,#REF!,3,0)),0,VLOOKUP(F1269,#REF!,3,0))</f>
        <v>0</v>
      </c>
      <c r="R1269" s="6">
        <f>IF(ISERROR(VLOOKUP(F1269,#REF!,4,0)),0,VLOOKUP(F1269,#REF!,4,0))</f>
        <v>0</v>
      </c>
      <c r="S1269" s="8">
        <f>IF(ISERROR(VLOOKUP(F1269,#REF!,4,0)),0,VLOOKUP(F1269,#REF!,10,0)/60*K1269)</f>
        <v>0</v>
      </c>
      <c r="T1269" s="3"/>
      <c r="U1269" s="3"/>
      <c r="V1269" s="4"/>
    </row>
    <row r="1270" spans="1:22" x14ac:dyDescent="0.3">
      <c r="A1270" s="5">
        <f t="shared" si="58"/>
        <v>0</v>
      </c>
      <c r="B1270" s="6">
        <f t="shared" si="59"/>
        <v>0</v>
      </c>
      <c r="K1270" s="18">
        <f t="shared" si="57"/>
        <v>0</v>
      </c>
      <c r="L1270" s="21">
        <f>IF(ISERROR(VLOOKUP($F1270,#REF!,6,0)*G1270/1000),0,VLOOKUP($F1270,#REF!,6,0)*G1270/1000)</f>
        <v>0</v>
      </c>
      <c r="M1270" s="21">
        <f>IF(ISERROR(VLOOKUP($F1270,#REF!,6,0)*H1270/1000),0,VLOOKUP($F1270,#REF!,6,0)*H1270/1000)</f>
        <v>0</v>
      </c>
      <c r="N1270" s="21">
        <f>IF(ISERROR(VLOOKUP($F1270,#REF!,6,0)*I1270/1000),0,VLOOKUP($F1270,#REF!,6,0)*I1270/1000)</f>
        <v>0</v>
      </c>
      <c r="O1270" s="21">
        <f>IF(ISERROR(VLOOKUP($F1270,#REF!,6,0)*J1270/1000),0,VLOOKUP($F1270,#REF!,6,0)*J1270/1000)</f>
        <v>0</v>
      </c>
      <c r="P1270" s="21">
        <f>IF(ISERROR(VLOOKUP(F1270,#REF!,6,0)*K1270/1000),0,VLOOKUP(F1270,#REF!,6,0)*K1270/1000)</f>
        <v>0</v>
      </c>
      <c r="Q1270" s="6">
        <f>IF(ISERROR(VLOOKUP(F1270,#REF!,3,0)),0,VLOOKUP(F1270,#REF!,3,0))</f>
        <v>0</v>
      </c>
      <c r="R1270" s="6">
        <f>IF(ISERROR(VLOOKUP(F1270,#REF!,4,0)),0,VLOOKUP(F1270,#REF!,4,0))</f>
        <v>0</v>
      </c>
      <c r="S1270" s="8">
        <f>IF(ISERROR(VLOOKUP(F1270,#REF!,4,0)),0,VLOOKUP(F1270,#REF!,10,0)/60*K1270)</f>
        <v>0</v>
      </c>
      <c r="T1270" s="3"/>
      <c r="U1270" s="3"/>
      <c r="V1270" s="4"/>
    </row>
    <row r="1271" spans="1:22" x14ac:dyDescent="0.3">
      <c r="A1271" s="5">
        <f t="shared" si="58"/>
        <v>0</v>
      </c>
      <c r="B1271" s="6">
        <f t="shared" si="59"/>
        <v>0</v>
      </c>
      <c r="K1271" s="18">
        <f t="shared" si="57"/>
        <v>0</v>
      </c>
      <c r="L1271" s="21">
        <f>IF(ISERROR(VLOOKUP($F1271,#REF!,6,0)*G1271/1000),0,VLOOKUP($F1271,#REF!,6,0)*G1271/1000)</f>
        <v>0</v>
      </c>
      <c r="M1271" s="21">
        <f>IF(ISERROR(VLOOKUP($F1271,#REF!,6,0)*H1271/1000),0,VLOOKUP($F1271,#REF!,6,0)*H1271/1000)</f>
        <v>0</v>
      </c>
      <c r="N1271" s="21">
        <f>IF(ISERROR(VLOOKUP($F1271,#REF!,6,0)*I1271/1000),0,VLOOKUP($F1271,#REF!,6,0)*I1271/1000)</f>
        <v>0</v>
      </c>
      <c r="O1271" s="21">
        <f>IF(ISERROR(VLOOKUP($F1271,#REF!,6,0)*J1271/1000),0,VLOOKUP($F1271,#REF!,6,0)*J1271/1000)</f>
        <v>0</v>
      </c>
      <c r="P1271" s="21">
        <f>IF(ISERROR(VLOOKUP(F1271,#REF!,6,0)*K1271/1000),0,VLOOKUP(F1271,#REF!,6,0)*K1271/1000)</f>
        <v>0</v>
      </c>
      <c r="Q1271" s="6">
        <f>IF(ISERROR(VLOOKUP(F1271,#REF!,3,0)),0,VLOOKUP(F1271,#REF!,3,0))</f>
        <v>0</v>
      </c>
      <c r="R1271" s="6">
        <f>IF(ISERROR(VLOOKUP(F1271,#REF!,4,0)),0,VLOOKUP(F1271,#REF!,4,0))</f>
        <v>0</v>
      </c>
      <c r="S1271" s="8">
        <f>IF(ISERROR(VLOOKUP(F1271,#REF!,4,0)),0,VLOOKUP(F1271,#REF!,10,0)/60*K1271)</f>
        <v>0</v>
      </c>
      <c r="T1271" s="3"/>
      <c r="U1271" s="3"/>
      <c r="V1271" s="4"/>
    </row>
    <row r="1272" spans="1:22" x14ac:dyDescent="0.3">
      <c r="A1272" s="5">
        <f t="shared" si="58"/>
        <v>0</v>
      </c>
      <c r="B1272" s="6">
        <f t="shared" si="59"/>
        <v>0</v>
      </c>
      <c r="K1272" s="18">
        <f t="shared" si="57"/>
        <v>0</v>
      </c>
      <c r="L1272" s="21">
        <f>IF(ISERROR(VLOOKUP($F1272,#REF!,6,0)*G1272/1000),0,VLOOKUP($F1272,#REF!,6,0)*G1272/1000)</f>
        <v>0</v>
      </c>
      <c r="M1272" s="21">
        <f>IF(ISERROR(VLOOKUP($F1272,#REF!,6,0)*H1272/1000),0,VLOOKUP($F1272,#REF!,6,0)*H1272/1000)</f>
        <v>0</v>
      </c>
      <c r="N1272" s="21">
        <f>IF(ISERROR(VLOOKUP($F1272,#REF!,6,0)*I1272/1000),0,VLOOKUP($F1272,#REF!,6,0)*I1272/1000)</f>
        <v>0</v>
      </c>
      <c r="O1272" s="21">
        <f>IF(ISERROR(VLOOKUP($F1272,#REF!,6,0)*J1272/1000),0,VLOOKUP($F1272,#REF!,6,0)*J1272/1000)</f>
        <v>0</v>
      </c>
      <c r="P1272" s="21">
        <f>IF(ISERROR(VLOOKUP(F1272,#REF!,6,0)*K1272/1000),0,VLOOKUP(F1272,#REF!,6,0)*K1272/1000)</f>
        <v>0</v>
      </c>
      <c r="Q1272" s="6">
        <f>IF(ISERROR(VLOOKUP(F1272,#REF!,3,0)),0,VLOOKUP(F1272,#REF!,3,0))</f>
        <v>0</v>
      </c>
      <c r="R1272" s="6">
        <f>IF(ISERROR(VLOOKUP(F1272,#REF!,4,0)),0,VLOOKUP(F1272,#REF!,4,0))</f>
        <v>0</v>
      </c>
      <c r="S1272" s="8">
        <f>IF(ISERROR(VLOOKUP(F1272,#REF!,4,0)),0,VLOOKUP(F1272,#REF!,10,0)/60*K1272)</f>
        <v>0</v>
      </c>
      <c r="T1272" s="3"/>
      <c r="U1272" s="3"/>
      <c r="V1272" s="4"/>
    </row>
    <row r="1273" spans="1:22" x14ac:dyDescent="0.3">
      <c r="A1273" s="5">
        <f t="shared" si="58"/>
        <v>0</v>
      </c>
      <c r="B1273" s="6">
        <f t="shared" si="59"/>
        <v>0</v>
      </c>
      <c r="K1273" s="18">
        <f t="shared" si="57"/>
        <v>0</v>
      </c>
      <c r="L1273" s="21">
        <f>IF(ISERROR(VLOOKUP($F1273,#REF!,6,0)*G1273/1000),0,VLOOKUP($F1273,#REF!,6,0)*G1273/1000)</f>
        <v>0</v>
      </c>
      <c r="M1273" s="21">
        <f>IF(ISERROR(VLOOKUP($F1273,#REF!,6,0)*H1273/1000),0,VLOOKUP($F1273,#REF!,6,0)*H1273/1000)</f>
        <v>0</v>
      </c>
      <c r="N1273" s="21">
        <f>IF(ISERROR(VLOOKUP($F1273,#REF!,6,0)*I1273/1000),0,VLOOKUP($F1273,#REF!,6,0)*I1273/1000)</f>
        <v>0</v>
      </c>
      <c r="O1273" s="21">
        <f>IF(ISERROR(VLOOKUP($F1273,#REF!,6,0)*J1273/1000),0,VLOOKUP($F1273,#REF!,6,0)*J1273/1000)</f>
        <v>0</v>
      </c>
      <c r="P1273" s="21">
        <f>IF(ISERROR(VLOOKUP(F1273,#REF!,6,0)*K1273/1000),0,VLOOKUP(F1273,#REF!,6,0)*K1273/1000)</f>
        <v>0</v>
      </c>
      <c r="Q1273" s="6">
        <f>IF(ISERROR(VLOOKUP(F1273,#REF!,3,0)),0,VLOOKUP(F1273,#REF!,3,0))</f>
        <v>0</v>
      </c>
      <c r="R1273" s="6">
        <f>IF(ISERROR(VLOOKUP(F1273,#REF!,4,0)),0,VLOOKUP(F1273,#REF!,4,0))</f>
        <v>0</v>
      </c>
      <c r="S1273" s="8">
        <f>IF(ISERROR(VLOOKUP(F1273,#REF!,4,0)),0,VLOOKUP(F1273,#REF!,10,0)/60*K1273)</f>
        <v>0</v>
      </c>
      <c r="T1273" s="3"/>
      <c r="U1273" s="3"/>
      <c r="V1273" s="4"/>
    </row>
    <row r="1274" spans="1:22" x14ac:dyDescent="0.3">
      <c r="A1274" s="5">
        <f t="shared" si="58"/>
        <v>0</v>
      </c>
      <c r="B1274" s="6">
        <f t="shared" si="59"/>
        <v>0</v>
      </c>
      <c r="K1274" s="18">
        <f t="shared" si="57"/>
        <v>0</v>
      </c>
      <c r="L1274" s="21">
        <f>IF(ISERROR(VLOOKUP($F1274,#REF!,6,0)*G1274/1000),0,VLOOKUP($F1274,#REF!,6,0)*G1274/1000)</f>
        <v>0</v>
      </c>
      <c r="M1274" s="21">
        <f>IF(ISERROR(VLOOKUP($F1274,#REF!,6,0)*H1274/1000),0,VLOOKUP($F1274,#REF!,6,0)*H1274/1000)</f>
        <v>0</v>
      </c>
      <c r="N1274" s="21">
        <f>IF(ISERROR(VLOOKUP($F1274,#REF!,6,0)*I1274/1000),0,VLOOKUP($F1274,#REF!,6,0)*I1274/1000)</f>
        <v>0</v>
      </c>
      <c r="O1274" s="21">
        <f>IF(ISERROR(VLOOKUP($F1274,#REF!,6,0)*J1274/1000),0,VLOOKUP($F1274,#REF!,6,0)*J1274/1000)</f>
        <v>0</v>
      </c>
      <c r="P1274" s="21">
        <f>IF(ISERROR(VLOOKUP(F1274,#REF!,6,0)*K1274/1000),0,VLOOKUP(F1274,#REF!,6,0)*K1274/1000)</f>
        <v>0</v>
      </c>
      <c r="Q1274" s="6">
        <f>IF(ISERROR(VLOOKUP(F1274,#REF!,3,0)),0,VLOOKUP(F1274,#REF!,3,0))</f>
        <v>0</v>
      </c>
      <c r="R1274" s="6">
        <f>IF(ISERROR(VLOOKUP(F1274,#REF!,4,0)),0,VLOOKUP(F1274,#REF!,4,0))</f>
        <v>0</v>
      </c>
      <c r="S1274" s="8">
        <f>IF(ISERROR(VLOOKUP(F1274,#REF!,4,0)),0,VLOOKUP(F1274,#REF!,10,0)/60*K1274)</f>
        <v>0</v>
      </c>
      <c r="T1274" s="3"/>
      <c r="U1274" s="3"/>
      <c r="V1274" s="4"/>
    </row>
    <row r="1275" spans="1:22" x14ac:dyDescent="0.3">
      <c r="A1275" s="5">
        <f t="shared" si="58"/>
        <v>0</v>
      </c>
      <c r="B1275" s="6">
        <f t="shared" si="59"/>
        <v>0</v>
      </c>
      <c r="K1275" s="18">
        <f t="shared" si="57"/>
        <v>0</v>
      </c>
      <c r="L1275" s="21">
        <f>IF(ISERROR(VLOOKUP($F1275,#REF!,6,0)*G1275/1000),0,VLOOKUP($F1275,#REF!,6,0)*G1275/1000)</f>
        <v>0</v>
      </c>
      <c r="M1275" s="21">
        <f>IF(ISERROR(VLOOKUP($F1275,#REF!,6,0)*H1275/1000),0,VLOOKUP($F1275,#REF!,6,0)*H1275/1000)</f>
        <v>0</v>
      </c>
      <c r="N1275" s="21">
        <f>IF(ISERROR(VLOOKUP($F1275,#REF!,6,0)*I1275/1000),0,VLOOKUP($F1275,#REF!,6,0)*I1275/1000)</f>
        <v>0</v>
      </c>
      <c r="O1275" s="21">
        <f>IF(ISERROR(VLOOKUP($F1275,#REF!,6,0)*J1275/1000),0,VLOOKUP($F1275,#REF!,6,0)*J1275/1000)</f>
        <v>0</v>
      </c>
      <c r="P1275" s="21">
        <f>IF(ISERROR(VLOOKUP(F1275,#REF!,6,0)*K1275/1000),0,VLOOKUP(F1275,#REF!,6,0)*K1275/1000)</f>
        <v>0</v>
      </c>
      <c r="Q1275" s="6">
        <f>IF(ISERROR(VLOOKUP(F1275,#REF!,3,0)),0,VLOOKUP(F1275,#REF!,3,0))</f>
        <v>0</v>
      </c>
      <c r="R1275" s="6">
        <f>IF(ISERROR(VLOOKUP(F1275,#REF!,4,0)),0,VLOOKUP(F1275,#REF!,4,0))</f>
        <v>0</v>
      </c>
      <c r="S1275" s="8">
        <f>IF(ISERROR(VLOOKUP(F1275,#REF!,4,0)),0,VLOOKUP(F1275,#REF!,10,0)/60*K1275)</f>
        <v>0</v>
      </c>
      <c r="T1275" s="3"/>
      <c r="U1275" s="3"/>
      <c r="V1275" s="4"/>
    </row>
    <row r="1276" spans="1:22" x14ac:dyDescent="0.3">
      <c r="A1276" s="5">
        <f t="shared" si="58"/>
        <v>0</v>
      </c>
      <c r="B1276" s="6">
        <f t="shared" si="59"/>
        <v>0</v>
      </c>
      <c r="K1276" s="18">
        <f t="shared" si="57"/>
        <v>0</v>
      </c>
      <c r="L1276" s="21">
        <f>IF(ISERROR(VLOOKUP($F1276,#REF!,6,0)*G1276/1000),0,VLOOKUP($F1276,#REF!,6,0)*G1276/1000)</f>
        <v>0</v>
      </c>
      <c r="M1276" s="21">
        <f>IF(ISERROR(VLOOKUP($F1276,#REF!,6,0)*H1276/1000),0,VLOOKUP($F1276,#REF!,6,0)*H1276/1000)</f>
        <v>0</v>
      </c>
      <c r="N1276" s="21">
        <f>IF(ISERROR(VLOOKUP($F1276,#REF!,6,0)*I1276/1000),0,VLOOKUP($F1276,#REF!,6,0)*I1276/1000)</f>
        <v>0</v>
      </c>
      <c r="O1276" s="21">
        <f>IF(ISERROR(VLOOKUP($F1276,#REF!,6,0)*J1276/1000),0,VLOOKUP($F1276,#REF!,6,0)*J1276/1000)</f>
        <v>0</v>
      </c>
      <c r="P1276" s="21">
        <f>IF(ISERROR(VLOOKUP(F1276,#REF!,6,0)*K1276/1000),0,VLOOKUP(F1276,#REF!,6,0)*K1276/1000)</f>
        <v>0</v>
      </c>
      <c r="Q1276" s="6">
        <f>IF(ISERROR(VLOOKUP(F1276,#REF!,3,0)),0,VLOOKUP(F1276,#REF!,3,0))</f>
        <v>0</v>
      </c>
      <c r="R1276" s="6">
        <f>IF(ISERROR(VLOOKUP(F1276,#REF!,4,0)),0,VLOOKUP(F1276,#REF!,4,0))</f>
        <v>0</v>
      </c>
      <c r="S1276" s="8">
        <f>IF(ISERROR(VLOOKUP(F1276,#REF!,4,0)),0,VLOOKUP(F1276,#REF!,10,0)/60*K1276)</f>
        <v>0</v>
      </c>
      <c r="T1276" s="3"/>
      <c r="U1276" s="3"/>
      <c r="V1276" s="4"/>
    </row>
    <row r="1277" spans="1:22" x14ac:dyDescent="0.3">
      <c r="A1277" s="5">
        <f t="shared" si="58"/>
        <v>0</v>
      </c>
      <c r="B1277" s="6">
        <f t="shared" si="59"/>
        <v>0</v>
      </c>
      <c r="K1277" s="18">
        <f t="shared" si="57"/>
        <v>0</v>
      </c>
      <c r="L1277" s="21">
        <f>IF(ISERROR(VLOOKUP($F1277,#REF!,6,0)*G1277/1000),0,VLOOKUP($F1277,#REF!,6,0)*G1277/1000)</f>
        <v>0</v>
      </c>
      <c r="M1277" s="21">
        <f>IF(ISERROR(VLOOKUP($F1277,#REF!,6,0)*H1277/1000),0,VLOOKUP($F1277,#REF!,6,0)*H1277/1000)</f>
        <v>0</v>
      </c>
      <c r="N1277" s="21">
        <f>IF(ISERROR(VLOOKUP($F1277,#REF!,6,0)*I1277/1000),0,VLOOKUP($F1277,#REF!,6,0)*I1277/1000)</f>
        <v>0</v>
      </c>
      <c r="O1277" s="21">
        <f>IF(ISERROR(VLOOKUP($F1277,#REF!,6,0)*J1277/1000),0,VLOOKUP($F1277,#REF!,6,0)*J1277/1000)</f>
        <v>0</v>
      </c>
      <c r="P1277" s="21">
        <f>IF(ISERROR(VLOOKUP(F1277,#REF!,6,0)*K1277/1000),0,VLOOKUP(F1277,#REF!,6,0)*K1277/1000)</f>
        <v>0</v>
      </c>
      <c r="Q1277" s="6">
        <f>IF(ISERROR(VLOOKUP(F1277,#REF!,3,0)),0,VLOOKUP(F1277,#REF!,3,0))</f>
        <v>0</v>
      </c>
      <c r="R1277" s="6">
        <f>IF(ISERROR(VLOOKUP(F1277,#REF!,4,0)),0,VLOOKUP(F1277,#REF!,4,0))</f>
        <v>0</v>
      </c>
      <c r="S1277" s="8">
        <f>IF(ISERROR(VLOOKUP(F1277,#REF!,4,0)),0,VLOOKUP(F1277,#REF!,10,0)/60*K1277)</f>
        <v>0</v>
      </c>
      <c r="T1277" s="3"/>
      <c r="U1277" s="3"/>
      <c r="V1277" s="4"/>
    </row>
    <row r="1278" spans="1:22" x14ac:dyDescent="0.3">
      <c r="A1278" s="5">
        <f t="shared" si="58"/>
        <v>0</v>
      </c>
      <c r="B1278" s="6">
        <f t="shared" si="59"/>
        <v>0</v>
      </c>
      <c r="K1278" s="18">
        <f t="shared" si="57"/>
        <v>0</v>
      </c>
      <c r="L1278" s="21">
        <f>IF(ISERROR(VLOOKUP($F1278,#REF!,6,0)*G1278/1000),0,VLOOKUP($F1278,#REF!,6,0)*G1278/1000)</f>
        <v>0</v>
      </c>
      <c r="M1278" s="21">
        <f>IF(ISERROR(VLOOKUP($F1278,#REF!,6,0)*H1278/1000),0,VLOOKUP($F1278,#REF!,6,0)*H1278/1000)</f>
        <v>0</v>
      </c>
      <c r="N1278" s="21">
        <f>IF(ISERROR(VLOOKUP($F1278,#REF!,6,0)*I1278/1000),0,VLOOKUP($F1278,#REF!,6,0)*I1278/1000)</f>
        <v>0</v>
      </c>
      <c r="O1278" s="21">
        <f>IF(ISERROR(VLOOKUP($F1278,#REF!,6,0)*J1278/1000),0,VLOOKUP($F1278,#REF!,6,0)*J1278/1000)</f>
        <v>0</v>
      </c>
      <c r="P1278" s="21">
        <f>IF(ISERROR(VLOOKUP(F1278,#REF!,6,0)*K1278/1000),0,VLOOKUP(F1278,#REF!,6,0)*K1278/1000)</f>
        <v>0</v>
      </c>
      <c r="Q1278" s="6">
        <f>IF(ISERROR(VLOOKUP(F1278,#REF!,3,0)),0,VLOOKUP(F1278,#REF!,3,0))</f>
        <v>0</v>
      </c>
      <c r="R1278" s="6">
        <f>IF(ISERROR(VLOOKUP(F1278,#REF!,4,0)),0,VLOOKUP(F1278,#REF!,4,0))</f>
        <v>0</v>
      </c>
      <c r="S1278" s="8">
        <f>IF(ISERROR(VLOOKUP(F1278,#REF!,4,0)),0,VLOOKUP(F1278,#REF!,10,0)/60*K1278)</f>
        <v>0</v>
      </c>
      <c r="T1278" s="3"/>
      <c r="U1278" s="3"/>
      <c r="V1278" s="4"/>
    </row>
    <row r="1279" spans="1:22" x14ac:dyDescent="0.3">
      <c r="A1279" s="5">
        <f t="shared" si="58"/>
        <v>0</v>
      </c>
      <c r="B1279" s="6">
        <f t="shared" si="59"/>
        <v>0</v>
      </c>
      <c r="K1279" s="18">
        <f t="shared" si="57"/>
        <v>0</v>
      </c>
      <c r="L1279" s="21">
        <f>IF(ISERROR(VLOOKUP($F1279,#REF!,6,0)*G1279/1000),0,VLOOKUP($F1279,#REF!,6,0)*G1279/1000)</f>
        <v>0</v>
      </c>
      <c r="M1279" s="21">
        <f>IF(ISERROR(VLOOKUP($F1279,#REF!,6,0)*H1279/1000),0,VLOOKUP($F1279,#REF!,6,0)*H1279/1000)</f>
        <v>0</v>
      </c>
      <c r="N1279" s="21">
        <f>IF(ISERROR(VLOOKUP($F1279,#REF!,6,0)*I1279/1000),0,VLOOKUP($F1279,#REF!,6,0)*I1279/1000)</f>
        <v>0</v>
      </c>
      <c r="O1279" s="21">
        <f>IF(ISERROR(VLOOKUP($F1279,#REF!,6,0)*J1279/1000),0,VLOOKUP($F1279,#REF!,6,0)*J1279/1000)</f>
        <v>0</v>
      </c>
      <c r="P1279" s="21">
        <f>IF(ISERROR(VLOOKUP(F1279,#REF!,6,0)*K1279/1000),0,VLOOKUP(F1279,#REF!,6,0)*K1279/1000)</f>
        <v>0</v>
      </c>
      <c r="Q1279" s="6">
        <f>IF(ISERROR(VLOOKUP(F1279,#REF!,3,0)),0,VLOOKUP(F1279,#REF!,3,0))</f>
        <v>0</v>
      </c>
      <c r="R1279" s="6">
        <f>IF(ISERROR(VLOOKUP(F1279,#REF!,4,0)),0,VLOOKUP(F1279,#REF!,4,0))</f>
        <v>0</v>
      </c>
      <c r="S1279" s="8">
        <f>IF(ISERROR(VLOOKUP(F1279,#REF!,4,0)),0,VLOOKUP(F1279,#REF!,10,0)/60*K1279)</f>
        <v>0</v>
      </c>
      <c r="T1279" s="3"/>
      <c r="U1279" s="3"/>
      <c r="V1279" s="4"/>
    </row>
    <row r="1280" spans="1:22" x14ac:dyDescent="0.3">
      <c r="A1280" s="5">
        <f t="shared" si="58"/>
        <v>0</v>
      </c>
      <c r="B1280" s="6">
        <f t="shared" si="59"/>
        <v>0</v>
      </c>
      <c r="K1280" s="18">
        <f t="shared" si="57"/>
        <v>0</v>
      </c>
      <c r="L1280" s="21">
        <f>IF(ISERROR(VLOOKUP($F1280,#REF!,6,0)*G1280/1000),0,VLOOKUP($F1280,#REF!,6,0)*G1280/1000)</f>
        <v>0</v>
      </c>
      <c r="M1280" s="21">
        <f>IF(ISERROR(VLOOKUP($F1280,#REF!,6,0)*H1280/1000),0,VLOOKUP($F1280,#REF!,6,0)*H1280/1000)</f>
        <v>0</v>
      </c>
      <c r="N1280" s="21">
        <f>IF(ISERROR(VLOOKUP($F1280,#REF!,6,0)*I1280/1000),0,VLOOKUP($F1280,#REF!,6,0)*I1280/1000)</f>
        <v>0</v>
      </c>
      <c r="O1280" s="21">
        <f>IF(ISERROR(VLOOKUP($F1280,#REF!,6,0)*J1280/1000),0,VLOOKUP($F1280,#REF!,6,0)*J1280/1000)</f>
        <v>0</v>
      </c>
      <c r="P1280" s="21">
        <f>IF(ISERROR(VLOOKUP(F1280,#REF!,6,0)*K1280/1000),0,VLOOKUP(F1280,#REF!,6,0)*K1280/1000)</f>
        <v>0</v>
      </c>
      <c r="Q1280" s="6">
        <f>IF(ISERROR(VLOOKUP(F1280,#REF!,3,0)),0,VLOOKUP(F1280,#REF!,3,0))</f>
        <v>0</v>
      </c>
      <c r="R1280" s="6">
        <f>IF(ISERROR(VLOOKUP(F1280,#REF!,4,0)),0,VLOOKUP(F1280,#REF!,4,0))</f>
        <v>0</v>
      </c>
      <c r="S1280" s="8">
        <f>IF(ISERROR(VLOOKUP(F1280,#REF!,4,0)),0,VLOOKUP(F1280,#REF!,10,0)/60*K1280)</f>
        <v>0</v>
      </c>
      <c r="T1280" s="3"/>
      <c r="U1280" s="3"/>
      <c r="V1280" s="4"/>
    </row>
    <row r="1281" spans="1:22" x14ac:dyDescent="0.3">
      <c r="A1281" s="5">
        <f t="shared" si="58"/>
        <v>0</v>
      </c>
      <c r="B1281" s="6">
        <f t="shared" si="59"/>
        <v>0</v>
      </c>
      <c r="K1281" s="18">
        <f t="shared" si="57"/>
        <v>0</v>
      </c>
      <c r="L1281" s="21">
        <f>IF(ISERROR(VLOOKUP($F1281,#REF!,6,0)*G1281/1000),0,VLOOKUP($F1281,#REF!,6,0)*G1281/1000)</f>
        <v>0</v>
      </c>
      <c r="M1281" s="21">
        <f>IF(ISERROR(VLOOKUP($F1281,#REF!,6,0)*H1281/1000),0,VLOOKUP($F1281,#REF!,6,0)*H1281/1000)</f>
        <v>0</v>
      </c>
      <c r="N1281" s="21">
        <f>IF(ISERROR(VLOOKUP($F1281,#REF!,6,0)*I1281/1000),0,VLOOKUP($F1281,#REF!,6,0)*I1281/1000)</f>
        <v>0</v>
      </c>
      <c r="O1281" s="21">
        <f>IF(ISERROR(VLOOKUP($F1281,#REF!,6,0)*J1281/1000),0,VLOOKUP($F1281,#REF!,6,0)*J1281/1000)</f>
        <v>0</v>
      </c>
      <c r="P1281" s="21">
        <f>IF(ISERROR(VLOOKUP(F1281,#REF!,6,0)*K1281/1000),0,VLOOKUP(F1281,#REF!,6,0)*K1281/1000)</f>
        <v>0</v>
      </c>
      <c r="Q1281" s="6">
        <f>IF(ISERROR(VLOOKUP(F1281,#REF!,3,0)),0,VLOOKUP(F1281,#REF!,3,0))</f>
        <v>0</v>
      </c>
      <c r="R1281" s="6">
        <f>IF(ISERROR(VLOOKUP(F1281,#REF!,4,0)),0,VLOOKUP(F1281,#REF!,4,0))</f>
        <v>0</v>
      </c>
      <c r="S1281" s="8">
        <f>IF(ISERROR(VLOOKUP(F1281,#REF!,4,0)),0,VLOOKUP(F1281,#REF!,10,0)/60*K1281)</f>
        <v>0</v>
      </c>
      <c r="T1281" s="3"/>
      <c r="U1281" s="3"/>
      <c r="V1281" s="4"/>
    </row>
    <row r="1282" spans="1:22" x14ac:dyDescent="0.3">
      <c r="A1282" s="5">
        <f t="shared" si="58"/>
        <v>0</v>
      </c>
      <c r="B1282" s="6">
        <f t="shared" si="59"/>
        <v>0</v>
      </c>
      <c r="K1282" s="18">
        <f t="shared" si="57"/>
        <v>0</v>
      </c>
      <c r="L1282" s="21">
        <f>IF(ISERROR(VLOOKUP($F1282,#REF!,6,0)*G1282/1000),0,VLOOKUP($F1282,#REF!,6,0)*G1282/1000)</f>
        <v>0</v>
      </c>
      <c r="M1282" s="21">
        <f>IF(ISERROR(VLOOKUP($F1282,#REF!,6,0)*H1282/1000),0,VLOOKUP($F1282,#REF!,6,0)*H1282/1000)</f>
        <v>0</v>
      </c>
      <c r="N1282" s="21">
        <f>IF(ISERROR(VLOOKUP($F1282,#REF!,6,0)*I1282/1000),0,VLOOKUP($F1282,#REF!,6,0)*I1282/1000)</f>
        <v>0</v>
      </c>
      <c r="O1282" s="21">
        <f>IF(ISERROR(VLOOKUP($F1282,#REF!,6,0)*J1282/1000),0,VLOOKUP($F1282,#REF!,6,0)*J1282/1000)</f>
        <v>0</v>
      </c>
      <c r="P1282" s="21">
        <f>IF(ISERROR(VLOOKUP(F1282,#REF!,6,0)*K1282/1000),0,VLOOKUP(F1282,#REF!,6,0)*K1282/1000)</f>
        <v>0</v>
      </c>
      <c r="Q1282" s="6">
        <f>IF(ISERROR(VLOOKUP(F1282,#REF!,3,0)),0,VLOOKUP(F1282,#REF!,3,0))</f>
        <v>0</v>
      </c>
      <c r="R1282" s="6">
        <f>IF(ISERROR(VLOOKUP(F1282,#REF!,4,0)),0,VLOOKUP(F1282,#REF!,4,0))</f>
        <v>0</v>
      </c>
      <c r="S1282" s="8">
        <f>IF(ISERROR(VLOOKUP(F1282,#REF!,4,0)),0,VLOOKUP(F1282,#REF!,10,0)/60*K1282)</f>
        <v>0</v>
      </c>
      <c r="T1282" s="3"/>
      <c r="U1282" s="3"/>
      <c r="V1282" s="4"/>
    </row>
    <row r="1283" spans="1:22" x14ac:dyDescent="0.3">
      <c r="A1283" s="5">
        <f t="shared" si="58"/>
        <v>0</v>
      </c>
      <c r="B1283" s="6">
        <f t="shared" si="59"/>
        <v>0</v>
      </c>
      <c r="K1283" s="18">
        <f t="shared" si="57"/>
        <v>0</v>
      </c>
      <c r="L1283" s="21">
        <f>IF(ISERROR(VLOOKUP($F1283,#REF!,6,0)*G1283/1000),0,VLOOKUP($F1283,#REF!,6,0)*G1283/1000)</f>
        <v>0</v>
      </c>
      <c r="M1283" s="21">
        <f>IF(ISERROR(VLOOKUP($F1283,#REF!,6,0)*H1283/1000),0,VLOOKUP($F1283,#REF!,6,0)*H1283/1000)</f>
        <v>0</v>
      </c>
      <c r="N1283" s="21">
        <f>IF(ISERROR(VLOOKUP($F1283,#REF!,6,0)*I1283/1000),0,VLOOKUP($F1283,#REF!,6,0)*I1283/1000)</f>
        <v>0</v>
      </c>
      <c r="O1283" s="21">
        <f>IF(ISERROR(VLOOKUP($F1283,#REF!,6,0)*J1283/1000),0,VLOOKUP($F1283,#REF!,6,0)*J1283/1000)</f>
        <v>0</v>
      </c>
      <c r="P1283" s="21">
        <f>IF(ISERROR(VLOOKUP(F1283,#REF!,6,0)*K1283/1000),0,VLOOKUP(F1283,#REF!,6,0)*K1283/1000)</f>
        <v>0</v>
      </c>
      <c r="Q1283" s="6">
        <f>IF(ISERROR(VLOOKUP(F1283,#REF!,3,0)),0,VLOOKUP(F1283,#REF!,3,0))</f>
        <v>0</v>
      </c>
      <c r="R1283" s="6">
        <f>IF(ISERROR(VLOOKUP(F1283,#REF!,4,0)),0,VLOOKUP(F1283,#REF!,4,0))</f>
        <v>0</v>
      </c>
      <c r="S1283" s="8">
        <f>IF(ISERROR(VLOOKUP(F1283,#REF!,4,0)),0,VLOOKUP(F1283,#REF!,10,0)/60*K1283)</f>
        <v>0</v>
      </c>
      <c r="T1283" s="3"/>
      <c r="U1283" s="3"/>
      <c r="V1283" s="4"/>
    </row>
    <row r="1284" spans="1:22" x14ac:dyDescent="0.3">
      <c r="A1284" s="5">
        <f t="shared" si="58"/>
        <v>0</v>
      </c>
      <c r="B1284" s="6">
        <f t="shared" si="59"/>
        <v>0</v>
      </c>
      <c r="K1284" s="18">
        <f t="shared" ref="K1284:K1347" si="60">SUM(G1284:J1284)</f>
        <v>0</v>
      </c>
      <c r="L1284" s="21">
        <f>IF(ISERROR(VLOOKUP($F1284,#REF!,6,0)*G1284/1000),0,VLOOKUP($F1284,#REF!,6,0)*G1284/1000)</f>
        <v>0</v>
      </c>
      <c r="M1284" s="21">
        <f>IF(ISERROR(VLOOKUP($F1284,#REF!,6,0)*H1284/1000),0,VLOOKUP($F1284,#REF!,6,0)*H1284/1000)</f>
        <v>0</v>
      </c>
      <c r="N1284" s="21">
        <f>IF(ISERROR(VLOOKUP($F1284,#REF!,6,0)*I1284/1000),0,VLOOKUP($F1284,#REF!,6,0)*I1284/1000)</f>
        <v>0</v>
      </c>
      <c r="O1284" s="21">
        <f>IF(ISERROR(VLOOKUP($F1284,#REF!,6,0)*J1284/1000),0,VLOOKUP($F1284,#REF!,6,0)*J1284/1000)</f>
        <v>0</v>
      </c>
      <c r="P1284" s="21">
        <f>IF(ISERROR(VLOOKUP(F1284,#REF!,6,0)*K1284/1000),0,VLOOKUP(F1284,#REF!,6,0)*K1284/1000)</f>
        <v>0</v>
      </c>
      <c r="Q1284" s="6">
        <f>IF(ISERROR(VLOOKUP(F1284,#REF!,3,0)),0,VLOOKUP(F1284,#REF!,3,0))</f>
        <v>0</v>
      </c>
      <c r="R1284" s="6">
        <f>IF(ISERROR(VLOOKUP(F1284,#REF!,4,0)),0,VLOOKUP(F1284,#REF!,4,0))</f>
        <v>0</v>
      </c>
      <c r="S1284" s="8">
        <f>IF(ISERROR(VLOOKUP(F1284,#REF!,4,0)),0,VLOOKUP(F1284,#REF!,10,0)/60*K1284)</f>
        <v>0</v>
      </c>
      <c r="T1284" s="3"/>
      <c r="U1284" s="3"/>
      <c r="V1284" s="4"/>
    </row>
    <row r="1285" spans="1:22" x14ac:dyDescent="0.3">
      <c r="A1285" s="5">
        <f t="shared" ref="A1285:A1348" si="61">IF(C1285=0,0,YEAR(C1285))</f>
        <v>0</v>
      </c>
      <c r="B1285" s="6">
        <f t="shared" ref="B1285:B1348" si="62">IF(C1285&gt;0,VLOOKUP(MONTH($C1285),$AJ$3:$AK$14,2,0),0)</f>
        <v>0</v>
      </c>
      <c r="K1285" s="18">
        <f t="shared" si="60"/>
        <v>0</v>
      </c>
      <c r="L1285" s="21">
        <f>IF(ISERROR(VLOOKUP($F1285,#REF!,6,0)*G1285/1000),0,VLOOKUP($F1285,#REF!,6,0)*G1285/1000)</f>
        <v>0</v>
      </c>
      <c r="M1285" s="21">
        <f>IF(ISERROR(VLOOKUP($F1285,#REF!,6,0)*H1285/1000),0,VLOOKUP($F1285,#REF!,6,0)*H1285/1000)</f>
        <v>0</v>
      </c>
      <c r="N1285" s="21">
        <f>IF(ISERROR(VLOOKUP($F1285,#REF!,6,0)*I1285/1000),0,VLOOKUP($F1285,#REF!,6,0)*I1285/1000)</f>
        <v>0</v>
      </c>
      <c r="O1285" s="21">
        <f>IF(ISERROR(VLOOKUP($F1285,#REF!,6,0)*J1285/1000),0,VLOOKUP($F1285,#REF!,6,0)*J1285/1000)</f>
        <v>0</v>
      </c>
      <c r="P1285" s="21">
        <f>IF(ISERROR(VLOOKUP(F1285,#REF!,6,0)*K1285/1000),0,VLOOKUP(F1285,#REF!,6,0)*K1285/1000)</f>
        <v>0</v>
      </c>
      <c r="Q1285" s="6">
        <f>IF(ISERROR(VLOOKUP(F1285,#REF!,3,0)),0,VLOOKUP(F1285,#REF!,3,0))</f>
        <v>0</v>
      </c>
      <c r="R1285" s="6">
        <f>IF(ISERROR(VLOOKUP(F1285,#REF!,4,0)),0,VLOOKUP(F1285,#REF!,4,0))</f>
        <v>0</v>
      </c>
      <c r="S1285" s="8">
        <f>IF(ISERROR(VLOOKUP(F1285,#REF!,4,0)),0,VLOOKUP(F1285,#REF!,10,0)/60*K1285)</f>
        <v>0</v>
      </c>
      <c r="T1285" s="3"/>
      <c r="U1285" s="3"/>
      <c r="V1285" s="4"/>
    </row>
    <row r="1286" spans="1:22" x14ac:dyDescent="0.3">
      <c r="A1286" s="5">
        <f t="shared" si="61"/>
        <v>0</v>
      </c>
      <c r="B1286" s="6">
        <f t="shared" si="62"/>
        <v>0</v>
      </c>
      <c r="K1286" s="18">
        <f t="shared" si="60"/>
        <v>0</v>
      </c>
      <c r="L1286" s="21">
        <f>IF(ISERROR(VLOOKUP($F1286,#REF!,6,0)*G1286/1000),0,VLOOKUP($F1286,#REF!,6,0)*G1286/1000)</f>
        <v>0</v>
      </c>
      <c r="M1286" s="21">
        <f>IF(ISERROR(VLOOKUP($F1286,#REF!,6,0)*H1286/1000),0,VLOOKUP($F1286,#REF!,6,0)*H1286/1000)</f>
        <v>0</v>
      </c>
      <c r="N1286" s="21">
        <f>IF(ISERROR(VLOOKUP($F1286,#REF!,6,0)*I1286/1000),0,VLOOKUP($F1286,#REF!,6,0)*I1286/1000)</f>
        <v>0</v>
      </c>
      <c r="O1286" s="21">
        <f>IF(ISERROR(VLOOKUP($F1286,#REF!,6,0)*J1286/1000),0,VLOOKUP($F1286,#REF!,6,0)*J1286/1000)</f>
        <v>0</v>
      </c>
      <c r="P1286" s="21">
        <f>IF(ISERROR(VLOOKUP(F1286,#REF!,6,0)*K1286/1000),0,VLOOKUP(F1286,#REF!,6,0)*K1286/1000)</f>
        <v>0</v>
      </c>
      <c r="Q1286" s="6">
        <f>IF(ISERROR(VLOOKUP(F1286,#REF!,3,0)),0,VLOOKUP(F1286,#REF!,3,0))</f>
        <v>0</v>
      </c>
      <c r="R1286" s="6">
        <f>IF(ISERROR(VLOOKUP(F1286,#REF!,4,0)),0,VLOOKUP(F1286,#REF!,4,0))</f>
        <v>0</v>
      </c>
      <c r="S1286" s="8">
        <f>IF(ISERROR(VLOOKUP(F1286,#REF!,4,0)),0,VLOOKUP(F1286,#REF!,10,0)/60*K1286)</f>
        <v>0</v>
      </c>
      <c r="T1286" s="3"/>
      <c r="U1286" s="3"/>
      <c r="V1286" s="4"/>
    </row>
    <row r="1287" spans="1:22" x14ac:dyDescent="0.3">
      <c r="A1287" s="5">
        <f t="shared" si="61"/>
        <v>0</v>
      </c>
      <c r="B1287" s="6">
        <f t="shared" si="62"/>
        <v>0</v>
      </c>
      <c r="K1287" s="18">
        <f t="shared" si="60"/>
        <v>0</v>
      </c>
      <c r="L1287" s="21">
        <f>IF(ISERROR(VLOOKUP($F1287,#REF!,6,0)*G1287/1000),0,VLOOKUP($F1287,#REF!,6,0)*G1287/1000)</f>
        <v>0</v>
      </c>
      <c r="M1287" s="21">
        <f>IF(ISERROR(VLOOKUP($F1287,#REF!,6,0)*H1287/1000),0,VLOOKUP($F1287,#REF!,6,0)*H1287/1000)</f>
        <v>0</v>
      </c>
      <c r="N1287" s="21">
        <f>IF(ISERROR(VLOOKUP($F1287,#REF!,6,0)*I1287/1000),0,VLOOKUP($F1287,#REF!,6,0)*I1287/1000)</f>
        <v>0</v>
      </c>
      <c r="O1287" s="21">
        <f>IF(ISERROR(VLOOKUP($F1287,#REF!,6,0)*J1287/1000),0,VLOOKUP($F1287,#REF!,6,0)*J1287/1000)</f>
        <v>0</v>
      </c>
      <c r="P1287" s="21">
        <f>IF(ISERROR(VLOOKUP(F1287,#REF!,6,0)*K1287/1000),0,VLOOKUP(F1287,#REF!,6,0)*K1287/1000)</f>
        <v>0</v>
      </c>
      <c r="Q1287" s="6">
        <f>IF(ISERROR(VLOOKUP(F1287,#REF!,3,0)),0,VLOOKUP(F1287,#REF!,3,0))</f>
        <v>0</v>
      </c>
      <c r="R1287" s="6">
        <f>IF(ISERROR(VLOOKUP(F1287,#REF!,4,0)),0,VLOOKUP(F1287,#REF!,4,0))</f>
        <v>0</v>
      </c>
      <c r="S1287" s="8">
        <f>IF(ISERROR(VLOOKUP(F1287,#REF!,4,0)),0,VLOOKUP(F1287,#REF!,10,0)/60*K1287)</f>
        <v>0</v>
      </c>
      <c r="T1287" s="3"/>
      <c r="U1287" s="3"/>
      <c r="V1287" s="4"/>
    </row>
    <row r="1288" spans="1:22" x14ac:dyDescent="0.3">
      <c r="A1288" s="5">
        <f t="shared" si="61"/>
        <v>0</v>
      </c>
      <c r="B1288" s="6">
        <f t="shared" si="62"/>
        <v>0</v>
      </c>
      <c r="K1288" s="18">
        <f t="shared" si="60"/>
        <v>0</v>
      </c>
      <c r="L1288" s="21">
        <f>IF(ISERROR(VLOOKUP($F1288,#REF!,6,0)*G1288/1000),0,VLOOKUP($F1288,#REF!,6,0)*G1288/1000)</f>
        <v>0</v>
      </c>
      <c r="M1288" s="21">
        <f>IF(ISERROR(VLOOKUP($F1288,#REF!,6,0)*H1288/1000),0,VLOOKUP($F1288,#REF!,6,0)*H1288/1000)</f>
        <v>0</v>
      </c>
      <c r="N1288" s="21">
        <f>IF(ISERROR(VLOOKUP($F1288,#REF!,6,0)*I1288/1000),0,VLOOKUP($F1288,#REF!,6,0)*I1288/1000)</f>
        <v>0</v>
      </c>
      <c r="O1288" s="21">
        <f>IF(ISERROR(VLOOKUP($F1288,#REF!,6,0)*J1288/1000),0,VLOOKUP($F1288,#REF!,6,0)*J1288/1000)</f>
        <v>0</v>
      </c>
      <c r="P1288" s="21">
        <f>IF(ISERROR(VLOOKUP(F1288,#REF!,6,0)*K1288/1000),0,VLOOKUP(F1288,#REF!,6,0)*K1288/1000)</f>
        <v>0</v>
      </c>
      <c r="Q1288" s="6">
        <f>IF(ISERROR(VLOOKUP(F1288,#REF!,3,0)),0,VLOOKUP(F1288,#REF!,3,0))</f>
        <v>0</v>
      </c>
      <c r="R1288" s="6">
        <f>IF(ISERROR(VLOOKUP(F1288,#REF!,4,0)),0,VLOOKUP(F1288,#REF!,4,0))</f>
        <v>0</v>
      </c>
      <c r="S1288" s="8">
        <f>IF(ISERROR(VLOOKUP(F1288,#REF!,4,0)),0,VLOOKUP(F1288,#REF!,10,0)/60*K1288)</f>
        <v>0</v>
      </c>
      <c r="T1288" s="3"/>
      <c r="U1288" s="3"/>
      <c r="V1288" s="4"/>
    </row>
    <row r="1289" spans="1:22" x14ac:dyDescent="0.3">
      <c r="A1289" s="5">
        <f t="shared" si="61"/>
        <v>0</v>
      </c>
      <c r="B1289" s="6">
        <f t="shared" si="62"/>
        <v>0</v>
      </c>
      <c r="K1289" s="18">
        <f t="shared" si="60"/>
        <v>0</v>
      </c>
      <c r="L1289" s="21">
        <f>IF(ISERROR(VLOOKUP($F1289,#REF!,6,0)*G1289/1000),0,VLOOKUP($F1289,#REF!,6,0)*G1289/1000)</f>
        <v>0</v>
      </c>
      <c r="M1289" s="21">
        <f>IF(ISERROR(VLOOKUP($F1289,#REF!,6,0)*H1289/1000),0,VLOOKUP($F1289,#REF!,6,0)*H1289/1000)</f>
        <v>0</v>
      </c>
      <c r="N1289" s="21">
        <f>IF(ISERROR(VLOOKUP($F1289,#REF!,6,0)*I1289/1000),0,VLOOKUP($F1289,#REF!,6,0)*I1289/1000)</f>
        <v>0</v>
      </c>
      <c r="O1289" s="21">
        <f>IF(ISERROR(VLOOKUP($F1289,#REF!,6,0)*J1289/1000),0,VLOOKUP($F1289,#REF!,6,0)*J1289/1000)</f>
        <v>0</v>
      </c>
      <c r="P1289" s="21">
        <f>IF(ISERROR(VLOOKUP(F1289,#REF!,6,0)*K1289/1000),0,VLOOKUP(F1289,#REF!,6,0)*K1289/1000)</f>
        <v>0</v>
      </c>
      <c r="Q1289" s="6">
        <f>IF(ISERROR(VLOOKUP(F1289,#REF!,3,0)),0,VLOOKUP(F1289,#REF!,3,0))</f>
        <v>0</v>
      </c>
      <c r="R1289" s="6">
        <f>IF(ISERROR(VLOOKUP(F1289,#REF!,4,0)),0,VLOOKUP(F1289,#REF!,4,0))</f>
        <v>0</v>
      </c>
      <c r="S1289" s="8">
        <f>IF(ISERROR(VLOOKUP(F1289,#REF!,4,0)),0,VLOOKUP(F1289,#REF!,10,0)/60*K1289)</f>
        <v>0</v>
      </c>
      <c r="T1289" s="3"/>
      <c r="U1289" s="3"/>
      <c r="V1289" s="4"/>
    </row>
    <row r="1290" spans="1:22" x14ac:dyDescent="0.3">
      <c r="A1290" s="5">
        <f t="shared" si="61"/>
        <v>0</v>
      </c>
      <c r="B1290" s="6">
        <f t="shared" si="62"/>
        <v>0</v>
      </c>
      <c r="K1290" s="18">
        <f t="shared" si="60"/>
        <v>0</v>
      </c>
      <c r="L1290" s="21">
        <f>IF(ISERROR(VLOOKUP($F1290,#REF!,6,0)*G1290/1000),0,VLOOKUP($F1290,#REF!,6,0)*G1290/1000)</f>
        <v>0</v>
      </c>
      <c r="M1290" s="21">
        <f>IF(ISERROR(VLOOKUP($F1290,#REF!,6,0)*H1290/1000),0,VLOOKUP($F1290,#REF!,6,0)*H1290/1000)</f>
        <v>0</v>
      </c>
      <c r="N1290" s="21">
        <f>IF(ISERROR(VLOOKUP($F1290,#REF!,6,0)*I1290/1000),0,VLOOKUP($F1290,#REF!,6,0)*I1290/1000)</f>
        <v>0</v>
      </c>
      <c r="O1290" s="21">
        <f>IF(ISERROR(VLOOKUP($F1290,#REF!,6,0)*J1290/1000),0,VLOOKUP($F1290,#REF!,6,0)*J1290/1000)</f>
        <v>0</v>
      </c>
      <c r="P1290" s="21">
        <f>IF(ISERROR(VLOOKUP(F1290,#REF!,6,0)*K1290/1000),0,VLOOKUP(F1290,#REF!,6,0)*K1290/1000)</f>
        <v>0</v>
      </c>
      <c r="Q1290" s="6">
        <f>IF(ISERROR(VLOOKUP(F1290,#REF!,3,0)),0,VLOOKUP(F1290,#REF!,3,0))</f>
        <v>0</v>
      </c>
      <c r="R1290" s="6">
        <f>IF(ISERROR(VLOOKUP(F1290,#REF!,4,0)),0,VLOOKUP(F1290,#REF!,4,0))</f>
        <v>0</v>
      </c>
      <c r="S1290" s="8">
        <f>IF(ISERROR(VLOOKUP(F1290,#REF!,4,0)),0,VLOOKUP(F1290,#REF!,10,0)/60*K1290)</f>
        <v>0</v>
      </c>
      <c r="T1290" s="3"/>
      <c r="U1290" s="3"/>
      <c r="V1290" s="4"/>
    </row>
    <row r="1291" spans="1:22" x14ac:dyDescent="0.3">
      <c r="A1291" s="5">
        <f t="shared" si="61"/>
        <v>0</v>
      </c>
      <c r="B1291" s="6">
        <f t="shared" si="62"/>
        <v>0</v>
      </c>
      <c r="K1291" s="18">
        <f t="shared" si="60"/>
        <v>0</v>
      </c>
      <c r="L1291" s="21">
        <f>IF(ISERROR(VLOOKUP($F1291,#REF!,6,0)*G1291/1000),0,VLOOKUP($F1291,#REF!,6,0)*G1291/1000)</f>
        <v>0</v>
      </c>
      <c r="M1291" s="21">
        <f>IF(ISERROR(VLOOKUP($F1291,#REF!,6,0)*H1291/1000),0,VLOOKUP($F1291,#REF!,6,0)*H1291/1000)</f>
        <v>0</v>
      </c>
      <c r="N1291" s="21">
        <f>IF(ISERROR(VLOOKUP($F1291,#REF!,6,0)*I1291/1000),0,VLOOKUP($F1291,#REF!,6,0)*I1291/1000)</f>
        <v>0</v>
      </c>
      <c r="O1291" s="21">
        <f>IF(ISERROR(VLOOKUP($F1291,#REF!,6,0)*J1291/1000),0,VLOOKUP($F1291,#REF!,6,0)*J1291/1000)</f>
        <v>0</v>
      </c>
      <c r="P1291" s="21">
        <f>IF(ISERROR(VLOOKUP(F1291,#REF!,6,0)*K1291/1000),0,VLOOKUP(F1291,#REF!,6,0)*K1291/1000)</f>
        <v>0</v>
      </c>
      <c r="Q1291" s="6">
        <f>IF(ISERROR(VLOOKUP(F1291,#REF!,3,0)),0,VLOOKUP(F1291,#REF!,3,0))</f>
        <v>0</v>
      </c>
      <c r="R1291" s="6">
        <f>IF(ISERROR(VLOOKUP(F1291,#REF!,4,0)),0,VLOOKUP(F1291,#REF!,4,0))</f>
        <v>0</v>
      </c>
      <c r="S1291" s="8">
        <f>IF(ISERROR(VLOOKUP(F1291,#REF!,4,0)),0,VLOOKUP(F1291,#REF!,10,0)/60*K1291)</f>
        <v>0</v>
      </c>
      <c r="T1291" s="3"/>
      <c r="U1291" s="3"/>
      <c r="V1291" s="4"/>
    </row>
    <row r="1292" spans="1:22" x14ac:dyDescent="0.3">
      <c r="A1292" s="5">
        <f t="shared" si="61"/>
        <v>0</v>
      </c>
      <c r="B1292" s="6">
        <f t="shared" si="62"/>
        <v>0</v>
      </c>
      <c r="K1292" s="18">
        <f t="shared" si="60"/>
        <v>0</v>
      </c>
      <c r="L1292" s="21">
        <f>IF(ISERROR(VLOOKUP($F1292,#REF!,6,0)*G1292/1000),0,VLOOKUP($F1292,#REF!,6,0)*G1292/1000)</f>
        <v>0</v>
      </c>
      <c r="M1292" s="21">
        <f>IF(ISERROR(VLOOKUP($F1292,#REF!,6,0)*H1292/1000),0,VLOOKUP($F1292,#REF!,6,0)*H1292/1000)</f>
        <v>0</v>
      </c>
      <c r="N1292" s="21">
        <f>IF(ISERROR(VLOOKUP($F1292,#REF!,6,0)*I1292/1000),0,VLOOKUP($F1292,#REF!,6,0)*I1292/1000)</f>
        <v>0</v>
      </c>
      <c r="O1292" s="21">
        <f>IF(ISERROR(VLOOKUP($F1292,#REF!,6,0)*J1292/1000),0,VLOOKUP($F1292,#REF!,6,0)*J1292/1000)</f>
        <v>0</v>
      </c>
      <c r="P1292" s="21">
        <f>IF(ISERROR(VLOOKUP(F1292,#REF!,6,0)*K1292/1000),0,VLOOKUP(F1292,#REF!,6,0)*K1292/1000)</f>
        <v>0</v>
      </c>
      <c r="Q1292" s="6">
        <f>IF(ISERROR(VLOOKUP(F1292,#REF!,3,0)),0,VLOOKUP(F1292,#REF!,3,0))</f>
        <v>0</v>
      </c>
      <c r="R1292" s="6">
        <f>IF(ISERROR(VLOOKUP(F1292,#REF!,4,0)),0,VLOOKUP(F1292,#REF!,4,0))</f>
        <v>0</v>
      </c>
      <c r="S1292" s="8">
        <f>IF(ISERROR(VLOOKUP(F1292,#REF!,4,0)),0,VLOOKUP(F1292,#REF!,10,0)/60*K1292)</f>
        <v>0</v>
      </c>
      <c r="T1292" s="3"/>
      <c r="U1292" s="3"/>
      <c r="V1292" s="4"/>
    </row>
    <row r="1293" spans="1:22" x14ac:dyDescent="0.3">
      <c r="A1293" s="5">
        <f t="shared" si="61"/>
        <v>0</v>
      </c>
      <c r="B1293" s="6">
        <f t="shared" si="62"/>
        <v>0</v>
      </c>
      <c r="K1293" s="18">
        <f t="shared" si="60"/>
        <v>0</v>
      </c>
      <c r="L1293" s="21">
        <f>IF(ISERROR(VLOOKUP($F1293,#REF!,6,0)*G1293/1000),0,VLOOKUP($F1293,#REF!,6,0)*G1293/1000)</f>
        <v>0</v>
      </c>
      <c r="M1293" s="21">
        <f>IF(ISERROR(VLOOKUP($F1293,#REF!,6,0)*H1293/1000),0,VLOOKUP($F1293,#REF!,6,0)*H1293/1000)</f>
        <v>0</v>
      </c>
      <c r="N1293" s="21">
        <f>IF(ISERROR(VLOOKUP($F1293,#REF!,6,0)*I1293/1000),0,VLOOKUP($F1293,#REF!,6,0)*I1293/1000)</f>
        <v>0</v>
      </c>
      <c r="O1293" s="21">
        <f>IF(ISERROR(VLOOKUP($F1293,#REF!,6,0)*J1293/1000),0,VLOOKUP($F1293,#REF!,6,0)*J1293/1000)</f>
        <v>0</v>
      </c>
      <c r="P1293" s="21">
        <f>IF(ISERROR(VLOOKUP(F1293,#REF!,6,0)*K1293/1000),0,VLOOKUP(F1293,#REF!,6,0)*K1293/1000)</f>
        <v>0</v>
      </c>
      <c r="Q1293" s="6">
        <f>IF(ISERROR(VLOOKUP(F1293,#REF!,3,0)),0,VLOOKUP(F1293,#REF!,3,0))</f>
        <v>0</v>
      </c>
      <c r="R1293" s="6">
        <f>IF(ISERROR(VLOOKUP(F1293,#REF!,4,0)),0,VLOOKUP(F1293,#REF!,4,0))</f>
        <v>0</v>
      </c>
      <c r="S1293" s="8">
        <f>IF(ISERROR(VLOOKUP(F1293,#REF!,4,0)),0,VLOOKUP(F1293,#REF!,10,0)/60*K1293)</f>
        <v>0</v>
      </c>
      <c r="T1293" s="3"/>
      <c r="U1293" s="3"/>
      <c r="V1293" s="4"/>
    </row>
    <row r="1294" spans="1:22" x14ac:dyDescent="0.3">
      <c r="A1294" s="5">
        <f t="shared" si="61"/>
        <v>0</v>
      </c>
      <c r="B1294" s="6">
        <f t="shared" si="62"/>
        <v>0</v>
      </c>
      <c r="K1294" s="18">
        <f t="shared" si="60"/>
        <v>0</v>
      </c>
      <c r="L1294" s="21">
        <f>IF(ISERROR(VLOOKUP($F1294,#REF!,6,0)*G1294/1000),0,VLOOKUP($F1294,#REF!,6,0)*G1294/1000)</f>
        <v>0</v>
      </c>
      <c r="M1294" s="21">
        <f>IF(ISERROR(VLOOKUP($F1294,#REF!,6,0)*H1294/1000),0,VLOOKUP($F1294,#REF!,6,0)*H1294/1000)</f>
        <v>0</v>
      </c>
      <c r="N1294" s="21">
        <f>IF(ISERROR(VLOOKUP($F1294,#REF!,6,0)*I1294/1000),0,VLOOKUP($F1294,#REF!,6,0)*I1294/1000)</f>
        <v>0</v>
      </c>
      <c r="O1294" s="21">
        <f>IF(ISERROR(VLOOKUP($F1294,#REF!,6,0)*J1294/1000),0,VLOOKUP($F1294,#REF!,6,0)*J1294/1000)</f>
        <v>0</v>
      </c>
      <c r="P1294" s="21">
        <f>IF(ISERROR(VLOOKUP(F1294,#REF!,6,0)*K1294/1000),0,VLOOKUP(F1294,#REF!,6,0)*K1294/1000)</f>
        <v>0</v>
      </c>
      <c r="Q1294" s="6">
        <f>IF(ISERROR(VLOOKUP(F1294,#REF!,3,0)),0,VLOOKUP(F1294,#REF!,3,0))</f>
        <v>0</v>
      </c>
      <c r="R1294" s="6">
        <f>IF(ISERROR(VLOOKUP(F1294,#REF!,4,0)),0,VLOOKUP(F1294,#REF!,4,0))</f>
        <v>0</v>
      </c>
      <c r="S1294" s="8">
        <f>IF(ISERROR(VLOOKUP(F1294,#REF!,4,0)),0,VLOOKUP(F1294,#REF!,10,0)/60*K1294)</f>
        <v>0</v>
      </c>
      <c r="T1294" s="3"/>
      <c r="U1294" s="3"/>
      <c r="V1294" s="4"/>
    </row>
    <row r="1295" spans="1:22" x14ac:dyDescent="0.3">
      <c r="A1295" s="5">
        <f t="shared" si="61"/>
        <v>0</v>
      </c>
      <c r="B1295" s="6">
        <f t="shared" si="62"/>
        <v>0</v>
      </c>
      <c r="K1295" s="18">
        <f t="shared" si="60"/>
        <v>0</v>
      </c>
      <c r="L1295" s="21">
        <f>IF(ISERROR(VLOOKUP($F1295,#REF!,6,0)*G1295/1000),0,VLOOKUP($F1295,#REF!,6,0)*G1295/1000)</f>
        <v>0</v>
      </c>
      <c r="M1295" s="21">
        <f>IF(ISERROR(VLOOKUP($F1295,#REF!,6,0)*H1295/1000),0,VLOOKUP($F1295,#REF!,6,0)*H1295/1000)</f>
        <v>0</v>
      </c>
      <c r="N1295" s="21">
        <f>IF(ISERROR(VLOOKUP($F1295,#REF!,6,0)*I1295/1000),0,VLOOKUP($F1295,#REF!,6,0)*I1295/1000)</f>
        <v>0</v>
      </c>
      <c r="O1295" s="21">
        <f>IF(ISERROR(VLOOKUP($F1295,#REF!,6,0)*J1295/1000),0,VLOOKUP($F1295,#REF!,6,0)*J1295/1000)</f>
        <v>0</v>
      </c>
      <c r="P1295" s="21">
        <f>IF(ISERROR(VLOOKUP(F1295,#REF!,6,0)*K1295/1000),0,VLOOKUP(F1295,#REF!,6,0)*K1295/1000)</f>
        <v>0</v>
      </c>
      <c r="Q1295" s="6">
        <f>IF(ISERROR(VLOOKUP(F1295,#REF!,3,0)),0,VLOOKUP(F1295,#REF!,3,0))</f>
        <v>0</v>
      </c>
      <c r="R1295" s="6">
        <f>IF(ISERROR(VLOOKUP(F1295,#REF!,4,0)),0,VLOOKUP(F1295,#REF!,4,0))</f>
        <v>0</v>
      </c>
      <c r="S1295" s="8">
        <f>IF(ISERROR(VLOOKUP(F1295,#REF!,4,0)),0,VLOOKUP(F1295,#REF!,10,0)/60*K1295)</f>
        <v>0</v>
      </c>
      <c r="T1295" s="3"/>
      <c r="U1295" s="3"/>
      <c r="V1295" s="4"/>
    </row>
    <row r="1296" spans="1:22" x14ac:dyDescent="0.3">
      <c r="A1296" s="5">
        <f t="shared" si="61"/>
        <v>0</v>
      </c>
      <c r="B1296" s="6">
        <f t="shared" si="62"/>
        <v>0</v>
      </c>
      <c r="K1296" s="18">
        <f t="shared" si="60"/>
        <v>0</v>
      </c>
      <c r="L1296" s="21">
        <f>IF(ISERROR(VLOOKUP($F1296,#REF!,6,0)*G1296/1000),0,VLOOKUP($F1296,#REF!,6,0)*G1296/1000)</f>
        <v>0</v>
      </c>
      <c r="M1296" s="21">
        <f>IF(ISERROR(VLOOKUP($F1296,#REF!,6,0)*H1296/1000),0,VLOOKUP($F1296,#REF!,6,0)*H1296/1000)</f>
        <v>0</v>
      </c>
      <c r="N1296" s="21">
        <f>IF(ISERROR(VLOOKUP($F1296,#REF!,6,0)*I1296/1000),0,VLOOKUP($F1296,#REF!,6,0)*I1296/1000)</f>
        <v>0</v>
      </c>
      <c r="O1296" s="21">
        <f>IF(ISERROR(VLOOKUP($F1296,#REF!,6,0)*J1296/1000),0,VLOOKUP($F1296,#REF!,6,0)*J1296/1000)</f>
        <v>0</v>
      </c>
      <c r="P1296" s="21">
        <f>IF(ISERROR(VLOOKUP(F1296,#REF!,6,0)*K1296/1000),0,VLOOKUP(F1296,#REF!,6,0)*K1296/1000)</f>
        <v>0</v>
      </c>
      <c r="Q1296" s="6">
        <f>IF(ISERROR(VLOOKUP(F1296,#REF!,3,0)),0,VLOOKUP(F1296,#REF!,3,0))</f>
        <v>0</v>
      </c>
      <c r="R1296" s="6">
        <f>IF(ISERROR(VLOOKUP(F1296,#REF!,4,0)),0,VLOOKUP(F1296,#REF!,4,0))</f>
        <v>0</v>
      </c>
      <c r="S1296" s="8">
        <f>IF(ISERROR(VLOOKUP(F1296,#REF!,4,0)),0,VLOOKUP(F1296,#REF!,10,0)/60*K1296)</f>
        <v>0</v>
      </c>
      <c r="T1296" s="3"/>
      <c r="U1296" s="3"/>
      <c r="V1296" s="4"/>
    </row>
    <row r="1297" spans="1:22" x14ac:dyDescent="0.3">
      <c r="A1297" s="5">
        <f t="shared" si="61"/>
        <v>0</v>
      </c>
      <c r="B1297" s="6">
        <f t="shared" si="62"/>
        <v>0</v>
      </c>
      <c r="K1297" s="18">
        <f t="shared" si="60"/>
        <v>0</v>
      </c>
      <c r="L1297" s="21">
        <f>IF(ISERROR(VLOOKUP($F1297,#REF!,6,0)*G1297/1000),0,VLOOKUP($F1297,#REF!,6,0)*G1297/1000)</f>
        <v>0</v>
      </c>
      <c r="M1297" s="21">
        <f>IF(ISERROR(VLOOKUP($F1297,#REF!,6,0)*H1297/1000),0,VLOOKUP($F1297,#REF!,6,0)*H1297/1000)</f>
        <v>0</v>
      </c>
      <c r="N1297" s="21">
        <f>IF(ISERROR(VLOOKUP($F1297,#REF!,6,0)*I1297/1000),0,VLOOKUP($F1297,#REF!,6,0)*I1297/1000)</f>
        <v>0</v>
      </c>
      <c r="O1297" s="21">
        <f>IF(ISERROR(VLOOKUP($F1297,#REF!,6,0)*J1297/1000),0,VLOOKUP($F1297,#REF!,6,0)*J1297/1000)</f>
        <v>0</v>
      </c>
      <c r="P1297" s="21">
        <f>IF(ISERROR(VLOOKUP(F1297,#REF!,6,0)*K1297/1000),0,VLOOKUP(F1297,#REF!,6,0)*K1297/1000)</f>
        <v>0</v>
      </c>
      <c r="Q1297" s="6">
        <f>IF(ISERROR(VLOOKUP(F1297,#REF!,3,0)),0,VLOOKUP(F1297,#REF!,3,0))</f>
        <v>0</v>
      </c>
      <c r="R1297" s="6">
        <f>IF(ISERROR(VLOOKUP(F1297,#REF!,4,0)),0,VLOOKUP(F1297,#REF!,4,0))</f>
        <v>0</v>
      </c>
      <c r="S1297" s="8">
        <f>IF(ISERROR(VLOOKUP(F1297,#REF!,4,0)),0,VLOOKUP(F1297,#REF!,10,0)/60*K1297)</f>
        <v>0</v>
      </c>
      <c r="T1297" s="3"/>
      <c r="U1297" s="3"/>
      <c r="V1297" s="4"/>
    </row>
    <row r="1298" spans="1:22" x14ac:dyDescent="0.3">
      <c r="A1298" s="5">
        <f t="shared" si="61"/>
        <v>0</v>
      </c>
      <c r="B1298" s="6">
        <f t="shared" si="62"/>
        <v>0</v>
      </c>
      <c r="K1298" s="18">
        <f t="shared" si="60"/>
        <v>0</v>
      </c>
      <c r="L1298" s="21">
        <f>IF(ISERROR(VLOOKUP($F1298,#REF!,6,0)*G1298/1000),0,VLOOKUP($F1298,#REF!,6,0)*G1298/1000)</f>
        <v>0</v>
      </c>
      <c r="M1298" s="21">
        <f>IF(ISERROR(VLOOKUP($F1298,#REF!,6,0)*H1298/1000),0,VLOOKUP($F1298,#REF!,6,0)*H1298/1000)</f>
        <v>0</v>
      </c>
      <c r="N1298" s="21">
        <f>IF(ISERROR(VLOOKUP($F1298,#REF!,6,0)*I1298/1000),0,VLOOKUP($F1298,#REF!,6,0)*I1298/1000)</f>
        <v>0</v>
      </c>
      <c r="O1298" s="21">
        <f>IF(ISERROR(VLOOKUP($F1298,#REF!,6,0)*J1298/1000),0,VLOOKUP($F1298,#REF!,6,0)*J1298/1000)</f>
        <v>0</v>
      </c>
      <c r="P1298" s="21">
        <f>IF(ISERROR(VLOOKUP(F1298,#REF!,6,0)*K1298/1000),0,VLOOKUP(F1298,#REF!,6,0)*K1298/1000)</f>
        <v>0</v>
      </c>
      <c r="Q1298" s="6">
        <f>IF(ISERROR(VLOOKUP(F1298,#REF!,3,0)),0,VLOOKUP(F1298,#REF!,3,0))</f>
        <v>0</v>
      </c>
      <c r="R1298" s="6">
        <f>IF(ISERROR(VLOOKUP(F1298,#REF!,4,0)),0,VLOOKUP(F1298,#REF!,4,0))</f>
        <v>0</v>
      </c>
      <c r="S1298" s="8">
        <f>IF(ISERROR(VLOOKUP(F1298,#REF!,4,0)),0,VLOOKUP(F1298,#REF!,10,0)/60*K1298)</f>
        <v>0</v>
      </c>
      <c r="T1298" s="3"/>
      <c r="U1298" s="3"/>
      <c r="V1298" s="4"/>
    </row>
    <row r="1299" spans="1:22" x14ac:dyDescent="0.3">
      <c r="A1299" s="5">
        <f t="shared" si="61"/>
        <v>0</v>
      </c>
      <c r="B1299" s="6">
        <f t="shared" si="62"/>
        <v>0</v>
      </c>
      <c r="K1299" s="18">
        <f t="shared" si="60"/>
        <v>0</v>
      </c>
      <c r="L1299" s="21">
        <f>IF(ISERROR(VLOOKUP($F1299,#REF!,6,0)*G1299/1000),0,VLOOKUP($F1299,#REF!,6,0)*G1299/1000)</f>
        <v>0</v>
      </c>
      <c r="M1299" s="21">
        <f>IF(ISERROR(VLOOKUP($F1299,#REF!,6,0)*H1299/1000),0,VLOOKUP($F1299,#REF!,6,0)*H1299/1000)</f>
        <v>0</v>
      </c>
      <c r="N1299" s="21">
        <f>IF(ISERROR(VLOOKUP($F1299,#REF!,6,0)*I1299/1000),0,VLOOKUP($F1299,#REF!,6,0)*I1299/1000)</f>
        <v>0</v>
      </c>
      <c r="O1299" s="21">
        <f>IF(ISERROR(VLOOKUP($F1299,#REF!,6,0)*J1299/1000),0,VLOOKUP($F1299,#REF!,6,0)*J1299/1000)</f>
        <v>0</v>
      </c>
      <c r="P1299" s="21">
        <f>IF(ISERROR(VLOOKUP(F1299,#REF!,6,0)*K1299/1000),0,VLOOKUP(F1299,#REF!,6,0)*K1299/1000)</f>
        <v>0</v>
      </c>
      <c r="Q1299" s="6">
        <f>IF(ISERROR(VLOOKUP(F1299,#REF!,3,0)),0,VLOOKUP(F1299,#REF!,3,0))</f>
        <v>0</v>
      </c>
      <c r="R1299" s="6">
        <f>IF(ISERROR(VLOOKUP(F1299,#REF!,4,0)),0,VLOOKUP(F1299,#REF!,4,0))</f>
        <v>0</v>
      </c>
      <c r="S1299" s="8">
        <f>IF(ISERROR(VLOOKUP(F1299,#REF!,4,0)),0,VLOOKUP(F1299,#REF!,10,0)/60*K1299)</f>
        <v>0</v>
      </c>
      <c r="T1299" s="3"/>
      <c r="U1299" s="3"/>
      <c r="V1299" s="4"/>
    </row>
    <row r="1300" spans="1:22" x14ac:dyDescent="0.3">
      <c r="A1300" s="5">
        <f t="shared" si="61"/>
        <v>0</v>
      </c>
      <c r="B1300" s="6">
        <f t="shared" si="62"/>
        <v>0</v>
      </c>
      <c r="K1300" s="18">
        <f t="shared" si="60"/>
        <v>0</v>
      </c>
      <c r="L1300" s="21">
        <f>IF(ISERROR(VLOOKUP($F1300,#REF!,6,0)*G1300/1000),0,VLOOKUP($F1300,#REF!,6,0)*G1300/1000)</f>
        <v>0</v>
      </c>
      <c r="M1300" s="21">
        <f>IF(ISERROR(VLOOKUP($F1300,#REF!,6,0)*H1300/1000),0,VLOOKUP($F1300,#REF!,6,0)*H1300/1000)</f>
        <v>0</v>
      </c>
      <c r="N1300" s="21">
        <f>IF(ISERROR(VLOOKUP($F1300,#REF!,6,0)*I1300/1000),0,VLOOKUP($F1300,#REF!,6,0)*I1300/1000)</f>
        <v>0</v>
      </c>
      <c r="O1300" s="21">
        <f>IF(ISERROR(VLOOKUP($F1300,#REF!,6,0)*J1300/1000),0,VLOOKUP($F1300,#REF!,6,0)*J1300/1000)</f>
        <v>0</v>
      </c>
      <c r="P1300" s="21">
        <f>IF(ISERROR(VLOOKUP(F1300,#REF!,6,0)*K1300/1000),0,VLOOKUP(F1300,#REF!,6,0)*K1300/1000)</f>
        <v>0</v>
      </c>
      <c r="Q1300" s="6">
        <f>IF(ISERROR(VLOOKUP(F1300,#REF!,3,0)),0,VLOOKUP(F1300,#REF!,3,0))</f>
        <v>0</v>
      </c>
      <c r="R1300" s="6">
        <f>IF(ISERROR(VLOOKUP(F1300,#REF!,4,0)),0,VLOOKUP(F1300,#REF!,4,0))</f>
        <v>0</v>
      </c>
      <c r="S1300" s="8">
        <f>IF(ISERROR(VLOOKUP(F1300,#REF!,4,0)),0,VLOOKUP(F1300,#REF!,10,0)/60*K1300)</f>
        <v>0</v>
      </c>
      <c r="T1300" s="3"/>
      <c r="U1300" s="3"/>
      <c r="V1300" s="4"/>
    </row>
    <row r="1301" spans="1:22" x14ac:dyDescent="0.3">
      <c r="A1301" s="5">
        <f t="shared" si="61"/>
        <v>0</v>
      </c>
      <c r="B1301" s="6">
        <f t="shared" si="62"/>
        <v>0</v>
      </c>
      <c r="K1301" s="18">
        <f t="shared" si="60"/>
        <v>0</v>
      </c>
      <c r="L1301" s="21">
        <f>IF(ISERROR(VLOOKUP($F1301,#REF!,6,0)*G1301/1000),0,VLOOKUP($F1301,#REF!,6,0)*G1301/1000)</f>
        <v>0</v>
      </c>
      <c r="M1301" s="21">
        <f>IF(ISERROR(VLOOKUP($F1301,#REF!,6,0)*H1301/1000),0,VLOOKUP($F1301,#REF!,6,0)*H1301/1000)</f>
        <v>0</v>
      </c>
      <c r="N1301" s="21">
        <f>IF(ISERROR(VLOOKUP($F1301,#REF!,6,0)*I1301/1000),0,VLOOKUP($F1301,#REF!,6,0)*I1301/1000)</f>
        <v>0</v>
      </c>
      <c r="O1301" s="21">
        <f>IF(ISERROR(VLOOKUP($F1301,#REF!,6,0)*J1301/1000),0,VLOOKUP($F1301,#REF!,6,0)*J1301/1000)</f>
        <v>0</v>
      </c>
      <c r="P1301" s="21">
        <f>IF(ISERROR(VLOOKUP(F1301,#REF!,6,0)*K1301/1000),0,VLOOKUP(F1301,#REF!,6,0)*K1301/1000)</f>
        <v>0</v>
      </c>
      <c r="Q1301" s="6">
        <f>IF(ISERROR(VLOOKUP(F1301,#REF!,3,0)),0,VLOOKUP(F1301,#REF!,3,0))</f>
        <v>0</v>
      </c>
      <c r="R1301" s="6">
        <f>IF(ISERROR(VLOOKUP(F1301,#REF!,4,0)),0,VLOOKUP(F1301,#REF!,4,0))</f>
        <v>0</v>
      </c>
      <c r="S1301" s="8">
        <f>IF(ISERROR(VLOOKUP(F1301,#REF!,4,0)),0,VLOOKUP(F1301,#REF!,10,0)/60*K1301)</f>
        <v>0</v>
      </c>
      <c r="T1301" s="3"/>
      <c r="U1301" s="3"/>
      <c r="V1301" s="4"/>
    </row>
    <row r="1302" spans="1:22" x14ac:dyDescent="0.3">
      <c r="A1302" s="5">
        <f t="shared" si="61"/>
        <v>0</v>
      </c>
      <c r="B1302" s="6">
        <f t="shared" si="62"/>
        <v>0</v>
      </c>
      <c r="K1302" s="18">
        <f t="shared" si="60"/>
        <v>0</v>
      </c>
      <c r="L1302" s="21">
        <f>IF(ISERROR(VLOOKUP($F1302,#REF!,6,0)*G1302/1000),0,VLOOKUP($F1302,#REF!,6,0)*G1302/1000)</f>
        <v>0</v>
      </c>
      <c r="M1302" s="21">
        <f>IF(ISERROR(VLOOKUP($F1302,#REF!,6,0)*H1302/1000),0,VLOOKUP($F1302,#REF!,6,0)*H1302/1000)</f>
        <v>0</v>
      </c>
      <c r="N1302" s="21">
        <f>IF(ISERROR(VLOOKUP($F1302,#REF!,6,0)*I1302/1000),0,VLOOKUP($F1302,#REF!,6,0)*I1302/1000)</f>
        <v>0</v>
      </c>
      <c r="O1302" s="21">
        <f>IF(ISERROR(VLOOKUP($F1302,#REF!,6,0)*J1302/1000),0,VLOOKUP($F1302,#REF!,6,0)*J1302/1000)</f>
        <v>0</v>
      </c>
      <c r="P1302" s="21">
        <f>IF(ISERROR(VLOOKUP(F1302,#REF!,6,0)*K1302/1000),0,VLOOKUP(F1302,#REF!,6,0)*K1302/1000)</f>
        <v>0</v>
      </c>
      <c r="Q1302" s="6">
        <f>IF(ISERROR(VLOOKUP(F1302,#REF!,3,0)),0,VLOOKUP(F1302,#REF!,3,0))</f>
        <v>0</v>
      </c>
      <c r="R1302" s="6">
        <f>IF(ISERROR(VLOOKUP(F1302,#REF!,4,0)),0,VLOOKUP(F1302,#REF!,4,0))</f>
        <v>0</v>
      </c>
      <c r="S1302" s="8">
        <f>IF(ISERROR(VLOOKUP(F1302,#REF!,4,0)),0,VLOOKUP(F1302,#REF!,10,0)/60*K1302)</f>
        <v>0</v>
      </c>
      <c r="T1302" s="3"/>
      <c r="U1302" s="3"/>
      <c r="V1302" s="4"/>
    </row>
    <row r="1303" spans="1:22" x14ac:dyDescent="0.3">
      <c r="A1303" s="5">
        <f t="shared" si="61"/>
        <v>0</v>
      </c>
      <c r="B1303" s="6">
        <f t="shared" si="62"/>
        <v>0</v>
      </c>
      <c r="K1303" s="18">
        <f t="shared" si="60"/>
        <v>0</v>
      </c>
      <c r="L1303" s="21">
        <f>IF(ISERROR(VLOOKUP($F1303,#REF!,6,0)*G1303/1000),0,VLOOKUP($F1303,#REF!,6,0)*G1303/1000)</f>
        <v>0</v>
      </c>
      <c r="M1303" s="21">
        <f>IF(ISERROR(VLOOKUP($F1303,#REF!,6,0)*H1303/1000),0,VLOOKUP($F1303,#REF!,6,0)*H1303/1000)</f>
        <v>0</v>
      </c>
      <c r="N1303" s="21">
        <f>IF(ISERROR(VLOOKUP($F1303,#REF!,6,0)*I1303/1000),0,VLOOKUP($F1303,#REF!,6,0)*I1303/1000)</f>
        <v>0</v>
      </c>
      <c r="O1303" s="21">
        <f>IF(ISERROR(VLOOKUP($F1303,#REF!,6,0)*J1303/1000),0,VLOOKUP($F1303,#REF!,6,0)*J1303/1000)</f>
        <v>0</v>
      </c>
      <c r="P1303" s="21">
        <f>IF(ISERROR(VLOOKUP(F1303,#REF!,6,0)*K1303/1000),0,VLOOKUP(F1303,#REF!,6,0)*K1303/1000)</f>
        <v>0</v>
      </c>
      <c r="Q1303" s="6">
        <f>IF(ISERROR(VLOOKUP(F1303,#REF!,3,0)),0,VLOOKUP(F1303,#REF!,3,0))</f>
        <v>0</v>
      </c>
      <c r="R1303" s="6">
        <f>IF(ISERROR(VLOOKUP(F1303,#REF!,4,0)),0,VLOOKUP(F1303,#REF!,4,0))</f>
        <v>0</v>
      </c>
      <c r="S1303" s="8">
        <f>IF(ISERROR(VLOOKUP(F1303,#REF!,4,0)),0,VLOOKUP(F1303,#REF!,10,0)/60*K1303)</f>
        <v>0</v>
      </c>
      <c r="T1303" s="3"/>
      <c r="U1303" s="3"/>
      <c r="V1303" s="4"/>
    </row>
    <row r="1304" spans="1:22" x14ac:dyDescent="0.3">
      <c r="A1304" s="5">
        <f t="shared" si="61"/>
        <v>0</v>
      </c>
      <c r="B1304" s="6">
        <f t="shared" si="62"/>
        <v>0</v>
      </c>
      <c r="K1304" s="18">
        <f t="shared" si="60"/>
        <v>0</v>
      </c>
      <c r="L1304" s="21">
        <f>IF(ISERROR(VLOOKUP($F1304,#REF!,6,0)*G1304/1000),0,VLOOKUP($F1304,#REF!,6,0)*G1304/1000)</f>
        <v>0</v>
      </c>
      <c r="M1304" s="21">
        <f>IF(ISERROR(VLOOKUP($F1304,#REF!,6,0)*H1304/1000),0,VLOOKUP($F1304,#REF!,6,0)*H1304/1000)</f>
        <v>0</v>
      </c>
      <c r="N1304" s="21">
        <f>IF(ISERROR(VLOOKUP($F1304,#REF!,6,0)*I1304/1000),0,VLOOKUP($F1304,#REF!,6,0)*I1304/1000)</f>
        <v>0</v>
      </c>
      <c r="O1304" s="21">
        <f>IF(ISERROR(VLOOKUP($F1304,#REF!,6,0)*J1304/1000),0,VLOOKUP($F1304,#REF!,6,0)*J1304/1000)</f>
        <v>0</v>
      </c>
      <c r="P1304" s="21">
        <f>IF(ISERROR(VLOOKUP(F1304,#REF!,6,0)*K1304/1000),0,VLOOKUP(F1304,#REF!,6,0)*K1304/1000)</f>
        <v>0</v>
      </c>
      <c r="Q1304" s="6">
        <f>IF(ISERROR(VLOOKUP(F1304,#REF!,3,0)),0,VLOOKUP(F1304,#REF!,3,0))</f>
        <v>0</v>
      </c>
      <c r="R1304" s="6">
        <f>IF(ISERROR(VLOOKUP(F1304,#REF!,4,0)),0,VLOOKUP(F1304,#REF!,4,0))</f>
        <v>0</v>
      </c>
      <c r="S1304" s="8">
        <f>IF(ISERROR(VLOOKUP(F1304,#REF!,4,0)),0,VLOOKUP(F1304,#REF!,10,0)/60*K1304)</f>
        <v>0</v>
      </c>
      <c r="T1304" s="3"/>
      <c r="U1304" s="3"/>
      <c r="V1304" s="4"/>
    </row>
    <row r="1305" spans="1:22" x14ac:dyDescent="0.3">
      <c r="A1305" s="5">
        <f t="shared" si="61"/>
        <v>0</v>
      </c>
      <c r="B1305" s="6">
        <f t="shared" si="62"/>
        <v>0</v>
      </c>
      <c r="K1305" s="18">
        <f t="shared" si="60"/>
        <v>0</v>
      </c>
      <c r="L1305" s="21">
        <f>IF(ISERROR(VLOOKUP($F1305,#REF!,6,0)*G1305/1000),0,VLOOKUP($F1305,#REF!,6,0)*G1305/1000)</f>
        <v>0</v>
      </c>
      <c r="M1305" s="21">
        <f>IF(ISERROR(VLOOKUP($F1305,#REF!,6,0)*H1305/1000),0,VLOOKUP($F1305,#REF!,6,0)*H1305/1000)</f>
        <v>0</v>
      </c>
      <c r="N1305" s="21">
        <f>IF(ISERROR(VLOOKUP($F1305,#REF!,6,0)*I1305/1000),0,VLOOKUP($F1305,#REF!,6,0)*I1305/1000)</f>
        <v>0</v>
      </c>
      <c r="O1305" s="21">
        <f>IF(ISERROR(VLOOKUP($F1305,#REF!,6,0)*J1305/1000),0,VLOOKUP($F1305,#REF!,6,0)*J1305/1000)</f>
        <v>0</v>
      </c>
      <c r="P1305" s="21">
        <f>IF(ISERROR(VLOOKUP(F1305,#REF!,6,0)*K1305/1000),0,VLOOKUP(F1305,#REF!,6,0)*K1305/1000)</f>
        <v>0</v>
      </c>
      <c r="Q1305" s="6">
        <f>IF(ISERROR(VLOOKUP(F1305,#REF!,3,0)),0,VLOOKUP(F1305,#REF!,3,0))</f>
        <v>0</v>
      </c>
      <c r="R1305" s="6">
        <f>IF(ISERROR(VLOOKUP(F1305,#REF!,4,0)),0,VLOOKUP(F1305,#REF!,4,0))</f>
        <v>0</v>
      </c>
      <c r="S1305" s="8">
        <f>IF(ISERROR(VLOOKUP(F1305,#REF!,4,0)),0,VLOOKUP(F1305,#REF!,10,0)/60*K1305)</f>
        <v>0</v>
      </c>
      <c r="T1305" s="3"/>
      <c r="U1305" s="3"/>
      <c r="V1305" s="4"/>
    </row>
    <row r="1306" spans="1:22" x14ac:dyDescent="0.3">
      <c r="A1306" s="5">
        <f t="shared" si="61"/>
        <v>0</v>
      </c>
      <c r="B1306" s="6">
        <f t="shared" si="62"/>
        <v>0</v>
      </c>
      <c r="K1306" s="18">
        <f t="shared" si="60"/>
        <v>0</v>
      </c>
      <c r="L1306" s="21">
        <f>IF(ISERROR(VLOOKUP($F1306,#REF!,6,0)*G1306/1000),0,VLOOKUP($F1306,#REF!,6,0)*G1306/1000)</f>
        <v>0</v>
      </c>
      <c r="M1306" s="21">
        <f>IF(ISERROR(VLOOKUP($F1306,#REF!,6,0)*H1306/1000),0,VLOOKUP($F1306,#REF!,6,0)*H1306/1000)</f>
        <v>0</v>
      </c>
      <c r="N1306" s="21">
        <f>IF(ISERROR(VLOOKUP($F1306,#REF!,6,0)*I1306/1000),0,VLOOKUP($F1306,#REF!,6,0)*I1306/1000)</f>
        <v>0</v>
      </c>
      <c r="O1306" s="21">
        <f>IF(ISERROR(VLOOKUP($F1306,#REF!,6,0)*J1306/1000),0,VLOOKUP($F1306,#REF!,6,0)*J1306/1000)</f>
        <v>0</v>
      </c>
      <c r="P1306" s="21">
        <f>IF(ISERROR(VLOOKUP(F1306,#REF!,6,0)*K1306/1000),0,VLOOKUP(F1306,#REF!,6,0)*K1306/1000)</f>
        <v>0</v>
      </c>
      <c r="Q1306" s="6">
        <f>IF(ISERROR(VLOOKUP(F1306,#REF!,3,0)),0,VLOOKUP(F1306,#REF!,3,0))</f>
        <v>0</v>
      </c>
      <c r="R1306" s="6">
        <f>IF(ISERROR(VLOOKUP(F1306,#REF!,4,0)),0,VLOOKUP(F1306,#REF!,4,0))</f>
        <v>0</v>
      </c>
      <c r="S1306" s="8">
        <f>IF(ISERROR(VLOOKUP(F1306,#REF!,4,0)),0,VLOOKUP(F1306,#REF!,10,0)/60*K1306)</f>
        <v>0</v>
      </c>
      <c r="T1306" s="3"/>
      <c r="U1306" s="3"/>
      <c r="V1306" s="4"/>
    </row>
    <row r="1307" spans="1:22" x14ac:dyDescent="0.3">
      <c r="A1307" s="5">
        <f t="shared" si="61"/>
        <v>0</v>
      </c>
      <c r="B1307" s="6">
        <f t="shared" si="62"/>
        <v>0</v>
      </c>
      <c r="K1307" s="18">
        <f t="shared" si="60"/>
        <v>0</v>
      </c>
      <c r="L1307" s="21">
        <f>IF(ISERROR(VLOOKUP($F1307,#REF!,6,0)*G1307/1000),0,VLOOKUP($F1307,#REF!,6,0)*G1307/1000)</f>
        <v>0</v>
      </c>
      <c r="M1307" s="21">
        <f>IF(ISERROR(VLOOKUP($F1307,#REF!,6,0)*H1307/1000),0,VLOOKUP($F1307,#REF!,6,0)*H1307/1000)</f>
        <v>0</v>
      </c>
      <c r="N1307" s="21">
        <f>IF(ISERROR(VLOOKUP($F1307,#REF!,6,0)*I1307/1000),0,VLOOKUP($F1307,#REF!,6,0)*I1307/1000)</f>
        <v>0</v>
      </c>
      <c r="O1307" s="21">
        <f>IF(ISERROR(VLOOKUP($F1307,#REF!,6,0)*J1307/1000),0,VLOOKUP($F1307,#REF!,6,0)*J1307/1000)</f>
        <v>0</v>
      </c>
      <c r="P1307" s="21">
        <f>IF(ISERROR(VLOOKUP(F1307,#REF!,6,0)*K1307/1000),0,VLOOKUP(F1307,#REF!,6,0)*K1307/1000)</f>
        <v>0</v>
      </c>
      <c r="Q1307" s="6">
        <f>IF(ISERROR(VLOOKUP(F1307,#REF!,3,0)),0,VLOOKUP(F1307,#REF!,3,0))</f>
        <v>0</v>
      </c>
      <c r="R1307" s="6">
        <f>IF(ISERROR(VLOOKUP(F1307,#REF!,4,0)),0,VLOOKUP(F1307,#REF!,4,0))</f>
        <v>0</v>
      </c>
      <c r="S1307" s="8">
        <f>IF(ISERROR(VLOOKUP(F1307,#REF!,4,0)),0,VLOOKUP(F1307,#REF!,10,0)/60*K1307)</f>
        <v>0</v>
      </c>
      <c r="T1307" s="3"/>
      <c r="U1307" s="3"/>
      <c r="V1307" s="4"/>
    </row>
    <row r="1308" spans="1:22" x14ac:dyDescent="0.3">
      <c r="A1308" s="5">
        <f t="shared" si="61"/>
        <v>0</v>
      </c>
      <c r="B1308" s="6">
        <f t="shared" si="62"/>
        <v>0</v>
      </c>
      <c r="K1308" s="18">
        <f t="shared" si="60"/>
        <v>0</v>
      </c>
      <c r="L1308" s="21">
        <f>IF(ISERROR(VLOOKUP($F1308,#REF!,6,0)*G1308/1000),0,VLOOKUP($F1308,#REF!,6,0)*G1308/1000)</f>
        <v>0</v>
      </c>
      <c r="M1308" s="21">
        <f>IF(ISERROR(VLOOKUP($F1308,#REF!,6,0)*H1308/1000),0,VLOOKUP($F1308,#REF!,6,0)*H1308/1000)</f>
        <v>0</v>
      </c>
      <c r="N1308" s="21">
        <f>IF(ISERROR(VLOOKUP($F1308,#REF!,6,0)*I1308/1000),0,VLOOKUP($F1308,#REF!,6,0)*I1308/1000)</f>
        <v>0</v>
      </c>
      <c r="O1308" s="21">
        <f>IF(ISERROR(VLOOKUP($F1308,#REF!,6,0)*J1308/1000),0,VLOOKUP($F1308,#REF!,6,0)*J1308/1000)</f>
        <v>0</v>
      </c>
      <c r="P1308" s="21">
        <f>IF(ISERROR(VLOOKUP(F1308,#REF!,6,0)*K1308/1000),0,VLOOKUP(F1308,#REF!,6,0)*K1308/1000)</f>
        <v>0</v>
      </c>
      <c r="Q1308" s="6">
        <f>IF(ISERROR(VLOOKUP(F1308,#REF!,3,0)),0,VLOOKUP(F1308,#REF!,3,0))</f>
        <v>0</v>
      </c>
      <c r="R1308" s="6">
        <f>IF(ISERROR(VLOOKUP(F1308,#REF!,4,0)),0,VLOOKUP(F1308,#REF!,4,0))</f>
        <v>0</v>
      </c>
      <c r="S1308" s="8">
        <f>IF(ISERROR(VLOOKUP(F1308,#REF!,4,0)),0,VLOOKUP(F1308,#REF!,10,0)/60*K1308)</f>
        <v>0</v>
      </c>
      <c r="T1308" s="3"/>
      <c r="U1308" s="3"/>
      <c r="V1308" s="4"/>
    </row>
    <row r="1309" spans="1:22" x14ac:dyDescent="0.3">
      <c r="A1309" s="5">
        <f t="shared" si="61"/>
        <v>0</v>
      </c>
      <c r="B1309" s="6">
        <f t="shared" si="62"/>
        <v>0</v>
      </c>
      <c r="K1309" s="18">
        <f t="shared" si="60"/>
        <v>0</v>
      </c>
      <c r="L1309" s="21">
        <f>IF(ISERROR(VLOOKUP($F1309,#REF!,6,0)*G1309/1000),0,VLOOKUP($F1309,#REF!,6,0)*G1309/1000)</f>
        <v>0</v>
      </c>
      <c r="M1309" s="21">
        <f>IF(ISERROR(VLOOKUP($F1309,#REF!,6,0)*H1309/1000),0,VLOOKUP($F1309,#REF!,6,0)*H1309/1000)</f>
        <v>0</v>
      </c>
      <c r="N1309" s="21">
        <f>IF(ISERROR(VLOOKUP($F1309,#REF!,6,0)*I1309/1000),0,VLOOKUP($F1309,#REF!,6,0)*I1309/1000)</f>
        <v>0</v>
      </c>
      <c r="O1309" s="21">
        <f>IF(ISERROR(VLOOKUP($F1309,#REF!,6,0)*J1309/1000),0,VLOOKUP($F1309,#REF!,6,0)*J1309/1000)</f>
        <v>0</v>
      </c>
      <c r="P1309" s="21">
        <f>IF(ISERROR(VLOOKUP(F1309,#REF!,6,0)*K1309/1000),0,VLOOKUP(F1309,#REF!,6,0)*K1309/1000)</f>
        <v>0</v>
      </c>
      <c r="Q1309" s="6">
        <f>IF(ISERROR(VLOOKUP(F1309,#REF!,3,0)),0,VLOOKUP(F1309,#REF!,3,0))</f>
        <v>0</v>
      </c>
      <c r="R1309" s="6">
        <f>IF(ISERROR(VLOOKUP(F1309,#REF!,4,0)),0,VLOOKUP(F1309,#REF!,4,0))</f>
        <v>0</v>
      </c>
      <c r="S1309" s="8">
        <f>IF(ISERROR(VLOOKUP(F1309,#REF!,4,0)),0,VLOOKUP(F1309,#REF!,10,0)/60*K1309)</f>
        <v>0</v>
      </c>
      <c r="T1309" s="3"/>
      <c r="U1309" s="3"/>
      <c r="V1309" s="4"/>
    </row>
    <row r="1310" spans="1:22" x14ac:dyDescent="0.3">
      <c r="A1310" s="5">
        <f t="shared" si="61"/>
        <v>0</v>
      </c>
      <c r="B1310" s="6">
        <f t="shared" si="62"/>
        <v>0</v>
      </c>
      <c r="K1310" s="18">
        <f t="shared" si="60"/>
        <v>0</v>
      </c>
      <c r="L1310" s="21">
        <f>IF(ISERROR(VLOOKUP($F1310,#REF!,6,0)*G1310/1000),0,VLOOKUP($F1310,#REF!,6,0)*G1310/1000)</f>
        <v>0</v>
      </c>
      <c r="M1310" s="21">
        <f>IF(ISERROR(VLOOKUP($F1310,#REF!,6,0)*H1310/1000),0,VLOOKUP($F1310,#REF!,6,0)*H1310/1000)</f>
        <v>0</v>
      </c>
      <c r="N1310" s="21">
        <f>IF(ISERROR(VLOOKUP($F1310,#REF!,6,0)*I1310/1000),0,VLOOKUP($F1310,#REF!,6,0)*I1310/1000)</f>
        <v>0</v>
      </c>
      <c r="O1310" s="21">
        <f>IF(ISERROR(VLOOKUP($F1310,#REF!,6,0)*J1310/1000),0,VLOOKUP($F1310,#REF!,6,0)*J1310/1000)</f>
        <v>0</v>
      </c>
      <c r="P1310" s="21">
        <f>IF(ISERROR(VLOOKUP(F1310,#REF!,6,0)*K1310/1000),0,VLOOKUP(F1310,#REF!,6,0)*K1310/1000)</f>
        <v>0</v>
      </c>
      <c r="Q1310" s="6">
        <f>IF(ISERROR(VLOOKUP(F1310,#REF!,3,0)),0,VLOOKUP(F1310,#REF!,3,0))</f>
        <v>0</v>
      </c>
      <c r="R1310" s="6">
        <f>IF(ISERROR(VLOOKUP(F1310,#REF!,4,0)),0,VLOOKUP(F1310,#REF!,4,0))</f>
        <v>0</v>
      </c>
      <c r="S1310" s="8">
        <f>IF(ISERROR(VLOOKUP(F1310,#REF!,4,0)),0,VLOOKUP(F1310,#REF!,10,0)/60*K1310)</f>
        <v>0</v>
      </c>
      <c r="T1310" s="3"/>
      <c r="U1310" s="3"/>
      <c r="V1310" s="4"/>
    </row>
    <row r="1311" spans="1:22" x14ac:dyDescent="0.3">
      <c r="A1311" s="5">
        <f t="shared" si="61"/>
        <v>0</v>
      </c>
      <c r="B1311" s="6">
        <f t="shared" si="62"/>
        <v>0</v>
      </c>
      <c r="K1311" s="18">
        <f t="shared" si="60"/>
        <v>0</v>
      </c>
      <c r="L1311" s="21">
        <f>IF(ISERROR(VLOOKUP($F1311,#REF!,6,0)*G1311/1000),0,VLOOKUP($F1311,#REF!,6,0)*G1311/1000)</f>
        <v>0</v>
      </c>
      <c r="M1311" s="21">
        <f>IF(ISERROR(VLOOKUP($F1311,#REF!,6,0)*H1311/1000),0,VLOOKUP($F1311,#REF!,6,0)*H1311/1000)</f>
        <v>0</v>
      </c>
      <c r="N1311" s="21">
        <f>IF(ISERROR(VLOOKUP($F1311,#REF!,6,0)*I1311/1000),0,VLOOKUP($F1311,#REF!,6,0)*I1311/1000)</f>
        <v>0</v>
      </c>
      <c r="O1311" s="21">
        <f>IF(ISERROR(VLOOKUP($F1311,#REF!,6,0)*J1311/1000),0,VLOOKUP($F1311,#REF!,6,0)*J1311/1000)</f>
        <v>0</v>
      </c>
      <c r="P1311" s="21">
        <f>IF(ISERROR(VLOOKUP(F1311,#REF!,6,0)*K1311/1000),0,VLOOKUP(F1311,#REF!,6,0)*K1311/1000)</f>
        <v>0</v>
      </c>
      <c r="Q1311" s="6">
        <f>IF(ISERROR(VLOOKUP(F1311,#REF!,3,0)),0,VLOOKUP(F1311,#REF!,3,0))</f>
        <v>0</v>
      </c>
      <c r="R1311" s="6">
        <f>IF(ISERROR(VLOOKUP(F1311,#REF!,4,0)),0,VLOOKUP(F1311,#REF!,4,0))</f>
        <v>0</v>
      </c>
      <c r="S1311" s="8">
        <f>IF(ISERROR(VLOOKUP(F1311,#REF!,4,0)),0,VLOOKUP(F1311,#REF!,10,0)/60*K1311)</f>
        <v>0</v>
      </c>
      <c r="T1311" s="3"/>
      <c r="U1311" s="3"/>
      <c r="V1311" s="4"/>
    </row>
    <row r="1312" spans="1:22" x14ac:dyDescent="0.3">
      <c r="A1312" s="5">
        <f t="shared" si="61"/>
        <v>0</v>
      </c>
      <c r="B1312" s="6">
        <f t="shared" si="62"/>
        <v>0</v>
      </c>
      <c r="K1312" s="18">
        <f t="shared" si="60"/>
        <v>0</v>
      </c>
      <c r="L1312" s="21">
        <f>IF(ISERROR(VLOOKUP($F1312,#REF!,6,0)*G1312/1000),0,VLOOKUP($F1312,#REF!,6,0)*G1312/1000)</f>
        <v>0</v>
      </c>
      <c r="M1312" s="21">
        <f>IF(ISERROR(VLOOKUP($F1312,#REF!,6,0)*H1312/1000),0,VLOOKUP($F1312,#REF!,6,0)*H1312/1000)</f>
        <v>0</v>
      </c>
      <c r="N1312" s="21">
        <f>IF(ISERROR(VLOOKUP($F1312,#REF!,6,0)*I1312/1000),0,VLOOKUP($F1312,#REF!,6,0)*I1312/1000)</f>
        <v>0</v>
      </c>
      <c r="O1312" s="21">
        <f>IF(ISERROR(VLOOKUP($F1312,#REF!,6,0)*J1312/1000),0,VLOOKUP($F1312,#REF!,6,0)*J1312/1000)</f>
        <v>0</v>
      </c>
      <c r="P1312" s="21">
        <f>IF(ISERROR(VLOOKUP(F1312,#REF!,6,0)*K1312/1000),0,VLOOKUP(F1312,#REF!,6,0)*K1312/1000)</f>
        <v>0</v>
      </c>
      <c r="Q1312" s="6">
        <f>IF(ISERROR(VLOOKUP(F1312,#REF!,3,0)),0,VLOOKUP(F1312,#REF!,3,0))</f>
        <v>0</v>
      </c>
      <c r="R1312" s="6">
        <f>IF(ISERROR(VLOOKUP(F1312,#REF!,4,0)),0,VLOOKUP(F1312,#REF!,4,0))</f>
        <v>0</v>
      </c>
      <c r="S1312" s="8">
        <f>IF(ISERROR(VLOOKUP(F1312,#REF!,4,0)),0,VLOOKUP(F1312,#REF!,10,0)/60*K1312)</f>
        <v>0</v>
      </c>
      <c r="T1312" s="3"/>
      <c r="U1312" s="3"/>
      <c r="V1312" s="4"/>
    </row>
    <row r="1313" spans="1:22" x14ac:dyDescent="0.3">
      <c r="A1313" s="5">
        <f t="shared" si="61"/>
        <v>0</v>
      </c>
      <c r="B1313" s="6">
        <f t="shared" si="62"/>
        <v>0</v>
      </c>
      <c r="K1313" s="18">
        <f t="shared" si="60"/>
        <v>0</v>
      </c>
      <c r="L1313" s="21">
        <f>IF(ISERROR(VLOOKUP($F1313,#REF!,6,0)*G1313/1000),0,VLOOKUP($F1313,#REF!,6,0)*G1313/1000)</f>
        <v>0</v>
      </c>
      <c r="M1313" s="21">
        <f>IF(ISERROR(VLOOKUP($F1313,#REF!,6,0)*H1313/1000),0,VLOOKUP($F1313,#REF!,6,0)*H1313/1000)</f>
        <v>0</v>
      </c>
      <c r="N1313" s="21">
        <f>IF(ISERROR(VLOOKUP($F1313,#REF!,6,0)*I1313/1000),0,VLOOKUP($F1313,#REF!,6,0)*I1313/1000)</f>
        <v>0</v>
      </c>
      <c r="O1313" s="21">
        <f>IF(ISERROR(VLOOKUP($F1313,#REF!,6,0)*J1313/1000),0,VLOOKUP($F1313,#REF!,6,0)*J1313/1000)</f>
        <v>0</v>
      </c>
      <c r="P1313" s="21">
        <f>IF(ISERROR(VLOOKUP(F1313,#REF!,6,0)*K1313/1000),0,VLOOKUP(F1313,#REF!,6,0)*K1313/1000)</f>
        <v>0</v>
      </c>
      <c r="Q1313" s="6">
        <f>IF(ISERROR(VLOOKUP(F1313,#REF!,3,0)),0,VLOOKUP(F1313,#REF!,3,0))</f>
        <v>0</v>
      </c>
      <c r="R1313" s="6">
        <f>IF(ISERROR(VLOOKUP(F1313,#REF!,4,0)),0,VLOOKUP(F1313,#REF!,4,0))</f>
        <v>0</v>
      </c>
      <c r="S1313" s="8">
        <f>IF(ISERROR(VLOOKUP(F1313,#REF!,4,0)),0,VLOOKUP(F1313,#REF!,10,0)/60*K1313)</f>
        <v>0</v>
      </c>
      <c r="T1313" s="3"/>
      <c r="U1313" s="3"/>
      <c r="V1313" s="4"/>
    </row>
    <row r="1314" spans="1:22" x14ac:dyDescent="0.3">
      <c r="A1314" s="5">
        <f t="shared" si="61"/>
        <v>0</v>
      </c>
      <c r="B1314" s="6">
        <f t="shared" si="62"/>
        <v>0</v>
      </c>
      <c r="K1314" s="18">
        <f t="shared" si="60"/>
        <v>0</v>
      </c>
      <c r="L1314" s="21">
        <f>IF(ISERROR(VLOOKUP($F1314,#REF!,6,0)*G1314/1000),0,VLOOKUP($F1314,#REF!,6,0)*G1314/1000)</f>
        <v>0</v>
      </c>
      <c r="M1314" s="21">
        <f>IF(ISERROR(VLOOKUP($F1314,#REF!,6,0)*H1314/1000),0,VLOOKUP($F1314,#REF!,6,0)*H1314/1000)</f>
        <v>0</v>
      </c>
      <c r="N1314" s="21">
        <f>IF(ISERROR(VLOOKUP($F1314,#REF!,6,0)*I1314/1000),0,VLOOKUP($F1314,#REF!,6,0)*I1314/1000)</f>
        <v>0</v>
      </c>
      <c r="O1314" s="21">
        <f>IF(ISERROR(VLOOKUP($F1314,#REF!,6,0)*J1314/1000),0,VLOOKUP($F1314,#REF!,6,0)*J1314/1000)</f>
        <v>0</v>
      </c>
      <c r="P1314" s="21">
        <f>IF(ISERROR(VLOOKUP(F1314,#REF!,6,0)*K1314/1000),0,VLOOKUP(F1314,#REF!,6,0)*K1314/1000)</f>
        <v>0</v>
      </c>
      <c r="Q1314" s="6">
        <f>IF(ISERROR(VLOOKUP(F1314,#REF!,3,0)),0,VLOOKUP(F1314,#REF!,3,0))</f>
        <v>0</v>
      </c>
      <c r="R1314" s="6">
        <f>IF(ISERROR(VLOOKUP(F1314,#REF!,4,0)),0,VLOOKUP(F1314,#REF!,4,0))</f>
        <v>0</v>
      </c>
      <c r="S1314" s="8">
        <f>IF(ISERROR(VLOOKUP(F1314,#REF!,4,0)),0,VLOOKUP(F1314,#REF!,10,0)/60*K1314)</f>
        <v>0</v>
      </c>
      <c r="T1314" s="3"/>
      <c r="U1314" s="3"/>
      <c r="V1314" s="4"/>
    </row>
    <row r="1315" spans="1:22" x14ac:dyDescent="0.3">
      <c r="A1315" s="5">
        <f t="shared" si="61"/>
        <v>0</v>
      </c>
      <c r="B1315" s="6">
        <f t="shared" si="62"/>
        <v>0</v>
      </c>
      <c r="K1315" s="18">
        <f t="shared" si="60"/>
        <v>0</v>
      </c>
      <c r="L1315" s="21">
        <f>IF(ISERROR(VLOOKUP($F1315,#REF!,6,0)*G1315/1000),0,VLOOKUP($F1315,#REF!,6,0)*G1315/1000)</f>
        <v>0</v>
      </c>
      <c r="M1315" s="21">
        <f>IF(ISERROR(VLOOKUP($F1315,#REF!,6,0)*H1315/1000),0,VLOOKUP($F1315,#REF!,6,0)*H1315/1000)</f>
        <v>0</v>
      </c>
      <c r="N1315" s="21">
        <f>IF(ISERROR(VLOOKUP($F1315,#REF!,6,0)*I1315/1000),0,VLOOKUP($F1315,#REF!,6,0)*I1315/1000)</f>
        <v>0</v>
      </c>
      <c r="O1315" s="21">
        <f>IF(ISERROR(VLOOKUP($F1315,#REF!,6,0)*J1315/1000),0,VLOOKUP($F1315,#REF!,6,0)*J1315/1000)</f>
        <v>0</v>
      </c>
      <c r="P1315" s="21">
        <f>IF(ISERROR(VLOOKUP(F1315,#REF!,6,0)*K1315/1000),0,VLOOKUP(F1315,#REF!,6,0)*K1315/1000)</f>
        <v>0</v>
      </c>
      <c r="Q1315" s="6">
        <f>IF(ISERROR(VLOOKUP(F1315,#REF!,3,0)),0,VLOOKUP(F1315,#REF!,3,0))</f>
        <v>0</v>
      </c>
      <c r="R1315" s="6">
        <f>IF(ISERROR(VLOOKUP(F1315,#REF!,4,0)),0,VLOOKUP(F1315,#REF!,4,0))</f>
        <v>0</v>
      </c>
      <c r="S1315" s="8">
        <f>IF(ISERROR(VLOOKUP(F1315,#REF!,4,0)),0,VLOOKUP(F1315,#REF!,10,0)/60*K1315)</f>
        <v>0</v>
      </c>
      <c r="T1315" s="3"/>
      <c r="U1315" s="3"/>
      <c r="V1315" s="4"/>
    </row>
    <row r="1316" spans="1:22" x14ac:dyDescent="0.3">
      <c r="A1316" s="5">
        <f t="shared" si="61"/>
        <v>0</v>
      </c>
      <c r="B1316" s="6">
        <f t="shared" si="62"/>
        <v>0</v>
      </c>
      <c r="K1316" s="18">
        <f t="shared" si="60"/>
        <v>0</v>
      </c>
      <c r="L1316" s="21">
        <f>IF(ISERROR(VLOOKUP($F1316,#REF!,6,0)*G1316/1000),0,VLOOKUP($F1316,#REF!,6,0)*G1316/1000)</f>
        <v>0</v>
      </c>
      <c r="M1316" s="21">
        <f>IF(ISERROR(VLOOKUP($F1316,#REF!,6,0)*H1316/1000),0,VLOOKUP($F1316,#REF!,6,0)*H1316/1000)</f>
        <v>0</v>
      </c>
      <c r="N1316" s="21">
        <f>IF(ISERROR(VLOOKUP($F1316,#REF!,6,0)*I1316/1000),0,VLOOKUP($F1316,#REF!,6,0)*I1316/1000)</f>
        <v>0</v>
      </c>
      <c r="O1316" s="21">
        <f>IF(ISERROR(VLOOKUP($F1316,#REF!,6,0)*J1316/1000),0,VLOOKUP($F1316,#REF!,6,0)*J1316/1000)</f>
        <v>0</v>
      </c>
      <c r="P1316" s="21">
        <f>IF(ISERROR(VLOOKUP(F1316,#REF!,6,0)*K1316/1000),0,VLOOKUP(F1316,#REF!,6,0)*K1316/1000)</f>
        <v>0</v>
      </c>
      <c r="Q1316" s="6">
        <f>IF(ISERROR(VLOOKUP(F1316,#REF!,3,0)),0,VLOOKUP(F1316,#REF!,3,0))</f>
        <v>0</v>
      </c>
      <c r="R1316" s="6">
        <f>IF(ISERROR(VLOOKUP(F1316,#REF!,4,0)),0,VLOOKUP(F1316,#REF!,4,0))</f>
        <v>0</v>
      </c>
      <c r="S1316" s="8">
        <f>IF(ISERROR(VLOOKUP(F1316,#REF!,4,0)),0,VLOOKUP(F1316,#REF!,10,0)/60*K1316)</f>
        <v>0</v>
      </c>
      <c r="T1316" s="3"/>
      <c r="U1316" s="3"/>
      <c r="V1316" s="4"/>
    </row>
    <row r="1317" spans="1:22" x14ac:dyDescent="0.3">
      <c r="A1317" s="5">
        <f t="shared" si="61"/>
        <v>0</v>
      </c>
      <c r="B1317" s="6">
        <f t="shared" si="62"/>
        <v>0</v>
      </c>
      <c r="K1317" s="18">
        <f t="shared" si="60"/>
        <v>0</v>
      </c>
      <c r="L1317" s="21">
        <f>IF(ISERROR(VLOOKUP($F1317,#REF!,6,0)*G1317/1000),0,VLOOKUP($F1317,#REF!,6,0)*G1317/1000)</f>
        <v>0</v>
      </c>
      <c r="M1317" s="21">
        <f>IF(ISERROR(VLOOKUP($F1317,#REF!,6,0)*H1317/1000),0,VLOOKUP($F1317,#REF!,6,0)*H1317/1000)</f>
        <v>0</v>
      </c>
      <c r="N1317" s="21">
        <f>IF(ISERROR(VLOOKUP($F1317,#REF!,6,0)*I1317/1000),0,VLOOKUP($F1317,#REF!,6,0)*I1317/1000)</f>
        <v>0</v>
      </c>
      <c r="O1317" s="21">
        <f>IF(ISERROR(VLOOKUP($F1317,#REF!,6,0)*J1317/1000),0,VLOOKUP($F1317,#REF!,6,0)*J1317/1000)</f>
        <v>0</v>
      </c>
      <c r="P1317" s="21">
        <f>IF(ISERROR(VLOOKUP(F1317,#REF!,6,0)*K1317/1000),0,VLOOKUP(F1317,#REF!,6,0)*K1317/1000)</f>
        <v>0</v>
      </c>
      <c r="Q1317" s="6">
        <f>IF(ISERROR(VLOOKUP(F1317,#REF!,3,0)),0,VLOOKUP(F1317,#REF!,3,0))</f>
        <v>0</v>
      </c>
      <c r="R1317" s="6">
        <f>IF(ISERROR(VLOOKUP(F1317,#REF!,4,0)),0,VLOOKUP(F1317,#REF!,4,0))</f>
        <v>0</v>
      </c>
      <c r="S1317" s="8">
        <f>IF(ISERROR(VLOOKUP(F1317,#REF!,4,0)),0,VLOOKUP(F1317,#REF!,10,0)/60*K1317)</f>
        <v>0</v>
      </c>
      <c r="T1317" s="3"/>
      <c r="U1317" s="3"/>
      <c r="V1317" s="4"/>
    </row>
    <row r="1318" spans="1:22" x14ac:dyDescent="0.3">
      <c r="A1318" s="5">
        <f t="shared" si="61"/>
        <v>0</v>
      </c>
      <c r="B1318" s="6">
        <f t="shared" si="62"/>
        <v>0</v>
      </c>
      <c r="K1318" s="18">
        <f t="shared" si="60"/>
        <v>0</v>
      </c>
      <c r="L1318" s="21">
        <f>IF(ISERROR(VLOOKUP($F1318,#REF!,6,0)*G1318/1000),0,VLOOKUP($F1318,#REF!,6,0)*G1318/1000)</f>
        <v>0</v>
      </c>
      <c r="M1318" s="21">
        <f>IF(ISERROR(VLOOKUP($F1318,#REF!,6,0)*H1318/1000),0,VLOOKUP($F1318,#REF!,6,0)*H1318/1000)</f>
        <v>0</v>
      </c>
      <c r="N1318" s="21">
        <f>IF(ISERROR(VLOOKUP($F1318,#REF!,6,0)*I1318/1000),0,VLOOKUP($F1318,#REF!,6,0)*I1318/1000)</f>
        <v>0</v>
      </c>
      <c r="O1318" s="21">
        <f>IF(ISERROR(VLOOKUP($F1318,#REF!,6,0)*J1318/1000),0,VLOOKUP($F1318,#REF!,6,0)*J1318/1000)</f>
        <v>0</v>
      </c>
      <c r="P1318" s="21">
        <f>IF(ISERROR(VLOOKUP(F1318,#REF!,6,0)*K1318/1000),0,VLOOKUP(F1318,#REF!,6,0)*K1318/1000)</f>
        <v>0</v>
      </c>
      <c r="Q1318" s="6">
        <f>IF(ISERROR(VLOOKUP(F1318,#REF!,3,0)),0,VLOOKUP(F1318,#REF!,3,0))</f>
        <v>0</v>
      </c>
      <c r="R1318" s="6">
        <f>IF(ISERROR(VLOOKUP(F1318,#REF!,4,0)),0,VLOOKUP(F1318,#REF!,4,0))</f>
        <v>0</v>
      </c>
      <c r="S1318" s="8">
        <f>IF(ISERROR(VLOOKUP(F1318,#REF!,4,0)),0,VLOOKUP(F1318,#REF!,10,0)/60*K1318)</f>
        <v>0</v>
      </c>
      <c r="T1318" s="3"/>
      <c r="U1318" s="3"/>
      <c r="V1318" s="4"/>
    </row>
    <row r="1319" spans="1:22" x14ac:dyDescent="0.3">
      <c r="A1319" s="5">
        <f t="shared" si="61"/>
        <v>0</v>
      </c>
      <c r="B1319" s="6">
        <f t="shared" si="62"/>
        <v>0</v>
      </c>
      <c r="K1319" s="18">
        <f t="shared" si="60"/>
        <v>0</v>
      </c>
      <c r="L1319" s="21">
        <f>IF(ISERROR(VLOOKUP($F1319,#REF!,6,0)*G1319/1000),0,VLOOKUP($F1319,#REF!,6,0)*G1319/1000)</f>
        <v>0</v>
      </c>
      <c r="M1319" s="21">
        <f>IF(ISERROR(VLOOKUP($F1319,#REF!,6,0)*H1319/1000),0,VLOOKUP($F1319,#REF!,6,0)*H1319/1000)</f>
        <v>0</v>
      </c>
      <c r="N1319" s="21">
        <f>IF(ISERROR(VLOOKUP($F1319,#REF!,6,0)*I1319/1000),0,VLOOKUP($F1319,#REF!,6,0)*I1319/1000)</f>
        <v>0</v>
      </c>
      <c r="O1319" s="21">
        <f>IF(ISERROR(VLOOKUP($F1319,#REF!,6,0)*J1319/1000),0,VLOOKUP($F1319,#REF!,6,0)*J1319/1000)</f>
        <v>0</v>
      </c>
      <c r="P1319" s="21">
        <f>IF(ISERROR(VLOOKUP(F1319,#REF!,6,0)*K1319/1000),0,VLOOKUP(F1319,#REF!,6,0)*K1319/1000)</f>
        <v>0</v>
      </c>
      <c r="Q1319" s="6">
        <f>IF(ISERROR(VLOOKUP(F1319,#REF!,3,0)),0,VLOOKUP(F1319,#REF!,3,0))</f>
        <v>0</v>
      </c>
      <c r="R1319" s="6">
        <f>IF(ISERROR(VLOOKUP(F1319,#REF!,4,0)),0,VLOOKUP(F1319,#REF!,4,0))</f>
        <v>0</v>
      </c>
      <c r="S1319" s="8">
        <f>IF(ISERROR(VLOOKUP(F1319,#REF!,4,0)),0,VLOOKUP(F1319,#REF!,10,0)/60*K1319)</f>
        <v>0</v>
      </c>
      <c r="T1319" s="3"/>
      <c r="U1319" s="3"/>
      <c r="V1319" s="4"/>
    </row>
    <row r="1320" spans="1:22" x14ac:dyDescent="0.3">
      <c r="A1320" s="5">
        <f t="shared" si="61"/>
        <v>0</v>
      </c>
      <c r="B1320" s="6">
        <f t="shared" si="62"/>
        <v>0</v>
      </c>
      <c r="K1320" s="18">
        <f t="shared" si="60"/>
        <v>0</v>
      </c>
      <c r="L1320" s="21">
        <f>IF(ISERROR(VLOOKUP($F1320,#REF!,6,0)*G1320/1000),0,VLOOKUP($F1320,#REF!,6,0)*G1320/1000)</f>
        <v>0</v>
      </c>
      <c r="M1320" s="21">
        <f>IF(ISERROR(VLOOKUP($F1320,#REF!,6,0)*H1320/1000),0,VLOOKUP($F1320,#REF!,6,0)*H1320/1000)</f>
        <v>0</v>
      </c>
      <c r="N1320" s="21">
        <f>IF(ISERROR(VLOOKUP($F1320,#REF!,6,0)*I1320/1000),0,VLOOKUP($F1320,#REF!,6,0)*I1320/1000)</f>
        <v>0</v>
      </c>
      <c r="O1320" s="21">
        <f>IF(ISERROR(VLOOKUP($F1320,#REF!,6,0)*J1320/1000),0,VLOOKUP($F1320,#REF!,6,0)*J1320/1000)</f>
        <v>0</v>
      </c>
      <c r="P1320" s="21">
        <f>IF(ISERROR(VLOOKUP(F1320,#REF!,6,0)*K1320/1000),0,VLOOKUP(F1320,#REF!,6,0)*K1320/1000)</f>
        <v>0</v>
      </c>
      <c r="Q1320" s="6">
        <f>IF(ISERROR(VLOOKUP(F1320,#REF!,3,0)),0,VLOOKUP(F1320,#REF!,3,0))</f>
        <v>0</v>
      </c>
      <c r="R1320" s="6">
        <f>IF(ISERROR(VLOOKUP(F1320,#REF!,4,0)),0,VLOOKUP(F1320,#REF!,4,0))</f>
        <v>0</v>
      </c>
      <c r="S1320" s="8">
        <f>IF(ISERROR(VLOOKUP(F1320,#REF!,4,0)),0,VLOOKUP(F1320,#REF!,10,0)/60*K1320)</f>
        <v>0</v>
      </c>
      <c r="T1320" s="3"/>
      <c r="U1320" s="3"/>
      <c r="V1320" s="4"/>
    </row>
    <row r="1321" spans="1:22" x14ac:dyDescent="0.3">
      <c r="A1321" s="5">
        <f t="shared" si="61"/>
        <v>0</v>
      </c>
      <c r="B1321" s="6">
        <f t="shared" si="62"/>
        <v>0</v>
      </c>
      <c r="K1321" s="18">
        <f t="shared" si="60"/>
        <v>0</v>
      </c>
      <c r="L1321" s="21">
        <f>IF(ISERROR(VLOOKUP($F1321,#REF!,6,0)*G1321/1000),0,VLOOKUP($F1321,#REF!,6,0)*G1321/1000)</f>
        <v>0</v>
      </c>
      <c r="M1321" s="21">
        <f>IF(ISERROR(VLOOKUP($F1321,#REF!,6,0)*H1321/1000),0,VLOOKUP($F1321,#REF!,6,0)*H1321/1000)</f>
        <v>0</v>
      </c>
      <c r="N1321" s="21">
        <f>IF(ISERROR(VLOOKUP($F1321,#REF!,6,0)*I1321/1000),0,VLOOKUP($F1321,#REF!,6,0)*I1321/1000)</f>
        <v>0</v>
      </c>
      <c r="O1321" s="21">
        <f>IF(ISERROR(VLOOKUP($F1321,#REF!,6,0)*J1321/1000),0,VLOOKUP($F1321,#REF!,6,0)*J1321/1000)</f>
        <v>0</v>
      </c>
      <c r="P1321" s="21">
        <f>IF(ISERROR(VLOOKUP(F1321,#REF!,6,0)*K1321/1000),0,VLOOKUP(F1321,#REF!,6,0)*K1321/1000)</f>
        <v>0</v>
      </c>
      <c r="Q1321" s="6">
        <f>IF(ISERROR(VLOOKUP(F1321,#REF!,3,0)),0,VLOOKUP(F1321,#REF!,3,0))</f>
        <v>0</v>
      </c>
      <c r="R1321" s="6">
        <f>IF(ISERROR(VLOOKUP(F1321,#REF!,4,0)),0,VLOOKUP(F1321,#REF!,4,0))</f>
        <v>0</v>
      </c>
      <c r="S1321" s="8">
        <f>IF(ISERROR(VLOOKUP(F1321,#REF!,4,0)),0,VLOOKUP(F1321,#REF!,10,0)/60*K1321)</f>
        <v>0</v>
      </c>
      <c r="T1321" s="3"/>
      <c r="U1321" s="3"/>
      <c r="V1321" s="4"/>
    </row>
    <row r="1322" spans="1:22" x14ac:dyDescent="0.3">
      <c r="A1322" s="5">
        <f t="shared" si="61"/>
        <v>0</v>
      </c>
      <c r="B1322" s="6">
        <f t="shared" si="62"/>
        <v>0</v>
      </c>
      <c r="K1322" s="18">
        <f t="shared" si="60"/>
        <v>0</v>
      </c>
      <c r="L1322" s="21">
        <f>IF(ISERROR(VLOOKUP($F1322,#REF!,6,0)*G1322/1000),0,VLOOKUP($F1322,#REF!,6,0)*G1322/1000)</f>
        <v>0</v>
      </c>
      <c r="M1322" s="21">
        <f>IF(ISERROR(VLOOKUP($F1322,#REF!,6,0)*H1322/1000),0,VLOOKUP($F1322,#REF!,6,0)*H1322/1000)</f>
        <v>0</v>
      </c>
      <c r="N1322" s="21">
        <f>IF(ISERROR(VLOOKUP($F1322,#REF!,6,0)*I1322/1000),0,VLOOKUP($F1322,#REF!,6,0)*I1322/1000)</f>
        <v>0</v>
      </c>
      <c r="O1322" s="21">
        <f>IF(ISERROR(VLOOKUP($F1322,#REF!,6,0)*J1322/1000),0,VLOOKUP($F1322,#REF!,6,0)*J1322/1000)</f>
        <v>0</v>
      </c>
      <c r="P1322" s="21">
        <f>IF(ISERROR(VLOOKUP(F1322,#REF!,6,0)*K1322/1000),0,VLOOKUP(F1322,#REF!,6,0)*K1322/1000)</f>
        <v>0</v>
      </c>
      <c r="Q1322" s="6">
        <f>IF(ISERROR(VLOOKUP(F1322,#REF!,3,0)),0,VLOOKUP(F1322,#REF!,3,0))</f>
        <v>0</v>
      </c>
      <c r="R1322" s="6">
        <f>IF(ISERROR(VLOOKUP(F1322,#REF!,4,0)),0,VLOOKUP(F1322,#REF!,4,0))</f>
        <v>0</v>
      </c>
      <c r="S1322" s="8">
        <f>IF(ISERROR(VLOOKUP(F1322,#REF!,4,0)),0,VLOOKUP(F1322,#REF!,10,0)/60*K1322)</f>
        <v>0</v>
      </c>
      <c r="T1322" s="3"/>
      <c r="U1322" s="3"/>
      <c r="V1322" s="4"/>
    </row>
    <row r="1323" spans="1:22" x14ac:dyDescent="0.3">
      <c r="A1323" s="5">
        <f t="shared" si="61"/>
        <v>0</v>
      </c>
      <c r="B1323" s="6">
        <f t="shared" si="62"/>
        <v>0</v>
      </c>
      <c r="K1323" s="18">
        <f t="shared" si="60"/>
        <v>0</v>
      </c>
      <c r="L1323" s="21">
        <f>IF(ISERROR(VLOOKUP($F1323,#REF!,6,0)*G1323/1000),0,VLOOKUP($F1323,#REF!,6,0)*G1323/1000)</f>
        <v>0</v>
      </c>
      <c r="M1323" s="21">
        <f>IF(ISERROR(VLOOKUP($F1323,#REF!,6,0)*H1323/1000),0,VLOOKUP($F1323,#REF!,6,0)*H1323/1000)</f>
        <v>0</v>
      </c>
      <c r="N1323" s="21">
        <f>IF(ISERROR(VLOOKUP($F1323,#REF!,6,0)*I1323/1000),0,VLOOKUP($F1323,#REF!,6,0)*I1323/1000)</f>
        <v>0</v>
      </c>
      <c r="O1323" s="21">
        <f>IF(ISERROR(VLOOKUP($F1323,#REF!,6,0)*J1323/1000),0,VLOOKUP($F1323,#REF!,6,0)*J1323/1000)</f>
        <v>0</v>
      </c>
      <c r="P1323" s="21">
        <f>IF(ISERROR(VLOOKUP(F1323,#REF!,6,0)*K1323/1000),0,VLOOKUP(F1323,#REF!,6,0)*K1323/1000)</f>
        <v>0</v>
      </c>
      <c r="Q1323" s="6">
        <f>IF(ISERROR(VLOOKUP(F1323,#REF!,3,0)),0,VLOOKUP(F1323,#REF!,3,0))</f>
        <v>0</v>
      </c>
      <c r="R1323" s="6">
        <f>IF(ISERROR(VLOOKUP(F1323,#REF!,4,0)),0,VLOOKUP(F1323,#REF!,4,0))</f>
        <v>0</v>
      </c>
      <c r="S1323" s="8">
        <f>IF(ISERROR(VLOOKUP(F1323,#REF!,4,0)),0,VLOOKUP(F1323,#REF!,10,0)/60*K1323)</f>
        <v>0</v>
      </c>
      <c r="T1323" s="3"/>
      <c r="U1323" s="3"/>
      <c r="V1323" s="4"/>
    </row>
    <row r="1324" spans="1:22" x14ac:dyDescent="0.3">
      <c r="A1324" s="5">
        <f t="shared" si="61"/>
        <v>0</v>
      </c>
      <c r="B1324" s="6">
        <f t="shared" si="62"/>
        <v>0</v>
      </c>
      <c r="K1324" s="18">
        <f t="shared" si="60"/>
        <v>0</v>
      </c>
      <c r="L1324" s="21">
        <f>IF(ISERROR(VLOOKUP($F1324,#REF!,6,0)*G1324/1000),0,VLOOKUP($F1324,#REF!,6,0)*G1324/1000)</f>
        <v>0</v>
      </c>
      <c r="M1324" s="21">
        <f>IF(ISERROR(VLOOKUP($F1324,#REF!,6,0)*H1324/1000),0,VLOOKUP($F1324,#REF!,6,0)*H1324/1000)</f>
        <v>0</v>
      </c>
      <c r="N1324" s="21">
        <f>IF(ISERROR(VLOOKUP($F1324,#REF!,6,0)*I1324/1000),0,VLOOKUP($F1324,#REF!,6,0)*I1324/1000)</f>
        <v>0</v>
      </c>
      <c r="O1324" s="21">
        <f>IF(ISERROR(VLOOKUP($F1324,#REF!,6,0)*J1324/1000),0,VLOOKUP($F1324,#REF!,6,0)*J1324/1000)</f>
        <v>0</v>
      </c>
      <c r="P1324" s="21">
        <f>IF(ISERROR(VLOOKUP(F1324,#REF!,6,0)*K1324/1000),0,VLOOKUP(F1324,#REF!,6,0)*K1324/1000)</f>
        <v>0</v>
      </c>
      <c r="Q1324" s="6">
        <f>IF(ISERROR(VLOOKUP(F1324,#REF!,3,0)),0,VLOOKUP(F1324,#REF!,3,0))</f>
        <v>0</v>
      </c>
      <c r="R1324" s="6">
        <f>IF(ISERROR(VLOOKUP(F1324,#REF!,4,0)),0,VLOOKUP(F1324,#REF!,4,0))</f>
        <v>0</v>
      </c>
      <c r="S1324" s="8">
        <f>IF(ISERROR(VLOOKUP(F1324,#REF!,4,0)),0,VLOOKUP(F1324,#REF!,10,0)/60*K1324)</f>
        <v>0</v>
      </c>
      <c r="T1324" s="3"/>
      <c r="U1324" s="3"/>
      <c r="V1324" s="4"/>
    </row>
    <row r="1325" spans="1:22" x14ac:dyDescent="0.3">
      <c r="A1325" s="5">
        <f t="shared" si="61"/>
        <v>0</v>
      </c>
      <c r="B1325" s="6">
        <f t="shared" si="62"/>
        <v>0</v>
      </c>
      <c r="K1325" s="18">
        <f t="shared" si="60"/>
        <v>0</v>
      </c>
      <c r="L1325" s="21">
        <f>IF(ISERROR(VLOOKUP($F1325,#REF!,6,0)*G1325/1000),0,VLOOKUP($F1325,#REF!,6,0)*G1325/1000)</f>
        <v>0</v>
      </c>
      <c r="M1325" s="21">
        <f>IF(ISERROR(VLOOKUP($F1325,#REF!,6,0)*H1325/1000),0,VLOOKUP($F1325,#REF!,6,0)*H1325/1000)</f>
        <v>0</v>
      </c>
      <c r="N1325" s="21">
        <f>IF(ISERROR(VLOOKUP($F1325,#REF!,6,0)*I1325/1000),0,VLOOKUP($F1325,#REF!,6,0)*I1325/1000)</f>
        <v>0</v>
      </c>
      <c r="O1325" s="21">
        <f>IF(ISERROR(VLOOKUP($F1325,#REF!,6,0)*J1325/1000),0,VLOOKUP($F1325,#REF!,6,0)*J1325/1000)</f>
        <v>0</v>
      </c>
      <c r="P1325" s="21">
        <f>IF(ISERROR(VLOOKUP(F1325,#REF!,6,0)*K1325/1000),0,VLOOKUP(F1325,#REF!,6,0)*K1325/1000)</f>
        <v>0</v>
      </c>
      <c r="Q1325" s="6">
        <f>IF(ISERROR(VLOOKUP(F1325,#REF!,3,0)),0,VLOOKUP(F1325,#REF!,3,0))</f>
        <v>0</v>
      </c>
      <c r="R1325" s="6">
        <f>IF(ISERROR(VLOOKUP(F1325,#REF!,4,0)),0,VLOOKUP(F1325,#REF!,4,0))</f>
        <v>0</v>
      </c>
      <c r="S1325" s="8">
        <f>IF(ISERROR(VLOOKUP(F1325,#REF!,4,0)),0,VLOOKUP(F1325,#REF!,10,0)/60*K1325)</f>
        <v>0</v>
      </c>
      <c r="T1325" s="3"/>
      <c r="U1325" s="3"/>
      <c r="V1325" s="4"/>
    </row>
    <row r="1326" spans="1:22" x14ac:dyDescent="0.3">
      <c r="A1326" s="5">
        <f t="shared" si="61"/>
        <v>0</v>
      </c>
      <c r="B1326" s="6">
        <f t="shared" si="62"/>
        <v>0</v>
      </c>
      <c r="K1326" s="18">
        <f t="shared" si="60"/>
        <v>0</v>
      </c>
      <c r="L1326" s="21">
        <f>IF(ISERROR(VLOOKUP($F1326,#REF!,6,0)*G1326/1000),0,VLOOKUP($F1326,#REF!,6,0)*G1326/1000)</f>
        <v>0</v>
      </c>
      <c r="M1326" s="21">
        <f>IF(ISERROR(VLOOKUP($F1326,#REF!,6,0)*H1326/1000),0,VLOOKUP($F1326,#REF!,6,0)*H1326/1000)</f>
        <v>0</v>
      </c>
      <c r="N1326" s="21">
        <f>IF(ISERROR(VLOOKUP($F1326,#REF!,6,0)*I1326/1000),0,VLOOKUP($F1326,#REF!,6,0)*I1326/1000)</f>
        <v>0</v>
      </c>
      <c r="O1326" s="21">
        <f>IF(ISERROR(VLOOKUP($F1326,#REF!,6,0)*J1326/1000),0,VLOOKUP($F1326,#REF!,6,0)*J1326/1000)</f>
        <v>0</v>
      </c>
      <c r="P1326" s="21">
        <f>IF(ISERROR(VLOOKUP(F1326,#REF!,6,0)*K1326/1000),0,VLOOKUP(F1326,#REF!,6,0)*K1326/1000)</f>
        <v>0</v>
      </c>
      <c r="Q1326" s="6">
        <f>IF(ISERROR(VLOOKUP(F1326,#REF!,3,0)),0,VLOOKUP(F1326,#REF!,3,0))</f>
        <v>0</v>
      </c>
      <c r="R1326" s="6">
        <f>IF(ISERROR(VLOOKUP(F1326,#REF!,4,0)),0,VLOOKUP(F1326,#REF!,4,0))</f>
        <v>0</v>
      </c>
      <c r="S1326" s="8">
        <f>IF(ISERROR(VLOOKUP(F1326,#REF!,4,0)),0,VLOOKUP(F1326,#REF!,10,0)/60*K1326)</f>
        <v>0</v>
      </c>
      <c r="T1326" s="3"/>
      <c r="U1326" s="3"/>
      <c r="V1326" s="4"/>
    </row>
    <row r="1327" spans="1:22" x14ac:dyDescent="0.3">
      <c r="A1327" s="5">
        <f t="shared" si="61"/>
        <v>0</v>
      </c>
      <c r="B1327" s="6">
        <f t="shared" si="62"/>
        <v>0</v>
      </c>
      <c r="K1327" s="18">
        <f t="shared" si="60"/>
        <v>0</v>
      </c>
      <c r="L1327" s="21">
        <f>IF(ISERROR(VLOOKUP($F1327,#REF!,6,0)*G1327/1000),0,VLOOKUP($F1327,#REF!,6,0)*G1327/1000)</f>
        <v>0</v>
      </c>
      <c r="M1327" s="21">
        <f>IF(ISERROR(VLOOKUP($F1327,#REF!,6,0)*H1327/1000),0,VLOOKUP($F1327,#REF!,6,0)*H1327/1000)</f>
        <v>0</v>
      </c>
      <c r="N1327" s="21">
        <f>IF(ISERROR(VLOOKUP($F1327,#REF!,6,0)*I1327/1000),0,VLOOKUP($F1327,#REF!,6,0)*I1327/1000)</f>
        <v>0</v>
      </c>
      <c r="O1327" s="21">
        <f>IF(ISERROR(VLOOKUP($F1327,#REF!,6,0)*J1327/1000),0,VLOOKUP($F1327,#REF!,6,0)*J1327/1000)</f>
        <v>0</v>
      </c>
      <c r="P1327" s="21">
        <f>IF(ISERROR(VLOOKUP(F1327,#REF!,6,0)*K1327/1000),0,VLOOKUP(F1327,#REF!,6,0)*K1327/1000)</f>
        <v>0</v>
      </c>
      <c r="Q1327" s="6">
        <f>IF(ISERROR(VLOOKUP(F1327,#REF!,3,0)),0,VLOOKUP(F1327,#REF!,3,0))</f>
        <v>0</v>
      </c>
      <c r="R1327" s="6">
        <f>IF(ISERROR(VLOOKUP(F1327,#REF!,4,0)),0,VLOOKUP(F1327,#REF!,4,0))</f>
        <v>0</v>
      </c>
      <c r="S1327" s="8">
        <f>IF(ISERROR(VLOOKUP(F1327,#REF!,4,0)),0,VLOOKUP(F1327,#REF!,10,0)/60*K1327)</f>
        <v>0</v>
      </c>
      <c r="T1327" s="3"/>
      <c r="U1327" s="3"/>
      <c r="V1327" s="4"/>
    </row>
    <row r="1328" spans="1:22" x14ac:dyDescent="0.3">
      <c r="A1328" s="5">
        <f t="shared" si="61"/>
        <v>0</v>
      </c>
      <c r="B1328" s="6">
        <f t="shared" si="62"/>
        <v>0</v>
      </c>
      <c r="K1328" s="18">
        <f t="shared" si="60"/>
        <v>0</v>
      </c>
      <c r="L1328" s="21">
        <f>IF(ISERROR(VLOOKUP($F1328,#REF!,6,0)*G1328/1000),0,VLOOKUP($F1328,#REF!,6,0)*G1328/1000)</f>
        <v>0</v>
      </c>
      <c r="M1328" s="21">
        <f>IF(ISERROR(VLOOKUP($F1328,#REF!,6,0)*H1328/1000),0,VLOOKUP($F1328,#REF!,6,0)*H1328/1000)</f>
        <v>0</v>
      </c>
      <c r="N1328" s="21">
        <f>IF(ISERROR(VLOOKUP($F1328,#REF!,6,0)*I1328/1000),0,VLOOKUP($F1328,#REF!,6,0)*I1328/1000)</f>
        <v>0</v>
      </c>
      <c r="O1328" s="21">
        <f>IF(ISERROR(VLOOKUP($F1328,#REF!,6,0)*J1328/1000),0,VLOOKUP($F1328,#REF!,6,0)*J1328/1000)</f>
        <v>0</v>
      </c>
      <c r="P1328" s="21">
        <f>IF(ISERROR(VLOOKUP(F1328,#REF!,6,0)*K1328/1000),0,VLOOKUP(F1328,#REF!,6,0)*K1328/1000)</f>
        <v>0</v>
      </c>
      <c r="Q1328" s="6">
        <f>IF(ISERROR(VLOOKUP(F1328,#REF!,3,0)),0,VLOOKUP(F1328,#REF!,3,0))</f>
        <v>0</v>
      </c>
      <c r="R1328" s="6">
        <f>IF(ISERROR(VLOOKUP(F1328,#REF!,4,0)),0,VLOOKUP(F1328,#REF!,4,0))</f>
        <v>0</v>
      </c>
      <c r="S1328" s="8">
        <f>IF(ISERROR(VLOOKUP(F1328,#REF!,4,0)),0,VLOOKUP(F1328,#REF!,10,0)/60*K1328)</f>
        <v>0</v>
      </c>
      <c r="T1328" s="3"/>
      <c r="U1328" s="3"/>
      <c r="V1328" s="4"/>
    </row>
    <row r="1329" spans="1:22" x14ac:dyDescent="0.3">
      <c r="A1329" s="5">
        <f t="shared" si="61"/>
        <v>0</v>
      </c>
      <c r="B1329" s="6">
        <f t="shared" si="62"/>
        <v>0</v>
      </c>
      <c r="K1329" s="18">
        <f t="shared" si="60"/>
        <v>0</v>
      </c>
      <c r="L1329" s="21">
        <f>IF(ISERROR(VLOOKUP($F1329,#REF!,6,0)*G1329/1000),0,VLOOKUP($F1329,#REF!,6,0)*G1329/1000)</f>
        <v>0</v>
      </c>
      <c r="M1329" s="21">
        <f>IF(ISERROR(VLOOKUP($F1329,#REF!,6,0)*H1329/1000),0,VLOOKUP($F1329,#REF!,6,0)*H1329/1000)</f>
        <v>0</v>
      </c>
      <c r="N1329" s="21">
        <f>IF(ISERROR(VLOOKUP($F1329,#REF!,6,0)*I1329/1000),0,VLOOKUP($F1329,#REF!,6,0)*I1329/1000)</f>
        <v>0</v>
      </c>
      <c r="O1329" s="21">
        <f>IF(ISERROR(VLOOKUP($F1329,#REF!,6,0)*J1329/1000),0,VLOOKUP($F1329,#REF!,6,0)*J1329/1000)</f>
        <v>0</v>
      </c>
      <c r="P1329" s="21">
        <f>IF(ISERROR(VLOOKUP(F1329,#REF!,6,0)*K1329/1000),0,VLOOKUP(F1329,#REF!,6,0)*K1329/1000)</f>
        <v>0</v>
      </c>
      <c r="Q1329" s="6">
        <f>IF(ISERROR(VLOOKUP(F1329,#REF!,3,0)),0,VLOOKUP(F1329,#REF!,3,0))</f>
        <v>0</v>
      </c>
      <c r="R1329" s="6">
        <f>IF(ISERROR(VLOOKUP(F1329,#REF!,4,0)),0,VLOOKUP(F1329,#REF!,4,0))</f>
        <v>0</v>
      </c>
      <c r="S1329" s="8">
        <f>IF(ISERROR(VLOOKUP(F1329,#REF!,4,0)),0,VLOOKUP(F1329,#REF!,10,0)/60*K1329)</f>
        <v>0</v>
      </c>
      <c r="T1329" s="3"/>
      <c r="U1329" s="3"/>
      <c r="V1329" s="4"/>
    </row>
    <row r="1330" spans="1:22" x14ac:dyDescent="0.3">
      <c r="A1330" s="5">
        <f t="shared" si="61"/>
        <v>0</v>
      </c>
      <c r="B1330" s="6">
        <f t="shared" si="62"/>
        <v>0</v>
      </c>
      <c r="K1330" s="18">
        <f t="shared" si="60"/>
        <v>0</v>
      </c>
      <c r="L1330" s="21">
        <f>IF(ISERROR(VLOOKUP($F1330,#REF!,6,0)*G1330/1000),0,VLOOKUP($F1330,#REF!,6,0)*G1330/1000)</f>
        <v>0</v>
      </c>
      <c r="M1330" s="21">
        <f>IF(ISERROR(VLOOKUP($F1330,#REF!,6,0)*H1330/1000),0,VLOOKUP($F1330,#REF!,6,0)*H1330/1000)</f>
        <v>0</v>
      </c>
      <c r="N1330" s="21">
        <f>IF(ISERROR(VLOOKUP($F1330,#REF!,6,0)*I1330/1000),0,VLOOKUP($F1330,#REF!,6,0)*I1330/1000)</f>
        <v>0</v>
      </c>
      <c r="O1330" s="21">
        <f>IF(ISERROR(VLOOKUP($F1330,#REF!,6,0)*J1330/1000),0,VLOOKUP($F1330,#REF!,6,0)*J1330/1000)</f>
        <v>0</v>
      </c>
      <c r="P1330" s="21">
        <f>IF(ISERROR(VLOOKUP(F1330,#REF!,6,0)*K1330/1000),0,VLOOKUP(F1330,#REF!,6,0)*K1330/1000)</f>
        <v>0</v>
      </c>
      <c r="Q1330" s="6">
        <f>IF(ISERROR(VLOOKUP(F1330,#REF!,3,0)),0,VLOOKUP(F1330,#REF!,3,0))</f>
        <v>0</v>
      </c>
      <c r="R1330" s="6">
        <f>IF(ISERROR(VLOOKUP(F1330,#REF!,4,0)),0,VLOOKUP(F1330,#REF!,4,0))</f>
        <v>0</v>
      </c>
      <c r="S1330" s="8">
        <f>IF(ISERROR(VLOOKUP(F1330,#REF!,4,0)),0,VLOOKUP(F1330,#REF!,10,0)/60*K1330)</f>
        <v>0</v>
      </c>
      <c r="T1330" s="3"/>
      <c r="U1330" s="3"/>
      <c r="V1330" s="4"/>
    </row>
    <row r="1331" spans="1:22" x14ac:dyDescent="0.3">
      <c r="A1331" s="5">
        <f t="shared" si="61"/>
        <v>0</v>
      </c>
      <c r="B1331" s="6">
        <f t="shared" si="62"/>
        <v>0</v>
      </c>
      <c r="K1331" s="18">
        <f t="shared" si="60"/>
        <v>0</v>
      </c>
      <c r="L1331" s="21">
        <f>IF(ISERROR(VLOOKUP($F1331,#REF!,6,0)*G1331/1000),0,VLOOKUP($F1331,#REF!,6,0)*G1331/1000)</f>
        <v>0</v>
      </c>
      <c r="M1331" s="21">
        <f>IF(ISERROR(VLOOKUP($F1331,#REF!,6,0)*H1331/1000),0,VLOOKUP($F1331,#REF!,6,0)*H1331/1000)</f>
        <v>0</v>
      </c>
      <c r="N1331" s="21">
        <f>IF(ISERROR(VLOOKUP($F1331,#REF!,6,0)*I1331/1000),0,VLOOKUP($F1331,#REF!,6,0)*I1331/1000)</f>
        <v>0</v>
      </c>
      <c r="O1331" s="21">
        <f>IF(ISERROR(VLOOKUP($F1331,#REF!,6,0)*J1331/1000),0,VLOOKUP($F1331,#REF!,6,0)*J1331/1000)</f>
        <v>0</v>
      </c>
      <c r="P1331" s="21">
        <f>IF(ISERROR(VLOOKUP(F1331,#REF!,6,0)*K1331/1000),0,VLOOKUP(F1331,#REF!,6,0)*K1331/1000)</f>
        <v>0</v>
      </c>
      <c r="Q1331" s="6">
        <f>IF(ISERROR(VLOOKUP(F1331,#REF!,3,0)),0,VLOOKUP(F1331,#REF!,3,0))</f>
        <v>0</v>
      </c>
      <c r="R1331" s="6">
        <f>IF(ISERROR(VLOOKUP(F1331,#REF!,4,0)),0,VLOOKUP(F1331,#REF!,4,0))</f>
        <v>0</v>
      </c>
      <c r="S1331" s="8">
        <f>IF(ISERROR(VLOOKUP(F1331,#REF!,4,0)),0,VLOOKUP(F1331,#REF!,10,0)/60*K1331)</f>
        <v>0</v>
      </c>
      <c r="T1331" s="3"/>
      <c r="U1331" s="3"/>
      <c r="V1331" s="4"/>
    </row>
    <row r="1332" spans="1:22" x14ac:dyDescent="0.3">
      <c r="A1332" s="5">
        <f t="shared" si="61"/>
        <v>0</v>
      </c>
      <c r="B1332" s="6">
        <f t="shared" si="62"/>
        <v>0</v>
      </c>
      <c r="K1332" s="18">
        <f t="shared" si="60"/>
        <v>0</v>
      </c>
      <c r="L1332" s="21">
        <f>IF(ISERROR(VLOOKUP($F1332,#REF!,6,0)*G1332/1000),0,VLOOKUP($F1332,#REF!,6,0)*G1332/1000)</f>
        <v>0</v>
      </c>
      <c r="M1332" s="21">
        <f>IF(ISERROR(VLOOKUP($F1332,#REF!,6,0)*H1332/1000),0,VLOOKUP($F1332,#REF!,6,0)*H1332/1000)</f>
        <v>0</v>
      </c>
      <c r="N1332" s="21">
        <f>IF(ISERROR(VLOOKUP($F1332,#REF!,6,0)*I1332/1000),0,VLOOKUP($F1332,#REF!,6,0)*I1332/1000)</f>
        <v>0</v>
      </c>
      <c r="O1332" s="21">
        <f>IF(ISERROR(VLOOKUP($F1332,#REF!,6,0)*J1332/1000),0,VLOOKUP($F1332,#REF!,6,0)*J1332/1000)</f>
        <v>0</v>
      </c>
      <c r="P1332" s="21">
        <f>IF(ISERROR(VLOOKUP(F1332,#REF!,6,0)*K1332/1000),0,VLOOKUP(F1332,#REF!,6,0)*K1332/1000)</f>
        <v>0</v>
      </c>
      <c r="Q1332" s="6">
        <f>IF(ISERROR(VLOOKUP(F1332,#REF!,3,0)),0,VLOOKUP(F1332,#REF!,3,0))</f>
        <v>0</v>
      </c>
      <c r="R1332" s="6">
        <f>IF(ISERROR(VLOOKUP(F1332,#REF!,4,0)),0,VLOOKUP(F1332,#REF!,4,0))</f>
        <v>0</v>
      </c>
      <c r="S1332" s="8">
        <f>IF(ISERROR(VLOOKUP(F1332,#REF!,4,0)),0,VLOOKUP(F1332,#REF!,10,0)/60*K1332)</f>
        <v>0</v>
      </c>
      <c r="T1332" s="3"/>
      <c r="U1332" s="3"/>
      <c r="V1332" s="4"/>
    </row>
    <row r="1333" spans="1:22" x14ac:dyDescent="0.3">
      <c r="A1333" s="5">
        <f t="shared" si="61"/>
        <v>0</v>
      </c>
      <c r="B1333" s="6">
        <f t="shared" si="62"/>
        <v>0</v>
      </c>
      <c r="K1333" s="18">
        <f t="shared" si="60"/>
        <v>0</v>
      </c>
      <c r="L1333" s="21">
        <f>IF(ISERROR(VLOOKUP($F1333,#REF!,6,0)*G1333/1000),0,VLOOKUP($F1333,#REF!,6,0)*G1333/1000)</f>
        <v>0</v>
      </c>
      <c r="M1333" s="21">
        <f>IF(ISERROR(VLOOKUP($F1333,#REF!,6,0)*H1333/1000),0,VLOOKUP($F1333,#REF!,6,0)*H1333/1000)</f>
        <v>0</v>
      </c>
      <c r="N1333" s="21">
        <f>IF(ISERROR(VLOOKUP($F1333,#REF!,6,0)*I1333/1000),0,VLOOKUP($F1333,#REF!,6,0)*I1333/1000)</f>
        <v>0</v>
      </c>
      <c r="O1333" s="21">
        <f>IF(ISERROR(VLOOKUP($F1333,#REF!,6,0)*J1333/1000),0,VLOOKUP($F1333,#REF!,6,0)*J1333/1000)</f>
        <v>0</v>
      </c>
      <c r="P1333" s="21">
        <f>IF(ISERROR(VLOOKUP(F1333,#REF!,6,0)*K1333/1000),0,VLOOKUP(F1333,#REF!,6,0)*K1333/1000)</f>
        <v>0</v>
      </c>
      <c r="Q1333" s="6">
        <f>IF(ISERROR(VLOOKUP(F1333,#REF!,3,0)),0,VLOOKUP(F1333,#REF!,3,0))</f>
        <v>0</v>
      </c>
      <c r="R1333" s="6">
        <f>IF(ISERROR(VLOOKUP(F1333,#REF!,4,0)),0,VLOOKUP(F1333,#REF!,4,0))</f>
        <v>0</v>
      </c>
      <c r="S1333" s="8">
        <f>IF(ISERROR(VLOOKUP(F1333,#REF!,4,0)),0,VLOOKUP(F1333,#REF!,10,0)/60*K1333)</f>
        <v>0</v>
      </c>
      <c r="T1333" s="3"/>
      <c r="U1333" s="3"/>
      <c r="V1333" s="4"/>
    </row>
    <row r="1334" spans="1:22" x14ac:dyDescent="0.3">
      <c r="A1334" s="5">
        <f t="shared" si="61"/>
        <v>0</v>
      </c>
      <c r="B1334" s="6">
        <f t="shared" si="62"/>
        <v>0</v>
      </c>
      <c r="K1334" s="18">
        <f t="shared" si="60"/>
        <v>0</v>
      </c>
      <c r="L1334" s="21">
        <f>IF(ISERROR(VLOOKUP($F1334,#REF!,6,0)*G1334/1000),0,VLOOKUP($F1334,#REF!,6,0)*G1334/1000)</f>
        <v>0</v>
      </c>
      <c r="M1334" s="21">
        <f>IF(ISERROR(VLOOKUP($F1334,#REF!,6,0)*H1334/1000),0,VLOOKUP($F1334,#REF!,6,0)*H1334/1000)</f>
        <v>0</v>
      </c>
      <c r="N1334" s="21">
        <f>IF(ISERROR(VLOOKUP($F1334,#REF!,6,0)*I1334/1000),0,VLOOKUP($F1334,#REF!,6,0)*I1334/1000)</f>
        <v>0</v>
      </c>
      <c r="O1334" s="21">
        <f>IF(ISERROR(VLOOKUP($F1334,#REF!,6,0)*J1334/1000),0,VLOOKUP($F1334,#REF!,6,0)*J1334/1000)</f>
        <v>0</v>
      </c>
      <c r="P1334" s="21">
        <f>IF(ISERROR(VLOOKUP(F1334,#REF!,6,0)*K1334/1000),0,VLOOKUP(F1334,#REF!,6,0)*K1334/1000)</f>
        <v>0</v>
      </c>
      <c r="Q1334" s="6">
        <f>IF(ISERROR(VLOOKUP(F1334,#REF!,3,0)),0,VLOOKUP(F1334,#REF!,3,0))</f>
        <v>0</v>
      </c>
      <c r="R1334" s="6">
        <f>IF(ISERROR(VLOOKUP(F1334,#REF!,4,0)),0,VLOOKUP(F1334,#REF!,4,0))</f>
        <v>0</v>
      </c>
      <c r="S1334" s="8">
        <f>IF(ISERROR(VLOOKUP(F1334,#REF!,4,0)),0,VLOOKUP(F1334,#REF!,10,0)/60*K1334)</f>
        <v>0</v>
      </c>
      <c r="T1334" s="3"/>
      <c r="U1334" s="3"/>
      <c r="V1334" s="4"/>
    </row>
    <row r="1335" spans="1:22" x14ac:dyDescent="0.3">
      <c r="A1335" s="5">
        <f t="shared" si="61"/>
        <v>0</v>
      </c>
      <c r="B1335" s="6">
        <f t="shared" si="62"/>
        <v>0</v>
      </c>
      <c r="K1335" s="18">
        <f t="shared" si="60"/>
        <v>0</v>
      </c>
      <c r="L1335" s="21">
        <f>IF(ISERROR(VLOOKUP($F1335,#REF!,6,0)*G1335/1000),0,VLOOKUP($F1335,#REF!,6,0)*G1335/1000)</f>
        <v>0</v>
      </c>
      <c r="M1335" s="21">
        <f>IF(ISERROR(VLOOKUP($F1335,#REF!,6,0)*H1335/1000),0,VLOOKUP($F1335,#REF!,6,0)*H1335/1000)</f>
        <v>0</v>
      </c>
      <c r="N1335" s="21">
        <f>IF(ISERROR(VLOOKUP($F1335,#REF!,6,0)*I1335/1000),0,VLOOKUP($F1335,#REF!,6,0)*I1335/1000)</f>
        <v>0</v>
      </c>
      <c r="O1335" s="21">
        <f>IF(ISERROR(VLOOKUP($F1335,#REF!,6,0)*J1335/1000),0,VLOOKUP($F1335,#REF!,6,0)*J1335/1000)</f>
        <v>0</v>
      </c>
      <c r="P1335" s="21">
        <f>IF(ISERROR(VLOOKUP(F1335,#REF!,6,0)*K1335/1000),0,VLOOKUP(F1335,#REF!,6,0)*K1335/1000)</f>
        <v>0</v>
      </c>
      <c r="Q1335" s="6">
        <f>IF(ISERROR(VLOOKUP(F1335,#REF!,3,0)),0,VLOOKUP(F1335,#REF!,3,0))</f>
        <v>0</v>
      </c>
      <c r="R1335" s="6">
        <f>IF(ISERROR(VLOOKUP(F1335,#REF!,4,0)),0,VLOOKUP(F1335,#REF!,4,0))</f>
        <v>0</v>
      </c>
      <c r="S1335" s="8">
        <f>IF(ISERROR(VLOOKUP(F1335,#REF!,4,0)),0,VLOOKUP(F1335,#REF!,10,0)/60*K1335)</f>
        <v>0</v>
      </c>
      <c r="T1335" s="3"/>
      <c r="U1335" s="3"/>
      <c r="V1335" s="4"/>
    </row>
    <row r="1336" spans="1:22" x14ac:dyDescent="0.3">
      <c r="A1336" s="5">
        <f t="shared" si="61"/>
        <v>0</v>
      </c>
      <c r="B1336" s="6">
        <f t="shared" si="62"/>
        <v>0</v>
      </c>
      <c r="K1336" s="18">
        <f t="shared" si="60"/>
        <v>0</v>
      </c>
      <c r="L1336" s="21">
        <f>IF(ISERROR(VLOOKUP($F1336,#REF!,6,0)*G1336/1000),0,VLOOKUP($F1336,#REF!,6,0)*G1336/1000)</f>
        <v>0</v>
      </c>
      <c r="M1336" s="21">
        <f>IF(ISERROR(VLOOKUP($F1336,#REF!,6,0)*H1336/1000),0,VLOOKUP($F1336,#REF!,6,0)*H1336/1000)</f>
        <v>0</v>
      </c>
      <c r="N1336" s="21">
        <f>IF(ISERROR(VLOOKUP($F1336,#REF!,6,0)*I1336/1000),0,VLOOKUP($F1336,#REF!,6,0)*I1336/1000)</f>
        <v>0</v>
      </c>
      <c r="O1336" s="21">
        <f>IF(ISERROR(VLOOKUP($F1336,#REF!,6,0)*J1336/1000),0,VLOOKUP($F1336,#REF!,6,0)*J1336/1000)</f>
        <v>0</v>
      </c>
      <c r="P1336" s="21">
        <f>IF(ISERROR(VLOOKUP(F1336,#REF!,6,0)*K1336/1000),0,VLOOKUP(F1336,#REF!,6,0)*K1336/1000)</f>
        <v>0</v>
      </c>
      <c r="Q1336" s="6">
        <f>IF(ISERROR(VLOOKUP(F1336,#REF!,3,0)),0,VLOOKUP(F1336,#REF!,3,0))</f>
        <v>0</v>
      </c>
      <c r="R1336" s="6">
        <f>IF(ISERROR(VLOOKUP(F1336,#REF!,4,0)),0,VLOOKUP(F1336,#REF!,4,0))</f>
        <v>0</v>
      </c>
      <c r="S1336" s="8">
        <f>IF(ISERROR(VLOOKUP(F1336,#REF!,4,0)),0,VLOOKUP(F1336,#REF!,10,0)/60*K1336)</f>
        <v>0</v>
      </c>
      <c r="T1336" s="3"/>
      <c r="U1336" s="3"/>
      <c r="V1336" s="4"/>
    </row>
    <row r="1337" spans="1:22" x14ac:dyDescent="0.3">
      <c r="A1337" s="5">
        <f t="shared" si="61"/>
        <v>0</v>
      </c>
      <c r="B1337" s="6">
        <f t="shared" si="62"/>
        <v>0</v>
      </c>
      <c r="K1337" s="18">
        <f t="shared" si="60"/>
        <v>0</v>
      </c>
      <c r="L1337" s="21">
        <f>IF(ISERROR(VLOOKUP($F1337,#REF!,6,0)*G1337/1000),0,VLOOKUP($F1337,#REF!,6,0)*G1337/1000)</f>
        <v>0</v>
      </c>
      <c r="M1337" s="21">
        <f>IF(ISERROR(VLOOKUP($F1337,#REF!,6,0)*H1337/1000),0,VLOOKUP($F1337,#REF!,6,0)*H1337/1000)</f>
        <v>0</v>
      </c>
      <c r="N1337" s="21">
        <f>IF(ISERROR(VLOOKUP($F1337,#REF!,6,0)*I1337/1000),0,VLOOKUP($F1337,#REF!,6,0)*I1337/1000)</f>
        <v>0</v>
      </c>
      <c r="O1337" s="21">
        <f>IF(ISERROR(VLOOKUP($F1337,#REF!,6,0)*J1337/1000),0,VLOOKUP($F1337,#REF!,6,0)*J1337/1000)</f>
        <v>0</v>
      </c>
      <c r="P1337" s="21">
        <f>IF(ISERROR(VLOOKUP(F1337,#REF!,6,0)*K1337/1000),0,VLOOKUP(F1337,#REF!,6,0)*K1337/1000)</f>
        <v>0</v>
      </c>
      <c r="Q1337" s="6">
        <f>IF(ISERROR(VLOOKUP(F1337,#REF!,3,0)),0,VLOOKUP(F1337,#REF!,3,0))</f>
        <v>0</v>
      </c>
      <c r="R1337" s="6">
        <f>IF(ISERROR(VLOOKUP(F1337,#REF!,4,0)),0,VLOOKUP(F1337,#REF!,4,0))</f>
        <v>0</v>
      </c>
      <c r="S1337" s="8">
        <f>IF(ISERROR(VLOOKUP(F1337,#REF!,4,0)),0,VLOOKUP(F1337,#REF!,10,0)/60*K1337)</f>
        <v>0</v>
      </c>
      <c r="T1337" s="3"/>
      <c r="U1337" s="3"/>
      <c r="V1337" s="4"/>
    </row>
    <row r="1338" spans="1:22" x14ac:dyDescent="0.3">
      <c r="A1338" s="5">
        <f t="shared" si="61"/>
        <v>0</v>
      </c>
      <c r="B1338" s="6">
        <f t="shared" si="62"/>
        <v>0</v>
      </c>
      <c r="K1338" s="18">
        <f t="shared" si="60"/>
        <v>0</v>
      </c>
      <c r="L1338" s="21">
        <f>IF(ISERROR(VLOOKUP($F1338,#REF!,6,0)*G1338/1000),0,VLOOKUP($F1338,#REF!,6,0)*G1338/1000)</f>
        <v>0</v>
      </c>
      <c r="M1338" s="21">
        <f>IF(ISERROR(VLOOKUP($F1338,#REF!,6,0)*H1338/1000),0,VLOOKUP($F1338,#REF!,6,0)*H1338/1000)</f>
        <v>0</v>
      </c>
      <c r="N1338" s="21">
        <f>IF(ISERROR(VLOOKUP($F1338,#REF!,6,0)*I1338/1000),0,VLOOKUP($F1338,#REF!,6,0)*I1338/1000)</f>
        <v>0</v>
      </c>
      <c r="O1338" s="21">
        <f>IF(ISERROR(VLOOKUP($F1338,#REF!,6,0)*J1338/1000),0,VLOOKUP($F1338,#REF!,6,0)*J1338/1000)</f>
        <v>0</v>
      </c>
      <c r="P1338" s="21">
        <f>IF(ISERROR(VLOOKUP(F1338,#REF!,6,0)*K1338/1000),0,VLOOKUP(F1338,#REF!,6,0)*K1338/1000)</f>
        <v>0</v>
      </c>
      <c r="Q1338" s="6">
        <f>IF(ISERROR(VLOOKUP(F1338,#REF!,3,0)),0,VLOOKUP(F1338,#REF!,3,0))</f>
        <v>0</v>
      </c>
      <c r="R1338" s="6">
        <f>IF(ISERROR(VLOOKUP(F1338,#REF!,4,0)),0,VLOOKUP(F1338,#REF!,4,0))</f>
        <v>0</v>
      </c>
      <c r="S1338" s="8">
        <f>IF(ISERROR(VLOOKUP(F1338,#REF!,4,0)),0,VLOOKUP(F1338,#REF!,10,0)/60*K1338)</f>
        <v>0</v>
      </c>
      <c r="T1338" s="3"/>
      <c r="U1338" s="3"/>
      <c r="V1338" s="4"/>
    </row>
    <row r="1339" spans="1:22" x14ac:dyDescent="0.3">
      <c r="A1339" s="5">
        <f t="shared" si="61"/>
        <v>0</v>
      </c>
      <c r="B1339" s="6">
        <f t="shared" si="62"/>
        <v>0</v>
      </c>
      <c r="K1339" s="18">
        <f t="shared" si="60"/>
        <v>0</v>
      </c>
      <c r="L1339" s="21">
        <f>IF(ISERROR(VLOOKUP($F1339,#REF!,6,0)*G1339/1000),0,VLOOKUP($F1339,#REF!,6,0)*G1339/1000)</f>
        <v>0</v>
      </c>
      <c r="M1339" s="21">
        <f>IF(ISERROR(VLOOKUP($F1339,#REF!,6,0)*H1339/1000),0,VLOOKUP($F1339,#REF!,6,0)*H1339/1000)</f>
        <v>0</v>
      </c>
      <c r="N1339" s="21">
        <f>IF(ISERROR(VLOOKUP($F1339,#REF!,6,0)*I1339/1000),0,VLOOKUP($F1339,#REF!,6,0)*I1339/1000)</f>
        <v>0</v>
      </c>
      <c r="O1339" s="21">
        <f>IF(ISERROR(VLOOKUP($F1339,#REF!,6,0)*J1339/1000),0,VLOOKUP($F1339,#REF!,6,0)*J1339/1000)</f>
        <v>0</v>
      </c>
      <c r="P1339" s="21">
        <f>IF(ISERROR(VLOOKUP(F1339,#REF!,6,0)*K1339/1000),0,VLOOKUP(F1339,#REF!,6,0)*K1339/1000)</f>
        <v>0</v>
      </c>
      <c r="Q1339" s="6">
        <f>IF(ISERROR(VLOOKUP(F1339,#REF!,3,0)),0,VLOOKUP(F1339,#REF!,3,0))</f>
        <v>0</v>
      </c>
      <c r="R1339" s="6">
        <f>IF(ISERROR(VLOOKUP(F1339,#REF!,4,0)),0,VLOOKUP(F1339,#REF!,4,0))</f>
        <v>0</v>
      </c>
      <c r="S1339" s="8">
        <f>IF(ISERROR(VLOOKUP(F1339,#REF!,4,0)),0,VLOOKUP(F1339,#REF!,10,0)/60*K1339)</f>
        <v>0</v>
      </c>
      <c r="T1339" s="3"/>
      <c r="U1339" s="3"/>
      <c r="V1339" s="4"/>
    </row>
    <row r="1340" spans="1:22" x14ac:dyDescent="0.3">
      <c r="A1340" s="5">
        <f t="shared" si="61"/>
        <v>0</v>
      </c>
      <c r="B1340" s="6">
        <f t="shared" si="62"/>
        <v>0</v>
      </c>
      <c r="K1340" s="18">
        <f t="shared" si="60"/>
        <v>0</v>
      </c>
      <c r="L1340" s="21">
        <f>IF(ISERROR(VLOOKUP($F1340,#REF!,6,0)*G1340/1000),0,VLOOKUP($F1340,#REF!,6,0)*G1340/1000)</f>
        <v>0</v>
      </c>
      <c r="M1340" s="21">
        <f>IF(ISERROR(VLOOKUP($F1340,#REF!,6,0)*H1340/1000),0,VLOOKUP($F1340,#REF!,6,0)*H1340/1000)</f>
        <v>0</v>
      </c>
      <c r="N1340" s="21">
        <f>IF(ISERROR(VLOOKUP($F1340,#REF!,6,0)*I1340/1000),0,VLOOKUP($F1340,#REF!,6,0)*I1340/1000)</f>
        <v>0</v>
      </c>
      <c r="O1340" s="21">
        <f>IF(ISERROR(VLOOKUP($F1340,#REF!,6,0)*J1340/1000),0,VLOOKUP($F1340,#REF!,6,0)*J1340/1000)</f>
        <v>0</v>
      </c>
      <c r="P1340" s="21">
        <f>IF(ISERROR(VLOOKUP(F1340,#REF!,6,0)*K1340/1000),0,VLOOKUP(F1340,#REF!,6,0)*K1340/1000)</f>
        <v>0</v>
      </c>
      <c r="Q1340" s="6">
        <f>IF(ISERROR(VLOOKUP(F1340,#REF!,3,0)),0,VLOOKUP(F1340,#REF!,3,0))</f>
        <v>0</v>
      </c>
      <c r="R1340" s="6">
        <f>IF(ISERROR(VLOOKUP(F1340,#REF!,4,0)),0,VLOOKUP(F1340,#REF!,4,0))</f>
        <v>0</v>
      </c>
      <c r="S1340" s="8">
        <f>IF(ISERROR(VLOOKUP(F1340,#REF!,4,0)),0,VLOOKUP(F1340,#REF!,10,0)/60*K1340)</f>
        <v>0</v>
      </c>
      <c r="T1340" s="3"/>
      <c r="U1340" s="3"/>
      <c r="V1340" s="4"/>
    </row>
    <row r="1341" spans="1:22" x14ac:dyDescent="0.3">
      <c r="A1341" s="5">
        <f t="shared" si="61"/>
        <v>0</v>
      </c>
      <c r="B1341" s="6">
        <f t="shared" si="62"/>
        <v>0</v>
      </c>
      <c r="K1341" s="18">
        <f t="shared" si="60"/>
        <v>0</v>
      </c>
      <c r="L1341" s="21">
        <f>IF(ISERROR(VLOOKUP($F1341,#REF!,6,0)*G1341/1000),0,VLOOKUP($F1341,#REF!,6,0)*G1341/1000)</f>
        <v>0</v>
      </c>
      <c r="M1341" s="21">
        <f>IF(ISERROR(VLOOKUP($F1341,#REF!,6,0)*H1341/1000),0,VLOOKUP($F1341,#REF!,6,0)*H1341/1000)</f>
        <v>0</v>
      </c>
      <c r="N1341" s="21">
        <f>IF(ISERROR(VLOOKUP($F1341,#REF!,6,0)*I1341/1000),0,VLOOKUP($F1341,#REF!,6,0)*I1341/1000)</f>
        <v>0</v>
      </c>
      <c r="O1341" s="21">
        <f>IF(ISERROR(VLOOKUP($F1341,#REF!,6,0)*J1341/1000),0,VLOOKUP($F1341,#REF!,6,0)*J1341/1000)</f>
        <v>0</v>
      </c>
      <c r="P1341" s="21">
        <f>IF(ISERROR(VLOOKUP(F1341,#REF!,6,0)*K1341/1000),0,VLOOKUP(F1341,#REF!,6,0)*K1341/1000)</f>
        <v>0</v>
      </c>
      <c r="Q1341" s="6">
        <f>IF(ISERROR(VLOOKUP(F1341,#REF!,3,0)),0,VLOOKUP(F1341,#REF!,3,0))</f>
        <v>0</v>
      </c>
      <c r="R1341" s="6">
        <f>IF(ISERROR(VLOOKUP(F1341,#REF!,4,0)),0,VLOOKUP(F1341,#REF!,4,0))</f>
        <v>0</v>
      </c>
      <c r="S1341" s="8">
        <f>IF(ISERROR(VLOOKUP(F1341,#REF!,4,0)),0,VLOOKUP(F1341,#REF!,10,0)/60*K1341)</f>
        <v>0</v>
      </c>
      <c r="T1341" s="3"/>
      <c r="U1341" s="3"/>
      <c r="V1341" s="4"/>
    </row>
    <row r="1342" spans="1:22" x14ac:dyDescent="0.3">
      <c r="A1342" s="5">
        <f t="shared" si="61"/>
        <v>0</v>
      </c>
      <c r="B1342" s="6">
        <f t="shared" si="62"/>
        <v>0</v>
      </c>
      <c r="K1342" s="18">
        <f t="shared" si="60"/>
        <v>0</v>
      </c>
      <c r="L1342" s="21">
        <f>IF(ISERROR(VLOOKUP($F1342,#REF!,6,0)*G1342/1000),0,VLOOKUP($F1342,#REF!,6,0)*G1342/1000)</f>
        <v>0</v>
      </c>
      <c r="M1342" s="21">
        <f>IF(ISERROR(VLOOKUP($F1342,#REF!,6,0)*H1342/1000),0,VLOOKUP($F1342,#REF!,6,0)*H1342/1000)</f>
        <v>0</v>
      </c>
      <c r="N1342" s="21">
        <f>IF(ISERROR(VLOOKUP($F1342,#REF!,6,0)*I1342/1000),0,VLOOKUP($F1342,#REF!,6,0)*I1342/1000)</f>
        <v>0</v>
      </c>
      <c r="O1342" s="21">
        <f>IF(ISERROR(VLOOKUP($F1342,#REF!,6,0)*J1342/1000),0,VLOOKUP($F1342,#REF!,6,0)*J1342/1000)</f>
        <v>0</v>
      </c>
      <c r="P1342" s="21">
        <f>IF(ISERROR(VLOOKUP(F1342,#REF!,6,0)*K1342/1000),0,VLOOKUP(F1342,#REF!,6,0)*K1342/1000)</f>
        <v>0</v>
      </c>
      <c r="Q1342" s="6">
        <f>IF(ISERROR(VLOOKUP(F1342,#REF!,3,0)),0,VLOOKUP(F1342,#REF!,3,0))</f>
        <v>0</v>
      </c>
      <c r="R1342" s="6">
        <f>IF(ISERROR(VLOOKUP(F1342,#REF!,4,0)),0,VLOOKUP(F1342,#REF!,4,0))</f>
        <v>0</v>
      </c>
      <c r="S1342" s="8">
        <f>IF(ISERROR(VLOOKUP(F1342,#REF!,4,0)),0,VLOOKUP(F1342,#REF!,10,0)/60*K1342)</f>
        <v>0</v>
      </c>
      <c r="T1342" s="3"/>
      <c r="U1342" s="3"/>
      <c r="V1342" s="4"/>
    </row>
    <row r="1343" spans="1:22" x14ac:dyDescent="0.3">
      <c r="A1343" s="5">
        <f t="shared" si="61"/>
        <v>0</v>
      </c>
      <c r="B1343" s="6">
        <f t="shared" si="62"/>
        <v>0</v>
      </c>
      <c r="K1343" s="18">
        <f t="shared" si="60"/>
        <v>0</v>
      </c>
      <c r="L1343" s="21">
        <f>IF(ISERROR(VLOOKUP($F1343,#REF!,6,0)*G1343/1000),0,VLOOKUP($F1343,#REF!,6,0)*G1343/1000)</f>
        <v>0</v>
      </c>
      <c r="M1343" s="21">
        <f>IF(ISERROR(VLOOKUP($F1343,#REF!,6,0)*H1343/1000),0,VLOOKUP($F1343,#REF!,6,0)*H1343/1000)</f>
        <v>0</v>
      </c>
      <c r="N1343" s="21">
        <f>IF(ISERROR(VLOOKUP($F1343,#REF!,6,0)*I1343/1000),0,VLOOKUP($F1343,#REF!,6,0)*I1343/1000)</f>
        <v>0</v>
      </c>
      <c r="O1343" s="21">
        <f>IF(ISERROR(VLOOKUP($F1343,#REF!,6,0)*J1343/1000),0,VLOOKUP($F1343,#REF!,6,0)*J1343/1000)</f>
        <v>0</v>
      </c>
      <c r="P1343" s="21">
        <f>IF(ISERROR(VLOOKUP(F1343,#REF!,6,0)*K1343/1000),0,VLOOKUP(F1343,#REF!,6,0)*K1343/1000)</f>
        <v>0</v>
      </c>
      <c r="Q1343" s="6">
        <f>IF(ISERROR(VLOOKUP(F1343,#REF!,3,0)),0,VLOOKUP(F1343,#REF!,3,0))</f>
        <v>0</v>
      </c>
      <c r="R1343" s="6">
        <f>IF(ISERROR(VLOOKUP(F1343,#REF!,4,0)),0,VLOOKUP(F1343,#REF!,4,0))</f>
        <v>0</v>
      </c>
      <c r="S1343" s="8">
        <f>IF(ISERROR(VLOOKUP(F1343,#REF!,4,0)),0,VLOOKUP(F1343,#REF!,10,0)/60*K1343)</f>
        <v>0</v>
      </c>
      <c r="T1343" s="3"/>
      <c r="U1343" s="3"/>
      <c r="V1343" s="4"/>
    </row>
    <row r="1344" spans="1:22" x14ac:dyDescent="0.3">
      <c r="A1344" s="5">
        <f t="shared" si="61"/>
        <v>0</v>
      </c>
      <c r="B1344" s="6">
        <f t="shared" si="62"/>
        <v>0</v>
      </c>
      <c r="K1344" s="18">
        <f t="shared" si="60"/>
        <v>0</v>
      </c>
      <c r="L1344" s="21">
        <f>IF(ISERROR(VLOOKUP($F1344,#REF!,6,0)*G1344/1000),0,VLOOKUP($F1344,#REF!,6,0)*G1344/1000)</f>
        <v>0</v>
      </c>
      <c r="M1344" s="21">
        <f>IF(ISERROR(VLOOKUP($F1344,#REF!,6,0)*H1344/1000),0,VLOOKUP($F1344,#REF!,6,0)*H1344/1000)</f>
        <v>0</v>
      </c>
      <c r="N1344" s="21">
        <f>IF(ISERROR(VLOOKUP($F1344,#REF!,6,0)*I1344/1000),0,VLOOKUP($F1344,#REF!,6,0)*I1344/1000)</f>
        <v>0</v>
      </c>
      <c r="O1344" s="21">
        <f>IF(ISERROR(VLOOKUP($F1344,#REF!,6,0)*J1344/1000),0,VLOOKUP($F1344,#REF!,6,0)*J1344/1000)</f>
        <v>0</v>
      </c>
      <c r="P1344" s="21">
        <f>IF(ISERROR(VLOOKUP(F1344,#REF!,6,0)*K1344/1000),0,VLOOKUP(F1344,#REF!,6,0)*K1344/1000)</f>
        <v>0</v>
      </c>
      <c r="Q1344" s="6">
        <f>IF(ISERROR(VLOOKUP(F1344,#REF!,3,0)),0,VLOOKUP(F1344,#REF!,3,0))</f>
        <v>0</v>
      </c>
      <c r="R1344" s="6">
        <f>IF(ISERROR(VLOOKUP(F1344,#REF!,4,0)),0,VLOOKUP(F1344,#REF!,4,0))</f>
        <v>0</v>
      </c>
      <c r="S1344" s="8">
        <f>IF(ISERROR(VLOOKUP(F1344,#REF!,4,0)),0,VLOOKUP(F1344,#REF!,10,0)/60*K1344)</f>
        <v>0</v>
      </c>
      <c r="T1344" s="3"/>
      <c r="U1344" s="3"/>
      <c r="V1344" s="4"/>
    </row>
    <row r="1345" spans="1:22" x14ac:dyDescent="0.3">
      <c r="A1345" s="5">
        <f t="shared" si="61"/>
        <v>0</v>
      </c>
      <c r="B1345" s="6">
        <f t="shared" si="62"/>
        <v>0</v>
      </c>
      <c r="K1345" s="18">
        <f t="shared" si="60"/>
        <v>0</v>
      </c>
      <c r="L1345" s="21">
        <f>IF(ISERROR(VLOOKUP($F1345,#REF!,6,0)*G1345/1000),0,VLOOKUP($F1345,#REF!,6,0)*G1345/1000)</f>
        <v>0</v>
      </c>
      <c r="M1345" s="21">
        <f>IF(ISERROR(VLOOKUP($F1345,#REF!,6,0)*H1345/1000),0,VLOOKUP($F1345,#REF!,6,0)*H1345/1000)</f>
        <v>0</v>
      </c>
      <c r="N1345" s="21">
        <f>IF(ISERROR(VLOOKUP($F1345,#REF!,6,0)*I1345/1000),0,VLOOKUP($F1345,#REF!,6,0)*I1345/1000)</f>
        <v>0</v>
      </c>
      <c r="O1345" s="21">
        <f>IF(ISERROR(VLOOKUP($F1345,#REF!,6,0)*J1345/1000),0,VLOOKUP($F1345,#REF!,6,0)*J1345/1000)</f>
        <v>0</v>
      </c>
      <c r="P1345" s="21">
        <f>IF(ISERROR(VLOOKUP(F1345,#REF!,6,0)*K1345/1000),0,VLOOKUP(F1345,#REF!,6,0)*K1345/1000)</f>
        <v>0</v>
      </c>
      <c r="Q1345" s="6">
        <f>IF(ISERROR(VLOOKUP(F1345,#REF!,3,0)),0,VLOOKUP(F1345,#REF!,3,0))</f>
        <v>0</v>
      </c>
      <c r="R1345" s="6">
        <f>IF(ISERROR(VLOOKUP(F1345,#REF!,4,0)),0,VLOOKUP(F1345,#REF!,4,0))</f>
        <v>0</v>
      </c>
      <c r="S1345" s="8">
        <f>IF(ISERROR(VLOOKUP(F1345,#REF!,4,0)),0,VLOOKUP(F1345,#REF!,10,0)/60*K1345)</f>
        <v>0</v>
      </c>
      <c r="T1345" s="3"/>
      <c r="U1345" s="3"/>
      <c r="V1345" s="4"/>
    </row>
    <row r="1346" spans="1:22" x14ac:dyDescent="0.3">
      <c r="A1346" s="5">
        <f t="shared" si="61"/>
        <v>0</v>
      </c>
      <c r="B1346" s="6">
        <f t="shared" si="62"/>
        <v>0</v>
      </c>
      <c r="K1346" s="18">
        <f t="shared" si="60"/>
        <v>0</v>
      </c>
      <c r="L1346" s="21">
        <f>IF(ISERROR(VLOOKUP($F1346,#REF!,6,0)*G1346/1000),0,VLOOKUP($F1346,#REF!,6,0)*G1346/1000)</f>
        <v>0</v>
      </c>
      <c r="M1346" s="21">
        <f>IF(ISERROR(VLOOKUP($F1346,#REF!,6,0)*H1346/1000),0,VLOOKUP($F1346,#REF!,6,0)*H1346/1000)</f>
        <v>0</v>
      </c>
      <c r="N1346" s="21">
        <f>IF(ISERROR(VLOOKUP($F1346,#REF!,6,0)*I1346/1000),0,VLOOKUP($F1346,#REF!,6,0)*I1346/1000)</f>
        <v>0</v>
      </c>
      <c r="O1346" s="21">
        <f>IF(ISERROR(VLOOKUP($F1346,#REF!,6,0)*J1346/1000),0,VLOOKUP($F1346,#REF!,6,0)*J1346/1000)</f>
        <v>0</v>
      </c>
      <c r="P1346" s="21">
        <f>IF(ISERROR(VLOOKUP(F1346,#REF!,6,0)*K1346/1000),0,VLOOKUP(F1346,#REF!,6,0)*K1346/1000)</f>
        <v>0</v>
      </c>
      <c r="Q1346" s="6">
        <f>IF(ISERROR(VLOOKUP(F1346,#REF!,3,0)),0,VLOOKUP(F1346,#REF!,3,0))</f>
        <v>0</v>
      </c>
      <c r="R1346" s="6">
        <f>IF(ISERROR(VLOOKUP(F1346,#REF!,4,0)),0,VLOOKUP(F1346,#REF!,4,0))</f>
        <v>0</v>
      </c>
      <c r="S1346" s="8">
        <f>IF(ISERROR(VLOOKUP(F1346,#REF!,4,0)),0,VLOOKUP(F1346,#REF!,10,0)/60*K1346)</f>
        <v>0</v>
      </c>
      <c r="T1346" s="3"/>
      <c r="U1346" s="3"/>
      <c r="V1346" s="4"/>
    </row>
    <row r="1347" spans="1:22" x14ac:dyDescent="0.3">
      <c r="A1347" s="5">
        <f t="shared" si="61"/>
        <v>0</v>
      </c>
      <c r="B1347" s="6">
        <f t="shared" si="62"/>
        <v>0</v>
      </c>
      <c r="K1347" s="18">
        <f t="shared" si="60"/>
        <v>0</v>
      </c>
      <c r="L1347" s="21">
        <f>IF(ISERROR(VLOOKUP($F1347,#REF!,6,0)*G1347/1000),0,VLOOKUP($F1347,#REF!,6,0)*G1347/1000)</f>
        <v>0</v>
      </c>
      <c r="M1347" s="21">
        <f>IF(ISERROR(VLOOKUP($F1347,#REF!,6,0)*H1347/1000),0,VLOOKUP($F1347,#REF!,6,0)*H1347/1000)</f>
        <v>0</v>
      </c>
      <c r="N1347" s="21">
        <f>IF(ISERROR(VLOOKUP($F1347,#REF!,6,0)*I1347/1000),0,VLOOKUP($F1347,#REF!,6,0)*I1347/1000)</f>
        <v>0</v>
      </c>
      <c r="O1347" s="21">
        <f>IF(ISERROR(VLOOKUP($F1347,#REF!,6,0)*J1347/1000),0,VLOOKUP($F1347,#REF!,6,0)*J1347/1000)</f>
        <v>0</v>
      </c>
      <c r="P1347" s="21">
        <f>IF(ISERROR(VLOOKUP(F1347,#REF!,6,0)*K1347/1000),0,VLOOKUP(F1347,#REF!,6,0)*K1347/1000)</f>
        <v>0</v>
      </c>
      <c r="Q1347" s="6">
        <f>IF(ISERROR(VLOOKUP(F1347,#REF!,3,0)),0,VLOOKUP(F1347,#REF!,3,0))</f>
        <v>0</v>
      </c>
      <c r="R1347" s="6">
        <f>IF(ISERROR(VLOOKUP(F1347,#REF!,4,0)),0,VLOOKUP(F1347,#REF!,4,0))</f>
        <v>0</v>
      </c>
      <c r="S1347" s="8">
        <f>IF(ISERROR(VLOOKUP(F1347,#REF!,4,0)),0,VLOOKUP(F1347,#REF!,10,0)/60*K1347)</f>
        <v>0</v>
      </c>
      <c r="T1347" s="3"/>
      <c r="U1347" s="3"/>
      <c r="V1347" s="4"/>
    </row>
    <row r="1348" spans="1:22" x14ac:dyDescent="0.3">
      <c r="A1348" s="5">
        <f t="shared" si="61"/>
        <v>0</v>
      </c>
      <c r="B1348" s="6">
        <f t="shared" si="62"/>
        <v>0</v>
      </c>
      <c r="K1348" s="18">
        <f t="shared" ref="K1348:K1411" si="63">SUM(G1348:J1348)</f>
        <v>0</v>
      </c>
      <c r="L1348" s="21">
        <f>IF(ISERROR(VLOOKUP($F1348,#REF!,6,0)*G1348/1000),0,VLOOKUP($F1348,#REF!,6,0)*G1348/1000)</f>
        <v>0</v>
      </c>
      <c r="M1348" s="21">
        <f>IF(ISERROR(VLOOKUP($F1348,#REF!,6,0)*H1348/1000),0,VLOOKUP($F1348,#REF!,6,0)*H1348/1000)</f>
        <v>0</v>
      </c>
      <c r="N1348" s="21">
        <f>IF(ISERROR(VLOOKUP($F1348,#REF!,6,0)*I1348/1000),0,VLOOKUP($F1348,#REF!,6,0)*I1348/1000)</f>
        <v>0</v>
      </c>
      <c r="O1348" s="21">
        <f>IF(ISERROR(VLOOKUP($F1348,#REF!,6,0)*J1348/1000),0,VLOOKUP($F1348,#REF!,6,0)*J1348/1000)</f>
        <v>0</v>
      </c>
      <c r="P1348" s="21">
        <f>IF(ISERROR(VLOOKUP(F1348,#REF!,6,0)*K1348/1000),0,VLOOKUP(F1348,#REF!,6,0)*K1348/1000)</f>
        <v>0</v>
      </c>
      <c r="Q1348" s="6">
        <f>IF(ISERROR(VLOOKUP(F1348,#REF!,3,0)),0,VLOOKUP(F1348,#REF!,3,0))</f>
        <v>0</v>
      </c>
      <c r="R1348" s="6">
        <f>IF(ISERROR(VLOOKUP(F1348,#REF!,4,0)),0,VLOOKUP(F1348,#REF!,4,0))</f>
        <v>0</v>
      </c>
      <c r="S1348" s="8">
        <f>IF(ISERROR(VLOOKUP(F1348,#REF!,4,0)),0,VLOOKUP(F1348,#REF!,10,0)/60*K1348)</f>
        <v>0</v>
      </c>
      <c r="T1348" s="3"/>
      <c r="U1348" s="3"/>
      <c r="V1348" s="4"/>
    </row>
    <row r="1349" spans="1:22" x14ac:dyDescent="0.3">
      <c r="A1349" s="5">
        <f t="shared" ref="A1349:A1412" si="64">IF(C1349=0,0,YEAR(C1349))</f>
        <v>0</v>
      </c>
      <c r="B1349" s="6">
        <f t="shared" ref="B1349:B1412" si="65">IF(C1349&gt;0,VLOOKUP(MONTH($C1349),$AJ$3:$AK$14,2,0),0)</f>
        <v>0</v>
      </c>
      <c r="K1349" s="18">
        <f t="shared" si="63"/>
        <v>0</v>
      </c>
      <c r="L1349" s="21">
        <f>IF(ISERROR(VLOOKUP($F1349,#REF!,6,0)*G1349/1000),0,VLOOKUP($F1349,#REF!,6,0)*G1349/1000)</f>
        <v>0</v>
      </c>
      <c r="M1349" s="21">
        <f>IF(ISERROR(VLOOKUP($F1349,#REF!,6,0)*H1349/1000),0,VLOOKUP($F1349,#REF!,6,0)*H1349/1000)</f>
        <v>0</v>
      </c>
      <c r="N1349" s="21">
        <f>IF(ISERROR(VLOOKUP($F1349,#REF!,6,0)*I1349/1000),0,VLOOKUP($F1349,#REF!,6,0)*I1349/1000)</f>
        <v>0</v>
      </c>
      <c r="O1349" s="21">
        <f>IF(ISERROR(VLOOKUP($F1349,#REF!,6,0)*J1349/1000),0,VLOOKUP($F1349,#REF!,6,0)*J1349/1000)</f>
        <v>0</v>
      </c>
      <c r="P1349" s="21">
        <f>IF(ISERROR(VLOOKUP(F1349,#REF!,6,0)*K1349/1000),0,VLOOKUP(F1349,#REF!,6,0)*K1349/1000)</f>
        <v>0</v>
      </c>
      <c r="Q1349" s="6">
        <f>IF(ISERROR(VLOOKUP(F1349,#REF!,3,0)),0,VLOOKUP(F1349,#REF!,3,0))</f>
        <v>0</v>
      </c>
      <c r="R1349" s="6">
        <f>IF(ISERROR(VLOOKUP(F1349,#REF!,4,0)),0,VLOOKUP(F1349,#REF!,4,0))</f>
        <v>0</v>
      </c>
      <c r="S1349" s="8">
        <f>IF(ISERROR(VLOOKUP(F1349,#REF!,4,0)),0,VLOOKUP(F1349,#REF!,10,0)/60*K1349)</f>
        <v>0</v>
      </c>
      <c r="T1349" s="3"/>
      <c r="U1349" s="3"/>
      <c r="V1349" s="4"/>
    </row>
    <row r="1350" spans="1:22" x14ac:dyDescent="0.3">
      <c r="A1350" s="5">
        <f t="shared" si="64"/>
        <v>0</v>
      </c>
      <c r="B1350" s="6">
        <f t="shared" si="65"/>
        <v>0</v>
      </c>
      <c r="K1350" s="18">
        <f t="shared" si="63"/>
        <v>0</v>
      </c>
      <c r="L1350" s="21">
        <f>IF(ISERROR(VLOOKUP($F1350,#REF!,6,0)*G1350/1000),0,VLOOKUP($F1350,#REF!,6,0)*G1350/1000)</f>
        <v>0</v>
      </c>
      <c r="M1350" s="21">
        <f>IF(ISERROR(VLOOKUP($F1350,#REF!,6,0)*H1350/1000),0,VLOOKUP($F1350,#REF!,6,0)*H1350/1000)</f>
        <v>0</v>
      </c>
      <c r="N1350" s="21">
        <f>IF(ISERROR(VLOOKUP($F1350,#REF!,6,0)*I1350/1000),0,VLOOKUP($F1350,#REF!,6,0)*I1350/1000)</f>
        <v>0</v>
      </c>
      <c r="O1350" s="21">
        <f>IF(ISERROR(VLOOKUP($F1350,#REF!,6,0)*J1350/1000),0,VLOOKUP($F1350,#REF!,6,0)*J1350/1000)</f>
        <v>0</v>
      </c>
      <c r="P1350" s="21">
        <f>IF(ISERROR(VLOOKUP(F1350,#REF!,6,0)*K1350/1000),0,VLOOKUP(F1350,#REF!,6,0)*K1350/1000)</f>
        <v>0</v>
      </c>
      <c r="Q1350" s="6">
        <f>IF(ISERROR(VLOOKUP(F1350,#REF!,3,0)),0,VLOOKUP(F1350,#REF!,3,0))</f>
        <v>0</v>
      </c>
      <c r="R1350" s="6">
        <f>IF(ISERROR(VLOOKUP(F1350,#REF!,4,0)),0,VLOOKUP(F1350,#REF!,4,0))</f>
        <v>0</v>
      </c>
      <c r="S1350" s="8">
        <f>IF(ISERROR(VLOOKUP(F1350,#REF!,4,0)),0,VLOOKUP(F1350,#REF!,10,0)/60*K1350)</f>
        <v>0</v>
      </c>
      <c r="T1350" s="3"/>
      <c r="U1350" s="3"/>
      <c r="V1350" s="4"/>
    </row>
    <row r="1351" spans="1:22" x14ac:dyDescent="0.3">
      <c r="A1351" s="5">
        <f t="shared" si="64"/>
        <v>0</v>
      </c>
      <c r="B1351" s="6">
        <f t="shared" si="65"/>
        <v>0</v>
      </c>
      <c r="K1351" s="18">
        <f t="shared" si="63"/>
        <v>0</v>
      </c>
      <c r="L1351" s="21">
        <f>IF(ISERROR(VLOOKUP($F1351,#REF!,6,0)*G1351/1000),0,VLOOKUP($F1351,#REF!,6,0)*G1351/1000)</f>
        <v>0</v>
      </c>
      <c r="M1351" s="21">
        <f>IF(ISERROR(VLOOKUP($F1351,#REF!,6,0)*H1351/1000),0,VLOOKUP($F1351,#REF!,6,0)*H1351/1000)</f>
        <v>0</v>
      </c>
      <c r="N1351" s="21">
        <f>IF(ISERROR(VLOOKUP($F1351,#REF!,6,0)*I1351/1000),0,VLOOKUP($F1351,#REF!,6,0)*I1351/1000)</f>
        <v>0</v>
      </c>
      <c r="O1351" s="21">
        <f>IF(ISERROR(VLOOKUP($F1351,#REF!,6,0)*J1351/1000),0,VLOOKUP($F1351,#REF!,6,0)*J1351/1000)</f>
        <v>0</v>
      </c>
      <c r="P1351" s="21">
        <f>IF(ISERROR(VLOOKUP(F1351,#REF!,6,0)*K1351/1000),0,VLOOKUP(F1351,#REF!,6,0)*K1351/1000)</f>
        <v>0</v>
      </c>
      <c r="Q1351" s="6">
        <f>IF(ISERROR(VLOOKUP(F1351,#REF!,3,0)),0,VLOOKUP(F1351,#REF!,3,0))</f>
        <v>0</v>
      </c>
      <c r="R1351" s="6">
        <f>IF(ISERROR(VLOOKUP(F1351,#REF!,4,0)),0,VLOOKUP(F1351,#REF!,4,0))</f>
        <v>0</v>
      </c>
      <c r="S1351" s="8">
        <f>IF(ISERROR(VLOOKUP(F1351,#REF!,4,0)),0,VLOOKUP(F1351,#REF!,10,0)/60*K1351)</f>
        <v>0</v>
      </c>
      <c r="T1351" s="3"/>
      <c r="U1351" s="3"/>
      <c r="V1351" s="4"/>
    </row>
    <row r="1352" spans="1:22" x14ac:dyDescent="0.3">
      <c r="A1352" s="5">
        <f t="shared" si="64"/>
        <v>0</v>
      </c>
      <c r="B1352" s="6">
        <f t="shared" si="65"/>
        <v>0</v>
      </c>
      <c r="K1352" s="18">
        <f t="shared" si="63"/>
        <v>0</v>
      </c>
      <c r="L1352" s="21">
        <f>IF(ISERROR(VLOOKUP($F1352,#REF!,6,0)*G1352/1000),0,VLOOKUP($F1352,#REF!,6,0)*G1352/1000)</f>
        <v>0</v>
      </c>
      <c r="M1352" s="21">
        <f>IF(ISERROR(VLOOKUP($F1352,#REF!,6,0)*H1352/1000),0,VLOOKUP($F1352,#REF!,6,0)*H1352/1000)</f>
        <v>0</v>
      </c>
      <c r="N1352" s="21">
        <f>IF(ISERROR(VLOOKUP($F1352,#REF!,6,0)*I1352/1000),0,VLOOKUP($F1352,#REF!,6,0)*I1352/1000)</f>
        <v>0</v>
      </c>
      <c r="O1352" s="21">
        <f>IF(ISERROR(VLOOKUP($F1352,#REF!,6,0)*J1352/1000),0,VLOOKUP($F1352,#REF!,6,0)*J1352/1000)</f>
        <v>0</v>
      </c>
      <c r="P1352" s="21">
        <f>IF(ISERROR(VLOOKUP(F1352,#REF!,6,0)*K1352/1000),0,VLOOKUP(F1352,#REF!,6,0)*K1352/1000)</f>
        <v>0</v>
      </c>
      <c r="Q1352" s="6">
        <f>IF(ISERROR(VLOOKUP(F1352,#REF!,3,0)),0,VLOOKUP(F1352,#REF!,3,0))</f>
        <v>0</v>
      </c>
      <c r="R1352" s="6">
        <f>IF(ISERROR(VLOOKUP(F1352,#REF!,4,0)),0,VLOOKUP(F1352,#REF!,4,0))</f>
        <v>0</v>
      </c>
      <c r="S1352" s="8">
        <f>IF(ISERROR(VLOOKUP(F1352,#REF!,4,0)),0,VLOOKUP(F1352,#REF!,10,0)/60*K1352)</f>
        <v>0</v>
      </c>
      <c r="T1352" s="3"/>
      <c r="U1352" s="3"/>
      <c r="V1352" s="4"/>
    </row>
    <row r="1353" spans="1:22" x14ac:dyDescent="0.3">
      <c r="A1353" s="5">
        <f t="shared" si="64"/>
        <v>0</v>
      </c>
      <c r="B1353" s="6">
        <f t="shared" si="65"/>
        <v>0</v>
      </c>
      <c r="K1353" s="18">
        <f t="shared" si="63"/>
        <v>0</v>
      </c>
      <c r="L1353" s="21">
        <f>IF(ISERROR(VLOOKUP($F1353,#REF!,6,0)*G1353/1000),0,VLOOKUP($F1353,#REF!,6,0)*G1353/1000)</f>
        <v>0</v>
      </c>
      <c r="M1353" s="21">
        <f>IF(ISERROR(VLOOKUP($F1353,#REF!,6,0)*H1353/1000),0,VLOOKUP($F1353,#REF!,6,0)*H1353/1000)</f>
        <v>0</v>
      </c>
      <c r="N1353" s="21">
        <f>IF(ISERROR(VLOOKUP($F1353,#REF!,6,0)*I1353/1000),0,VLOOKUP($F1353,#REF!,6,0)*I1353/1000)</f>
        <v>0</v>
      </c>
      <c r="O1353" s="21">
        <f>IF(ISERROR(VLOOKUP($F1353,#REF!,6,0)*J1353/1000),0,VLOOKUP($F1353,#REF!,6,0)*J1353/1000)</f>
        <v>0</v>
      </c>
      <c r="P1353" s="21">
        <f>IF(ISERROR(VLOOKUP(F1353,#REF!,6,0)*K1353/1000),0,VLOOKUP(F1353,#REF!,6,0)*K1353/1000)</f>
        <v>0</v>
      </c>
      <c r="Q1353" s="6">
        <f>IF(ISERROR(VLOOKUP(F1353,#REF!,3,0)),0,VLOOKUP(F1353,#REF!,3,0))</f>
        <v>0</v>
      </c>
      <c r="R1353" s="6">
        <f>IF(ISERROR(VLOOKUP(F1353,#REF!,4,0)),0,VLOOKUP(F1353,#REF!,4,0))</f>
        <v>0</v>
      </c>
      <c r="S1353" s="8">
        <f>IF(ISERROR(VLOOKUP(F1353,#REF!,4,0)),0,VLOOKUP(F1353,#REF!,10,0)/60*K1353)</f>
        <v>0</v>
      </c>
      <c r="T1353" s="3"/>
      <c r="U1353" s="3"/>
      <c r="V1353" s="4"/>
    </row>
    <row r="1354" spans="1:22" x14ac:dyDescent="0.3">
      <c r="A1354" s="5">
        <f t="shared" si="64"/>
        <v>0</v>
      </c>
      <c r="B1354" s="6">
        <f t="shared" si="65"/>
        <v>0</v>
      </c>
      <c r="K1354" s="18">
        <f t="shared" si="63"/>
        <v>0</v>
      </c>
      <c r="L1354" s="21">
        <f>IF(ISERROR(VLOOKUP($F1354,#REF!,6,0)*G1354/1000),0,VLOOKUP($F1354,#REF!,6,0)*G1354/1000)</f>
        <v>0</v>
      </c>
      <c r="M1354" s="21">
        <f>IF(ISERROR(VLOOKUP($F1354,#REF!,6,0)*H1354/1000),0,VLOOKUP($F1354,#REF!,6,0)*H1354/1000)</f>
        <v>0</v>
      </c>
      <c r="N1354" s="21">
        <f>IF(ISERROR(VLOOKUP($F1354,#REF!,6,0)*I1354/1000),0,VLOOKUP($F1354,#REF!,6,0)*I1354/1000)</f>
        <v>0</v>
      </c>
      <c r="O1354" s="21">
        <f>IF(ISERROR(VLOOKUP($F1354,#REF!,6,0)*J1354/1000),0,VLOOKUP($F1354,#REF!,6,0)*J1354/1000)</f>
        <v>0</v>
      </c>
      <c r="P1354" s="21">
        <f>IF(ISERROR(VLOOKUP(F1354,#REF!,6,0)*K1354/1000),0,VLOOKUP(F1354,#REF!,6,0)*K1354/1000)</f>
        <v>0</v>
      </c>
      <c r="Q1354" s="6">
        <f>IF(ISERROR(VLOOKUP(F1354,#REF!,3,0)),0,VLOOKUP(F1354,#REF!,3,0))</f>
        <v>0</v>
      </c>
      <c r="R1354" s="6">
        <f>IF(ISERROR(VLOOKUP(F1354,#REF!,4,0)),0,VLOOKUP(F1354,#REF!,4,0))</f>
        <v>0</v>
      </c>
      <c r="S1354" s="8">
        <f>IF(ISERROR(VLOOKUP(F1354,#REF!,4,0)),0,VLOOKUP(F1354,#REF!,10,0)/60*K1354)</f>
        <v>0</v>
      </c>
      <c r="T1354" s="3"/>
      <c r="U1354" s="3"/>
      <c r="V1354" s="4"/>
    </row>
    <row r="1355" spans="1:22" x14ac:dyDescent="0.3">
      <c r="A1355" s="5">
        <f t="shared" si="64"/>
        <v>0</v>
      </c>
      <c r="B1355" s="6">
        <f t="shared" si="65"/>
        <v>0</v>
      </c>
      <c r="K1355" s="18">
        <f t="shared" si="63"/>
        <v>0</v>
      </c>
      <c r="L1355" s="21">
        <f>IF(ISERROR(VLOOKUP($F1355,#REF!,6,0)*G1355/1000),0,VLOOKUP($F1355,#REF!,6,0)*G1355/1000)</f>
        <v>0</v>
      </c>
      <c r="M1355" s="21">
        <f>IF(ISERROR(VLOOKUP($F1355,#REF!,6,0)*H1355/1000),0,VLOOKUP($F1355,#REF!,6,0)*H1355/1000)</f>
        <v>0</v>
      </c>
      <c r="N1355" s="21">
        <f>IF(ISERROR(VLOOKUP($F1355,#REF!,6,0)*I1355/1000),0,VLOOKUP($F1355,#REF!,6,0)*I1355/1000)</f>
        <v>0</v>
      </c>
      <c r="O1355" s="21">
        <f>IF(ISERROR(VLOOKUP($F1355,#REF!,6,0)*J1355/1000),0,VLOOKUP($F1355,#REF!,6,0)*J1355/1000)</f>
        <v>0</v>
      </c>
      <c r="P1355" s="21">
        <f>IF(ISERROR(VLOOKUP(F1355,#REF!,6,0)*K1355/1000),0,VLOOKUP(F1355,#REF!,6,0)*K1355/1000)</f>
        <v>0</v>
      </c>
      <c r="Q1355" s="6">
        <f>IF(ISERROR(VLOOKUP(F1355,#REF!,3,0)),0,VLOOKUP(F1355,#REF!,3,0))</f>
        <v>0</v>
      </c>
      <c r="R1355" s="6">
        <f>IF(ISERROR(VLOOKUP(F1355,#REF!,4,0)),0,VLOOKUP(F1355,#REF!,4,0))</f>
        <v>0</v>
      </c>
      <c r="S1355" s="8">
        <f>IF(ISERROR(VLOOKUP(F1355,#REF!,4,0)),0,VLOOKUP(F1355,#REF!,10,0)/60*K1355)</f>
        <v>0</v>
      </c>
      <c r="T1355" s="3"/>
      <c r="U1355" s="3"/>
      <c r="V1355" s="4"/>
    </row>
    <row r="1356" spans="1:22" x14ac:dyDescent="0.3">
      <c r="A1356" s="5">
        <f t="shared" si="64"/>
        <v>0</v>
      </c>
      <c r="B1356" s="6">
        <f t="shared" si="65"/>
        <v>0</v>
      </c>
      <c r="K1356" s="18">
        <f t="shared" si="63"/>
        <v>0</v>
      </c>
      <c r="L1356" s="21">
        <f>IF(ISERROR(VLOOKUP($F1356,#REF!,6,0)*G1356/1000),0,VLOOKUP($F1356,#REF!,6,0)*G1356/1000)</f>
        <v>0</v>
      </c>
      <c r="M1356" s="21">
        <f>IF(ISERROR(VLOOKUP($F1356,#REF!,6,0)*H1356/1000),0,VLOOKUP($F1356,#REF!,6,0)*H1356/1000)</f>
        <v>0</v>
      </c>
      <c r="N1356" s="21">
        <f>IF(ISERROR(VLOOKUP($F1356,#REF!,6,0)*I1356/1000),0,VLOOKUP($F1356,#REF!,6,0)*I1356/1000)</f>
        <v>0</v>
      </c>
      <c r="O1356" s="21">
        <f>IF(ISERROR(VLOOKUP($F1356,#REF!,6,0)*J1356/1000),0,VLOOKUP($F1356,#REF!,6,0)*J1356/1000)</f>
        <v>0</v>
      </c>
      <c r="P1356" s="21">
        <f>IF(ISERROR(VLOOKUP(F1356,#REF!,6,0)*K1356/1000),0,VLOOKUP(F1356,#REF!,6,0)*K1356/1000)</f>
        <v>0</v>
      </c>
      <c r="Q1356" s="6">
        <f>IF(ISERROR(VLOOKUP(F1356,#REF!,3,0)),0,VLOOKUP(F1356,#REF!,3,0))</f>
        <v>0</v>
      </c>
      <c r="R1356" s="6">
        <f>IF(ISERROR(VLOOKUP(F1356,#REF!,4,0)),0,VLOOKUP(F1356,#REF!,4,0))</f>
        <v>0</v>
      </c>
      <c r="S1356" s="8">
        <f>IF(ISERROR(VLOOKUP(F1356,#REF!,4,0)),0,VLOOKUP(F1356,#REF!,10,0)/60*K1356)</f>
        <v>0</v>
      </c>
      <c r="T1356" s="3"/>
      <c r="U1356" s="3"/>
      <c r="V1356" s="4"/>
    </row>
    <row r="1357" spans="1:22" x14ac:dyDescent="0.3">
      <c r="A1357" s="5">
        <f t="shared" si="64"/>
        <v>0</v>
      </c>
      <c r="B1357" s="6">
        <f t="shared" si="65"/>
        <v>0</v>
      </c>
      <c r="K1357" s="18">
        <f t="shared" si="63"/>
        <v>0</v>
      </c>
      <c r="L1357" s="21">
        <f>IF(ISERROR(VLOOKUP($F1357,#REF!,6,0)*G1357/1000),0,VLOOKUP($F1357,#REF!,6,0)*G1357/1000)</f>
        <v>0</v>
      </c>
      <c r="M1357" s="21">
        <f>IF(ISERROR(VLOOKUP($F1357,#REF!,6,0)*H1357/1000),0,VLOOKUP($F1357,#REF!,6,0)*H1357/1000)</f>
        <v>0</v>
      </c>
      <c r="N1357" s="21">
        <f>IF(ISERROR(VLOOKUP($F1357,#REF!,6,0)*I1357/1000),0,VLOOKUP($F1357,#REF!,6,0)*I1357/1000)</f>
        <v>0</v>
      </c>
      <c r="O1357" s="21">
        <f>IF(ISERROR(VLOOKUP($F1357,#REF!,6,0)*J1357/1000),0,VLOOKUP($F1357,#REF!,6,0)*J1357/1000)</f>
        <v>0</v>
      </c>
      <c r="P1357" s="21">
        <f>IF(ISERROR(VLOOKUP(F1357,#REF!,6,0)*K1357/1000),0,VLOOKUP(F1357,#REF!,6,0)*K1357/1000)</f>
        <v>0</v>
      </c>
      <c r="Q1357" s="6">
        <f>IF(ISERROR(VLOOKUP(F1357,#REF!,3,0)),0,VLOOKUP(F1357,#REF!,3,0))</f>
        <v>0</v>
      </c>
      <c r="R1357" s="6">
        <f>IF(ISERROR(VLOOKUP(F1357,#REF!,4,0)),0,VLOOKUP(F1357,#REF!,4,0))</f>
        <v>0</v>
      </c>
      <c r="S1357" s="8">
        <f>IF(ISERROR(VLOOKUP(F1357,#REF!,4,0)),0,VLOOKUP(F1357,#REF!,10,0)/60*K1357)</f>
        <v>0</v>
      </c>
      <c r="T1357" s="3"/>
      <c r="U1357" s="3"/>
      <c r="V1357" s="4"/>
    </row>
    <row r="1358" spans="1:22" x14ac:dyDescent="0.3">
      <c r="A1358" s="5">
        <f t="shared" si="64"/>
        <v>0</v>
      </c>
      <c r="B1358" s="6">
        <f t="shared" si="65"/>
        <v>0</v>
      </c>
      <c r="K1358" s="18">
        <f t="shared" si="63"/>
        <v>0</v>
      </c>
      <c r="L1358" s="21">
        <f>IF(ISERROR(VLOOKUP($F1358,#REF!,6,0)*G1358/1000),0,VLOOKUP($F1358,#REF!,6,0)*G1358/1000)</f>
        <v>0</v>
      </c>
      <c r="M1358" s="21">
        <f>IF(ISERROR(VLOOKUP($F1358,#REF!,6,0)*H1358/1000),0,VLOOKUP($F1358,#REF!,6,0)*H1358/1000)</f>
        <v>0</v>
      </c>
      <c r="N1358" s="21">
        <f>IF(ISERROR(VLOOKUP($F1358,#REF!,6,0)*I1358/1000),0,VLOOKUP($F1358,#REF!,6,0)*I1358/1000)</f>
        <v>0</v>
      </c>
      <c r="O1358" s="21">
        <f>IF(ISERROR(VLOOKUP($F1358,#REF!,6,0)*J1358/1000),0,VLOOKUP($F1358,#REF!,6,0)*J1358/1000)</f>
        <v>0</v>
      </c>
      <c r="P1358" s="21">
        <f>IF(ISERROR(VLOOKUP(F1358,#REF!,6,0)*K1358/1000),0,VLOOKUP(F1358,#REF!,6,0)*K1358/1000)</f>
        <v>0</v>
      </c>
      <c r="Q1358" s="6">
        <f>IF(ISERROR(VLOOKUP(F1358,#REF!,3,0)),0,VLOOKUP(F1358,#REF!,3,0))</f>
        <v>0</v>
      </c>
      <c r="R1358" s="6">
        <f>IF(ISERROR(VLOOKUP(F1358,#REF!,4,0)),0,VLOOKUP(F1358,#REF!,4,0))</f>
        <v>0</v>
      </c>
      <c r="S1358" s="8">
        <f>IF(ISERROR(VLOOKUP(F1358,#REF!,4,0)),0,VLOOKUP(F1358,#REF!,10,0)/60*K1358)</f>
        <v>0</v>
      </c>
      <c r="T1358" s="3"/>
      <c r="U1358" s="3"/>
      <c r="V1358" s="4"/>
    </row>
    <row r="1359" spans="1:22" x14ac:dyDescent="0.3">
      <c r="A1359" s="5">
        <f t="shared" si="64"/>
        <v>0</v>
      </c>
      <c r="B1359" s="6">
        <f t="shared" si="65"/>
        <v>0</v>
      </c>
      <c r="K1359" s="18">
        <f t="shared" si="63"/>
        <v>0</v>
      </c>
      <c r="L1359" s="21">
        <f>IF(ISERROR(VLOOKUP($F1359,#REF!,6,0)*G1359/1000),0,VLOOKUP($F1359,#REF!,6,0)*G1359/1000)</f>
        <v>0</v>
      </c>
      <c r="M1359" s="21">
        <f>IF(ISERROR(VLOOKUP($F1359,#REF!,6,0)*H1359/1000),0,VLOOKUP($F1359,#REF!,6,0)*H1359/1000)</f>
        <v>0</v>
      </c>
      <c r="N1359" s="21">
        <f>IF(ISERROR(VLOOKUP($F1359,#REF!,6,0)*I1359/1000),0,VLOOKUP($F1359,#REF!,6,0)*I1359/1000)</f>
        <v>0</v>
      </c>
      <c r="O1359" s="21">
        <f>IF(ISERROR(VLOOKUP($F1359,#REF!,6,0)*J1359/1000),0,VLOOKUP($F1359,#REF!,6,0)*J1359/1000)</f>
        <v>0</v>
      </c>
      <c r="P1359" s="21">
        <f>IF(ISERROR(VLOOKUP(F1359,#REF!,6,0)*K1359/1000),0,VLOOKUP(F1359,#REF!,6,0)*K1359/1000)</f>
        <v>0</v>
      </c>
      <c r="Q1359" s="6">
        <f>IF(ISERROR(VLOOKUP(F1359,#REF!,3,0)),0,VLOOKUP(F1359,#REF!,3,0))</f>
        <v>0</v>
      </c>
      <c r="R1359" s="6">
        <f>IF(ISERROR(VLOOKUP(F1359,#REF!,4,0)),0,VLOOKUP(F1359,#REF!,4,0))</f>
        <v>0</v>
      </c>
      <c r="S1359" s="8">
        <f>IF(ISERROR(VLOOKUP(F1359,#REF!,4,0)),0,VLOOKUP(F1359,#REF!,10,0)/60*K1359)</f>
        <v>0</v>
      </c>
      <c r="T1359" s="3"/>
      <c r="U1359" s="3"/>
      <c r="V1359" s="4"/>
    </row>
    <row r="1360" spans="1:22" x14ac:dyDescent="0.3">
      <c r="A1360" s="5">
        <f t="shared" si="64"/>
        <v>0</v>
      </c>
      <c r="B1360" s="6">
        <f t="shared" si="65"/>
        <v>0</v>
      </c>
      <c r="K1360" s="18">
        <f t="shared" si="63"/>
        <v>0</v>
      </c>
      <c r="L1360" s="21">
        <f>IF(ISERROR(VLOOKUP($F1360,#REF!,6,0)*G1360/1000),0,VLOOKUP($F1360,#REF!,6,0)*G1360/1000)</f>
        <v>0</v>
      </c>
      <c r="M1360" s="21">
        <f>IF(ISERROR(VLOOKUP($F1360,#REF!,6,0)*H1360/1000),0,VLOOKUP($F1360,#REF!,6,0)*H1360/1000)</f>
        <v>0</v>
      </c>
      <c r="N1360" s="21">
        <f>IF(ISERROR(VLOOKUP($F1360,#REF!,6,0)*I1360/1000),0,VLOOKUP($F1360,#REF!,6,0)*I1360/1000)</f>
        <v>0</v>
      </c>
      <c r="O1360" s="21">
        <f>IF(ISERROR(VLOOKUP($F1360,#REF!,6,0)*J1360/1000),0,VLOOKUP($F1360,#REF!,6,0)*J1360/1000)</f>
        <v>0</v>
      </c>
      <c r="P1360" s="21">
        <f>IF(ISERROR(VLOOKUP(F1360,#REF!,6,0)*K1360/1000),0,VLOOKUP(F1360,#REF!,6,0)*K1360/1000)</f>
        <v>0</v>
      </c>
      <c r="Q1360" s="6">
        <f>IF(ISERROR(VLOOKUP(F1360,#REF!,3,0)),0,VLOOKUP(F1360,#REF!,3,0))</f>
        <v>0</v>
      </c>
      <c r="R1360" s="6">
        <f>IF(ISERROR(VLOOKUP(F1360,#REF!,4,0)),0,VLOOKUP(F1360,#REF!,4,0))</f>
        <v>0</v>
      </c>
      <c r="S1360" s="8">
        <f>IF(ISERROR(VLOOKUP(F1360,#REF!,4,0)),0,VLOOKUP(F1360,#REF!,10,0)/60*K1360)</f>
        <v>0</v>
      </c>
      <c r="T1360" s="3"/>
      <c r="U1360" s="3"/>
      <c r="V1360" s="4"/>
    </row>
    <row r="1361" spans="1:22" x14ac:dyDescent="0.3">
      <c r="A1361" s="5">
        <f t="shared" si="64"/>
        <v>0</v>
      </c>
      <c r="B1361" s="6">
        <f t="shared" si="65"/>
        <v>0</v>
      </c>
      <c r="K1361" s="18">
        <f t="shared" si="63"/>
        <v>0</v>
      </c>
      <c r="L1361" s="21">
        <f>IF(ISERROR(VLOOKUP($F1361,#REF!,6,0)*G1361/1000),0,VLOOKUP($F1361,#REF!,6,0)*G1361/1000)</f>
        <v>0</v>
      </c>
      <c r="M1361" s="21">
        <f>IF(ISERROR(VLOOKUP($F1361,#REF!,6,0)*H1361/1000),0,VLOOKUP($F1361,#REF!,6,0)*H1361/1000)</f>
        <v>0</v>
      </c>
      <c r="N1361" s="21">
        <f>IF(ISERROR(VLOOKUP($F1361,#REF!,6,0)*I1361/1000),0,VLOOKUP($F1361,#REF!,6,0)*I1361/1000)</f>
        <v>0</v>
      </c>
      <c r="O1361" s="21">
        <f>IF(ISERROR(VLOOKUP($F1361,#REF!,6,0)*J1361/1000),0,VLOOKUP($F1361,#REF!,6,0)*J1361/1000)</f>
        <v>0</v>
      </c>
      <c r="P1361" s="21">
        <f>IF(ISERROR(VLOOKUP(F1361,#REF!,6,0)*K1361/1000),0,VLOOKUP(F1361,#REF!,6,0)*K1361/1000)</f>
        <v>0</v>
      </c>
      <c r="Q1361" s="6">
        <f>IF(ISERROR(VLOOKUP(F1361,#REF!,3,0)),0,VLOOKUP(F1361,#REF!,3,0))</f>
        <v>0</v>
      </c>
      <c r="R1361" s="6">
        <f>IF(ISERROR(VLOOKUP(F1361,#REF!,4,0)),0,VLOOKUP(F1361,#REF!,4,0))</f>
        <v>0</v>
      </c>
      <c r="S1361" s="8">
        <f>IF(ISERROR(VLOOKUP(F1361,#REF!,4,0)),0,VLOOKUP(F1361,#REF!,10,0)/60*K1361)</f>
        <v>0</v>
      </c>
      <c r="T1361" s="3"/>
      <c r="U1361" s="3"/>
      <c r="V1361" s="4"/>
    </row>
    <row r="1362" spans="1:22" x14ac:dyDescent="0.3">
      <c r="A1362" s="5">
        <f t="shared" si="64"/>
        <v>0</v>
      </c>
      <c r="B1362" s="6">
        <f t="shared" si="65"/>
        <v>0</v>
      </c>
      <c r="K1362" s="18">
        <f t="shared" si="63"/>
        <v>0</v>
      </c>
      <c r="L1362" s="21">
        <f>IF(ISERROR(VLOOKUP($F1362,#REF!,6,0)*G1362/1000),0,VLOOKUP($F1362,#REF!,6,0)*G1362/1000)</f>
        <v>0</v>
      </c>
      <c r="M1362" s="21">
        <f>IF(ISERROR(VLOOKUP($F1362,#REF!,6,0)*H1362/1000),0,VLOOKUP($F1362,#REF!,6,0)*H1362/1000)</f>
        <v>0</v>
      </c>
      <c r="N1362" s="21">
        <f>IF(ISERROR(VLOOKUP($F1362,#REF!,6,0)*I1362/1000),0,VLOOKUP($F1362,#REF!,6,0)*I1362/1000)</f>
        <v>0</v>
      </c>
      <c r="O1362" s="21">
        <f>IF(ISERROR(VLOOKUP($F1362,#REF!,6,0)*J1362/1000),0,VLOOKUP($F1362,#REF!,6,0)*J1362/1000)</f>
        <v>0</v>
      </c>
      <c r="P1362" s="21">
        <f>IF(ISERROR(VLOOKUP(F1362,#REF!,6,0)*K1362/1000),0,VLOOKUP(F1362,#REF!,6,0)*K1362/1000)</f>
        <v>0</v>
      </c>
      <c r="Q1362" s="6">
        <f>IF(ISERROR(VLOOKUP(F1362,#REF!,3,0)),0,VLOOKUP(F1362,#REF!,3,0))</f>
        <v>0</v>
      </c>
      <c r="R1362" s="6">
        <f>IF(ISERROR(VLOOKUP(F1362,#REF!,4,0)),0,VLOOKUP(F1362,#REF!,4,0))</f>
        <v>0</v>
      </c>
      <c r="S1362" s="8">
        <f>IF(ISERROR(VLOOKUP(F1362,#REF!,4,0)),0,VLOOKUP(F1362,#REF!,10,0)/60*K1362)</f>
        <v>0</v>
      </c>
      <c r="T1362" s="3"/>
      <c r="U1362" s="3"/>
      <c r="V1362" s="4"/>
    </row>
    <row r="1363" spans="1:22" x14ac:dyDescent="0.3">
      <c r="A1363" s="5">
        <f t="shared" si="64"/>
        <v>0</v>
      </c>
      <c r="B1363" s="6">
        <f t="shared" si="65"/>
        <v>0</v>
      </c>
      <c r="K1363" s="18">
        <f t="shared" si="63"/>
        <v>0</v>
      </c>
      <c r="L1363" s="21">
        <f>IF(ISERROR(VLOOKUP($F1363,#REF!,6,0)*G1363/1000),0,VLOOKUP($F1363,#REF!,6,0)*G1363/1000)</f>
        <v>0</v>
      </c>
      <c r="M1363" s="21">
        <f>IF(ISERROR(VLOOKUP($F1363,#REF!,6,0)*H1363/1000),0,VLOOKUP($F1363,#REF!,6,0)*H1363/1000)</f>
        <v>0</v>
      </c>
      <c r="N1363" s="21">
        <f>IF(ISERROR(VLOOKUP($F1363,#REF!,6,0)*I1363/1000),0,VLOOKUP($F1363,#REF!,6,0)*I1363/1000)</f>
        <v>0</v>
      </c>
      <c r="O1363" s="21">
        <f>IF(ISERROR(VLOOKUP($F1363,#REF!,6,0)*J1363/1000),0,VLOOKUP($F1363,#REF!,6,0)*J1363/1000)</f>
        <v>0</v>
      </c>
      <c r="P1363" s="21">
        <f>IF(ISERROR(VLOOKUP(F1363,#REF!,6,0)*K1363/1000),0,VLOOKUP(F1363,#REF!,6,0)*K1363/1000)</f>
        <v>0</v>
      </c>
      <c r="Q1363" s="6">
        <f>IF(ISERROR(VLOOKUP(F1363,#REF!,3,0)),0,VLOOKUP(F1363,#REF!,3,0))</f>
        <v>0</v>
      </c>
      <c r="R1363" s="6">
        <f>IF(ISERROR(VLOOKUP(F1363,#REF!,4,0)),0,VLOOKUP(F1363,#REF!,4,0))</f>
        <v>0</v>
      </c>
      <c r="S1363" s="8">
        <f>IF(ISERROR(VLOOKUP(F1363,#REF!,4,0)),0,VLOOKUP(F1363,#REF!,10,0)/60*K1363)</f>
        <v>0</v>
      </c>
      <c r="T1363" s="3"/>
      <c r="U1363" s="3"/>
      <c r="V1363" s="4"/>
    </row>
    <row r="1364" spans="1:22" x14ac:dyDescent="0.3">
      <c r="A1364" s="5">
        <f t="shared" si="64"/>
        <v>0</v>
      </c>
      <c r="B1364" s="6">
        <f t="shared" si="65"/>
        <v>0</v>
      </c>
      <c r="K1364" s="18">
        <f t="shared" si="63"/>
        <v>0</v>
      </c>
      <c r="L1364" s="21">
        <f>IF(ISERROR(VLOOKUP($F1364,#REF!,6,0)*G1364/1000),0,VLOOKUP($F1364,#REF!,6,0)*G1364/1000)</f>
        <v>0</v>
      </c>
      <c r="M1364" s="21">
        <f>IF(ISERROR(VLOOKUP($F1364,#REF!,6,0)*H1364/1000),0,VLOOKUP($F1364,#REF!,6,0)*H1364/1000)</f>
        <v>0</v>
      </c>
      <c r="N1364" s="21">
        <f>IF(ISERROR(VLOOKUP($F1364,#REF!,6,0)*I1364/1000),0,VLOOKUP($F1364,#REF!,6,0)*I1364/1000)</f>
        <v>0</v>
      </c>
      <c r="O1364" s="21">
        <f>IF(ISERROR(VLOOKUP($F1364,#REF!,6,0)*J1364/1000),0,VLOOKUP($F1364,#REF!,6,0)*J1364/1000)</f>
        <v>0</v>
      </c>
      <c r="P1364" s="21">
        <f>IF(ISERROR(VLOOKUP(F1364,#REF!,6,0)*K1364/1000),0,VLOOKUP(F1364,#REF!,6,0)*K1364/1000)</f>
        <v>0</v>
      </c>
      <c r="Q1364" s="6">
        <f>IF(ISERROR(VLOOKUP(F1364,#REF!,3,0)),0,VLOOKUP(F1364,#REF!,3,0))</f>
        <v>0</v>
      </c>
      <c r="R1364" s="6">
        <f>IF(ISERROR(VLOOKUP(F1364,#REF!,4,0)),0,VLOOKUP(F1364,#REF!,4,0))</f>
        <v>0</v>
      </c>
      <c r="S1364" s="8">
        <f>IF(ISERROR(VLOOKUP(F1364,#REF!,4,0)),0,VLOOKUP(F1364,#REF!,10,0)/60*K1364)</f>
        <v>0</v>
      </c>
      <c r="T1364" s="3"/>
      <c r="U1364" s="3"/>
      <c r="V1364" s="4"/>
    </row>
    <row r="1365" spans="1:22" x14ac:dyDescent="0.3">
      <c r="A1365" s="5">
        <f t="shared" si="64"/>
        <v>0</v>
      </c>
      <c r="B1365" s="6">
        <f t="shared" si="65"/>
        <v>0</v>
      </c>
      <c r="K1365" s="18">
        <f t="shared" si="63"/>
        <v>0</v>
      </c>
      <c r="L1365" s="21">
        <f>IF(ISERROR(VLOOKUP($F1365,#REF!,6,0)*G1365/1000),0,VLOOKUP($F1365,#REF!,6,0)*G1365/1000)</f>
        <v>0</v>
      </c>
      <c r="M1365" s="21">
        <f>IF(ISERROR(VLOOKUP($F1365,#REF!,6,0)*H1365/1000),0,VLOOKUP($F1365,#REF!,6,0)*H1365/1000)</f>
        <v>0</v>
      </c>
      <c r="N1365" s="21">
        <f>IF(ISERROR(VLOOKUP($F1365,#REF!,6,0)*I1365/1000),0,VLOOKUP($F1365,#REF!,6,0)*I1365/1000)</f>
        <v>0</v>
      </c>
      <c r="O1365" s="21">
        <f>IF(ISERROR(VLOOKUP($F1365,#REF!,6,0)*J1365/1000),0,VLOOKUP($F1365,#REF!,6,0)*J1365/1000)</f>
        <v>0</v>
      </c>
      <c r="P1365" s="21">
        <f>IF(ISERROR(VLOOKUP(F1365,#REF!,6,0)*K1365/1000),0,VLOOKUP(F1365,#REF!,6,0)*K1365/1000)</f>
        <v>0</v>
      </c>
      <c r="Q1365" s="6">
        <f>IF(ISERROR(VLOOKUP(F1365,#REF!,3,0)),0,VLOOKUP(F1365,#REF!,3,0))</f>
        <v>0</v>
      </c>
      <c r="R1365" s="6">
        <f>IF(ISERROR(VLOOKUP(F1365,#REF!,4,0)),0,VLOOKUP(F1365,#REF!,4,0))</f>
        <v>0</v>
      </c>
      <c r="S1365" s="8">
        <f>IF(ISERROR(VLOOKUP(F1365,#REF!,4,0)),0,VLOOKUP(F1365,#REF!,10,0)/60*K1365)</f>
        <v>0</v>
      </c>
      <c r="T1365" s="3"/>
      <c r="U1365" s="3"/>
      <c r="V1365" s="4"/>
    </row>
    <row r="1366" spans="1:22" x14ac:dyDescent="0.3">
      <c r="A1366" s="5">
        <f t="shared" si="64"/>
        <v>0</v>
      </c>
      <c r="B1366" s="6">
        <f t="shared" si="65"/>
        <v>0</v>
      </c>
      <c r="K1366" s="18">
        <f t="shared" si="63"/>
        <v>0</v>
      </c>
      <c r="L1366" s="21">
        <f>IF(ISERROR(VLOOKUP($F1366,#REF!,6,0)*G1366/1000),0,VLOOKUP($F1366,#REF!,6,0)*G1366/1000)</f>
        <v>0</v>
      </c>
      <c r="M1366" s="21">
        <f>IF(ISERROR(VLOOKUP($F1366,#REF!,6,0)*H1366/1000),0,VLOOKUP($F1366,#REF!,6,0)*H1366/1000)</f>
        <v>0</v>
      </c>
      <c r="N1366" s="21">
        <f>IF(ISERROR(VLOOKUP($F1366,#REF!,6,0)*I1366/1000),0,VLOOKUP($F1366,#REF!,6,0)*I1366/1000)</f>
        <v>0</v>
      </c>
      <c r="O1366" s="21">
        <f>IF(ISERROR(VLOOKUP($F1366,#REF!,6,0)*J1366/1000),0,VLOOKUP($F1366,#REF!,6,0)*J1366/1000)</f>
        <v>0</v>
      </c>
      <c r="P1366" s="21">
        <f>IF(ISERROR(VLOOKUP(F1366,#REF!,6,0)*K1366/1000),0,VLOOKUP(F1366,#REF!,6,0)*K1366/1000)</f>
        <v>0</v>
      </c>
      <c r="Q1366" s="6">
        <f>IF(ISERROR(VLOOKUP(F1366,#REF!,3,0)),0,VLOOKUP(F1366,#REF!,3,0))</f>
        <v>0</v>
      </c>
      <c r="R1366" s="6">
        <f>IF(ISERROR(VLOOKUP(F1366,#REF!,4,0)),0,VLOOKUP(F1366,#REF!,4,0))</f>
        <v>0</v>
      </c>
      <c r="S1366" s="8">
        <f>IF(ISERROR(VLOOKUP(F1366,#REF!,4,0)),0,VLOOKUP(F1366,#REF!,10,0)/60*K1366)</f>
        <v>0</v>
      </c>
      <c r="T1366" s="3"/>
      <c r="U1366" s="3"/>
      <c r="V1366" s="4"/>
    </row>
    <row r="1367" spans="1:22" x14ac:dyDescent="0.3">
      <c r="A1367" s="5">
        <f t="shared" si="64"/>
        <v>0</v>
      </c>
      <c r="B1367" s="6">
        <f t="shared" si="65"/>
        <v>0</v>
      </c>
      <c r="K1367" s="18">
        <f t="shared" si="63"/>
        <v>0</v>
      </c>
      <c r="L1367" s="21">
        <f>IF(ISERROR(VLOOKUP($F1367,#REF!,6,0)*G1367/1000),0,VLOOKUP($F1367,#REF!,6,0)*G1367/1000)</f>
        <v>0</v>
      </c>
      <c r="M1367" s="21">
        <f>IF(ISERROR(VLOOKUP($F1367,#REF!,6,0)*H1367/1000),0,VLOOKUP($F1367,#REF!,6,0)*H1367/1000)</f>
        <v>0</v>
      </c>
      <c r="N1367" s="21">
        <f>IF(ISERROR(VLOOKUP($F1367,#REF!,6,0)*I1367/1000),0,VLOOKUP($F1367,#REF!,6,0)*I1367/1000)</f>
        <v>0</v>
      </c>
      <c r="O1367" s="21">
        <f>IF(ISERROR(VLOOKUP($F1367,#REF!,6,0)*J1367/1000),0,VLOOKUP($F1367,#REF!,6,0)*J1367/1000)</f>
        <v>0</v>
      </c>
      <c r="P1367" s="21">
        <f>IF(ISERROR(VLOOKUP(F1367,#REF!,6,0)*K1367/1000),0,VLOOKUP(F1367,#REF!,6,0)*K1367/1000)</f>
        <v>0</v>
      </c>
      <c r="Q1367" s="6">
        <f>IF(ISERROR(VLOOKUP(F1367,#REF!,3,0)),0,VLOOKUP(F1367,#REF!,3,0))</f>
        <v>0</v>
      </c>
      <c r="R1367" s="6">
        <f>IF(ISERROR(VLOOKUP(F1367,#REF!,4,0)),0,VLOOKUP(F1367,#REF!,4,0))</f>
        <v>0</v>
      </c>
      <c r="S1367" s="8">
        <f>IF(ISERROR(VLOOKUP(F1367,#REF!,4,0)),0,VLOOKUP(F1367,#REF!,10,0)/60*K1367)</f>
        <v>0</v>
      </c>
      <c r="T1367" s="3"/>
      <c r="U1367" s="3"/>
      <c r="V1367" s="4"/>
    </row>
    <row r="1368" spans="1:22" x14ac:dyDescent="0.3">
      <c r="A1368" s="5">
        <f t="shared" si="64"/>
        <v>0</v>
      </c>
      <c r="B1368" s="6">
        <f t="shared" si="65"/>
        <v>0</v>
      </c>
      <c r="K1368" s="18">
        <f t="shared" si="63"/>
        <v>0</v>
      </c>
      <c r="L1368" s="21">
        <f>IF(ISERROR(VLOOKUP($F1368,#REF!,6,0)*G1368/1000),0,VLOOKUP($F1368,#REF!,6,0)*G1368/1000)</f>
        <v>0</v>
      </c>
      <c r="M1368" s="21">
        <f>IF(ISERROR(VLOOKUP($F1368,#REF!,6,0)*H1368/1000),0,VLOOKUP($F1368,#REF!,6,0)*H1368/1000)</f>
        <v>0</v>
      </c>
      <c r="N1368" s="21">
        <f>IF(ISERROR(VLOOKUP($F1368,#REF!,6,0)*I1368/1000),0,VLOOKUP($F1368,#REF!,6,0)*I1368/1000)</f>
        <v>0</v>
      </c>
      <c r="O1368" s="21">
        <f>IF(ISERROR(VLOOKUP($F1368,#REF!,6,0)*J1368/1000),0,VLOOKUP($F1368,#REF!,6,0)*J1368/1000)</f>
        <v>0</v>
      </c>
      <c r="P1368" s="21">
        <f>IF(ISERROR(VLOOKUP(F1368,#REF!,6,0)*K1368/1000),0,VLOOKUP(F1368,#REF!,6,0)*K1368/1000)</f>
        <v>0</v>
      </c>
      <c r="Q1368" s="6">
        <f>IF(ISERROR(VLOOKUP(F1368,#REF!,3,0)),0,VLOOKUP(F1368,#REF!,3,0))</f>
        <v>0</v>
      </c>
      <c r="R1368" s="6">
        <f>IF(ISERROR(VLOOKUP(F1368,#REF!,4,0)),0,VLOOKUP(F1368,#REF!,4,0))</f>
        <v>0</v>
      </c>
      <c r="S1368" s="8">
        <f>IF(ISERROR(VLOOKUP(F1368,#REF!,4,0)),0,VLOOKUP(F1368,#REF!,10,0)/60*K1368)</f>
        <v>0</v>
      </c>
      <c r="T1368" s="3"/>
      <c r="U1368" s="3"/>
      <c r="V1368" s="4"/>
    </row>
    <row r="1369" spans="1:22" x14ac:dyDescent="0.3">
      <c r="A1369" s="5">
        <f t="shared" si="64"/>
        <v>0</v>
      </c>
      <c r="B1369" s="6">
        <f t="shared" si="65"/>
        <v>0</v>
      </c>
      <c r="K1369" s="18">
        <f t="shared" si="63"/>
        <v>0</v>
      </c>
      <c r="L1369" s="21">
        <f>IF(ISERROR(VLOOKUP($F1369,#REF!,6,0)*G1369/1000),0,VLOOKUP($F1369,#REF!,6,0)*G1369/1000)</f>
        <v>0</v>
      </c>
      <c r="M1369" s="21">
        <f>IF(ISERROR(VLOOKUP($F1369,#REF!,6,0)*H1369/1000),0,VLOOKUP($F1369,#REF!,6,0)*H1369/1000)</f>
        <v>0</v>
      </c>
      <c r="N1369" s="21">
        <f>IF(ISERROR(VLOOKUP($F1369,#REF!,6,0)*I1369/1000),0,VLOOKUP($F1369,#REF!,6,0)*I1369/1000)</f>
        <v>0</v>
      </c>
      <c r="O1369" s="21">
        <f>IF(ISERROR(VLOOKUP($F1369,#REF!,6,0)*J1369/1000),0,VLOOKUP($F1369,#REF!,6,0)*J1369/1000)</f>
        <v>0</v>
      </c>
      <c r="P1369" s="21">
        <f>IF(ISERROR(VLOOKUP(F1369,#REF!,6,0)*K1369/1000),0,VLOOKUP(F1369,#REF!,6,0)*K1369/1000)</f>
        <v>0</v>
      </c>
      <c r="Q1369" s="6">
        <f>IF(ISERROR(VLOOKUP(F1369,#REF!,3,0)),0,VLOOKUP(F1369,#REF!,3,0))</f>
        <v>0</v>
      </c>
      <c r="R1369" s="6">
        <f>IF(ISERROR(VLOOKUP(F1369,#REF!,4,0)),0,VLOOKUP(F1369,#REF!,4,0))</f>
        <v>0</v>
      </c>
      <c r="S1369" s="8">
        <f>IF(ISERROR(VLOOKUP(F1369,#REF!,4,0)),0,VLOOKUP(F1369,#REF!,10,0)/60*K1369)</f>
        <v>0</v>
      </c>
      <c r="T1369" s="3"/>
      <c r="U1369" s="3"/>
      <c r="V1369" s="4"/>
    </row>
    <row r="1370" spans="1:22" x14ac:dyDescent="0.3">
      <c r="A1370" s="5">
        <f t="shared" si="64"/>
        <v>0</v>
      </c>
      <c r="B1370" s="6">
        <f t="shared" si="65"/>
        <v>0</v>
      </c>
      <c r="K1370" s="18">
        <f t="shared" si="63"/>
        <v>0</v>
      </c>
      <c r="L1370" s="21">
        <f>IF(ISERROR(VLOOKUP($F1370,#REF!,6,0)*G1370/1000),0,VLOOKUP($F1370,#REF!,6,0)*G1370/1000)</f>
        <v>0</v>
      </c>
      <c r="M1370" s="21">
        <f>IF(ISERROR(VLOOKUP($F1370,#REF!,6,0)*H1370/1000),0,VLOOKUP($F1370,#REF!,6,0)*H1370/1000)</f>
        <v>0</v>
      </c>
      <c r="N1370" s="21">
        <f>IF(ISERROR(VLOOKUP($F1370,#REF!,6,0)*I1370/1000),0,VLOOKUP($F1370,#REF!,6,0)*I1370/1000)</f>
        <v>0</v>
      </c>
      <c r="O1370" s="21">
        <f>IF(ISERROR(VLOOKUP($F1370,#REF!,6,0)*J1370/1000),0,VLOOKUP($F1370,#REF!,6,0)*J1370/1000)</f>
        <v>0</v>
      </c>
      <c r="P1370" s="21">
        <f>IF(ISERROR(VLOOKUP(F1370,#REF!,6,0)*K1370/1000),0,VLOOKUP(F1370,#REF!,6,0)*K1370/1000)</f>
        <v>0</v>
      </c>
      <c r="Q1370" s="6">
        <f>IF(ISERROR(VLOOKUP(F1370,#REF!,3,0)),0,VLOOKUP(F1370,#REF!,3,0))</f>
        <v>0</v>
      </c>
      <c r="R1370" s="6">
        <f>IF(ISERROR(VLOOKUP(F1370,#REF!,4,0)),0,VLOOKUP(F1370,#REF!,4,0))</f>
        <v>0</v>
      </c>
      <c r="S1370" s="8">
        <f>IF(ISERROR(VLOOKUP(F1370,#REF!,4,0)),0,VLOOKUP(F1370,#REF!,10,0)/60*K1370)</f>
        <v>0</v>
      </c>
      <c r="T1370" s="3"/>
      <c r="U1370" s="3"/>
      <c r="V1370" s="4"/>
    </row>
    <row r="1371" spans="1:22" x14ac:dyDescent="0.3">
      <c r="A1371" s="5">
        <f t="shared" si="64"/>
        <v>0</v>
      </c>
      <c r="B1371" s="6">
        <f t="shared" si="65"/>
        <v>0</v>
      </c>
      <c r="K1371" s="18">
        <f t="shared" si="63"/>
        <v>0</v>
      </c>
      <c r="L1371" s="21">
        <f>IF(ISERROR(VLOOKUP($F1371,#REF!,6,0)*G1371/1000),0,VLOOKUP($F1371,#REF!,6,0)*G1371/1000)</f>
        <v>0</v>
      </c>
      <c r="M1371" s="21">
        <f>IF(ISERROR(VLOOKUP($F1371,#REF!,6,0)*H1371/1000),0,VLOOKUP($F1371,#REF!,6,0)*H1371/1000)</f>
        <v>0</v>
      </c>
      <c r="N1371" s="21">
        <f>IF(ISERROR(VLOOKUP($F1371,#REF!,6,0)*I1371/1000),0,VLOOKUP($F1371,#REF!,6,0)*I1371/1000)</f>
        <v>0</v>
      </c>
      <c r="O1371" s="21">
        <f>IF(ISERROR(VLOOKUP($F1371,#REF!,6,0)*J1371/1000),0,VLOOKUP($F1371,#REF!,6,0)*J1371/1000)</f>
        <v>0</v>
      </c>
      <c r="P1371" s="21">
        <f>IF(ISERROR(VLOOKUP(F1371,#REF!,6,0)*K1371/1000),0,VLOOKUP(F1371,#REF!,6,0)*K1371/1000)</f>
        <v>0</v>
      </c>
      <c r="Q1371" s="6">
        <f>IF(ISERROR(VLOOKUP(F1371,#REF!,3,0)),0,VLOOKUP(F1371,#REF!,3,0))</f>
        <v>0</v>
      </c>
      <c r="R1371" s="6">
        <f>IF(ISERROR(VLOOKUP(F1371,#REF!,4,0)),0,VLOOKUP(F1371,#REF!,4,0))</f>
        <v>0</v>
      </c>
      <c r="S1371" s="8">
        <f>IF(ISERROR(VLOOKUP(F1371,#REF!,4,0)),0,VLOOKUP(F1371,#REF!,10,0)/60*K1371)</f>
        <v>0</v>
      </c>
      <c r="T1371" s="3"/>
      <c r="U1371" s="3"/>
      <c r="V1371" s="4"/>
    </row>
    <row r="1372" spans="1:22" x14ac:dyDescent="0.3">
      <c r="A1372" s="5">
        <f t="shared" si="64"/>
        <v>0</v>
      </c>
      <c r="B1372" s="6">
        <f t="shared" si="65"/>
        <v>0</v>
      </c>
      <c r="K1372" s="18">
        <f t="shared" si="63"/>
        <v>0</v>
      </c>
      <c r="L1372" s="21">
        <f>IF(ISERROR(VLOOKUP($F1372,#REF!,6,0)*G1372/1000),0,VLOOKUP($F1372,#REF!,6,0)*G1372/1000)</f>
        <v>0</v>
      </c>
      <c r="M1372" s="21">
        <f>IF(ISERROR(VLOOKUP($F1372,#REF!,6,0)*H1372/1000),0,VLOOKUP($F1372,#REF!,6,0)*H1372/1000)</f>
        <v>0</v>
      </c>
      <c r="N1372" s="21">
        <f>IF(ISERROR(VLOOKUP($F1372,#REF!,6,0)*I1372/1000),0,VLOOKUP($F1372,#REF!,6,0)*I1372/1000)</f>
        <v>0</v>
      </c>
      <c r="O1372" s="21">
        <f>IF(ISERROR(VLOOKUP($F1372,#REF!,6,0)*J1372/1000),0,VLOOKUP($F1372,#REF!,6,0)*J1372/1000)</f>
        <v>0</v>
      </c>
      <c r="P1372" s="21">
        <f>IF(ISERROR(VLOOKUP(F1372,#REF!,6,0)*K1372/1000),0,VLOOKUP(F1372,#REF!,6,0)*K1372/1000)</f>
        <v>0</v>
      </c>
      <c r="Q1372" s="6">
        <f>IF(ISERROR(VLOOKUP(F1372,#REF!,3,0)),0,VLOOKUP(F1372,#REF!,3,0))</f>
        <v>0</v>
      </c>
      <c r="R1372" s="6">
        <f>IF(ISERROR(VLOOKUP(F1372,#REF!,4,0)),0,VLOOKUP(F1372,#REF!,4,0))</f>
        <v>0</v>
      </c>
      <c r="S1372" s="8">
        <f>IF(ISERROR(VLOOKUP(F1372,#REF!,4,0)),0,VLOOKUP(F1372,#REF!,10,0)/60*K1372)</f>
        <v>0</v>
      </c>
      <c r="T1372" s="3"/>
      <c r="U1372" s="3"/>
      <c r="V1372" s="4"/>
    </row>
    <row r="1373" spans="1:22" x14ac:dyDescent="0.3">
      <c r="A1373" s="5">
        <f t="shared" si="64"/>
        <v>0</v>
      </c>
      <c r="B1373" s="6">
        <f t="shared" si="65"/>
        <v>0</v>
      </c>
      <c r="K1373" s="18">
        <f t="shared" si="63"/>
        <v>0</v>
      </c>
      <c r="L1373" s="21">
        <f>IF(ISERROR(VLOOKUP($F1373,#REF!,6,0)*G1373/1000),0,VLOOKUP($F1373,#REF!,6,0)*G1373/1000)</f>
        <v>0</v>
      </c>
      <c r="M1373" s="21">
        <f>IF(ISERROR(VLOOKUP($F1373,#REF!,6,0)*H1373/1000),0,VLOOKUP($F1373,#REF!,6,0)*H1373/1000)</f>
        <v>0</v>
      </c>
      <c r="N1373" s="21">
        <f>IF(ISERROR(VLOOKUP($F1373,#REF!,6,0)*I1373/1000),0,VLOOKUP($F1373,#REF!,6,0)*I1373/1000)</f>
        <v>0</v>
      </c>
      <c r="O1373" s="21">
        <f>IF(ISERROR(VLOOKUP($F1373,#REF!,6,0)*J1373/1000),0,VLOOKUP($F1373,#REF!,6,0)*J1373/1000)</f>
        <v>0</v>
      </c>
      <c r="P1373" s="21">
        <f>IF(ISERROR(VLOOKUP(F1373,#REF!,6,0)*K1373/1000),0,VLOOKUP(F1373,#REF!,6,0)*K1373/1000)</f>
        <v>0</v>
      </c>
      <c r="Q1373" s="6">
        <f>IF(ISERROR(VLOOKUP(F1373,#REF!,3,0)),0,VLOOKUP(F1373,#REF!,3,0))</f>
        <v>0</v>
      </c>
      <c r="R1373" s="6">
        <f>IF(ISERROR(VLOOKUP(F1373,#REF!,4,0)),0,VLOOKUP(F1373,#REF!,4,0))</f>
        <v>0</v>
      </c>
      <c r="S1373" s="8">
        <f>IF(ISERROR(VLOOKUP(F1373,#REF!,4,0)),0,VLOOKUP(F1373,#REF!,10,0)/60*K1373)</f>
        <v>0</v>
      </c>
      <c r="T1373" s="3"/>
      <c r="U1373" s="3"/>
      <c r="V1373" s="4"/>
    </row>
    <row r="1374" spans="1:22" x14ac:dyDescent="0.3">
      <c r="A1374" s="5">
        <f t="shared" si="64"/>
        <v>0</v>
      </c>
      <c r="B1374" s="6">
        <f t="shared" si="65"/>
        <v>0</v>
      </c>
      <c r="K1374" s="18">
        <f t="shared" si="63"/>
        <v>0</v>
      </c>
      <c r="L1374" s="21">
        <f>IF(ISERROR(VLOOKUP($F1374,#REF!,6,0)*G1374/1000),0,VLOOKUP($F1374,#REF!,6,0)*G1374/1000)</f>
        <v>0</v>
      </c>
      <c r="M1374" s="21">
        <f>IF(ISERROR(VLOOKUP($F1374,#REF!,6,0)*H1374/1000),0,VLOOKUP($F1374,#REF!,6,0)*H1374/1000)</f>
        <v>0</v>
      </c>
      <c r="N1374" s="21">
        <f>IF(ISERROR(VLOOKUP($F1374,#REF!,6,0)*I1374/1000),0,VLOOKUP($F1374,#REF!,6,0)*I1374/1000)</f>
        <v>0</v>
      </c>
      <c r="O1374" s="21">
        <f>IF(ISERROR(VLOOKUP($F1374,#REF!,6,0)*J1374/1000),0,VLOOKUP($F1374,#REF!,6,0)*J1374/1000)</f>
        <v>0</v>
      </c>
      <c r="P1374" s="21">
        <f>IF(ISERROR(VLOOKUP(F1374,#REF!,6,0)*K1374/1000),0,VLOOKUP(F1374,#REF!,6,0)*K1374/1000)</f>
        <v>0</v>
      </c>
      <c r="Q1374" s="6">
        <f>IF(ISERROR(VLOOKUP(F1374,#REF!,3,0)),0,VLOOKUP(F1374,#REF!,3,0))</f>
        <v>0</v>
      </c>
      <c r="R1374" s="6">
        <f>IF(ISERROR(VLOOKUP(F1374,#REF!,4,0)),0,VLOOKUP(F1374,#REF!,4,0))</f>
        <v>0</v>
      </c>
      <c r="S1374" s="8">
        <f>IF(ISERROR(VLOOKUP(F1374,#REF!,4,0)),0,VLOOKUP(F1374,#REF!,10,0)/60*K1374)</f>
        <v>0</v>
      </c>
      <c r="T1374" s="3"/>
      <c r="U1374" s="3"/>
      <c r="V1374" s="4"/>
    </row>
    <row r="1375" spans="1:22" x14ac:dyDescent="0.3">
      <c r="A1375" s="5">
        <f t="shared" si="64"/>
        <v>0</v>
      </c>
      <c r="B1375" s="6">
        <f t="shared" si="65"/>
        <v>0</v>
      </c>
      <c r="K1375" s="18">
        <f t="shared" si="63"/>
        <v>0</v>
      </c>
      <c r="L1375" s="21">
        <f>IF(ISERROR(VLOOKUP($F1375,#REF!,6,0)*G1375/1000),0,VLOOKUP($F1375,#REF!,6,0)*G1375/1000)</f>
        <v>0</v>
      </c>
      <c r="M1375" s="21">
        <f>IF(ISERROR(VLOOKUP($F1375,#REF!,6,0)*H1375/1000),0,VLOOKUP($F1375,#REF!,6,0)*H1375/1000)</f>
        <v>0</v>
      </c>
      <c r="N1375" s="21">
        <f>IF(ISERROR(VLOOKUP($F1375,#REF!,6,0)*I1375/1000),0,VLOOKUP($F1375,#REF!,6,0)*I1375/1000)</f>
        <v>0</v>
      </c>
      <c r="O1375" s="21">
        <f>IF(ISERROR(VLOOKUP($F1375,#REF!,6,0)*J1375/1000),0,VLOOKUP($F1375,#REF!,6,0)*J1375/1000)</f>
        <v>0</v>
      </c>
      <c r="P1375" s="21">
        <f>IF(ISERROR(VLOOKUP(F1375,#REF!,6,0)*K1375/1000),0,VLOOKUP(F1375,#REF!,6,0)*K1375/1000)</f>
        <v>0</v>
      </c>
      <c r="Q1375" s="6">
        <f>IF(ISERROR(VLOOKUP(F1375,#REF!,3,0)),0,VLOOKUP(F1375,#REF!,3,0))</f>
        <v>0</v>
      </c>
      <c r="R1375" s="6">
        <f>IF(ISERROR(VLOOKUP(F1375,#REF!,4,0)),0,VLOOKUP(F1375,#REF!,4,0))</f>
        <v>0</v>
      </c>
      <c r="S1375" s="8">
        <f>IF(ISERROR(VLOOKUP(F1375,#REF!,4,0)),0,VLOOKUP(F1375,#REF!,10,0)/60*K1375)</f>
        <v>0</v>
      </c>
      <c r="T1375" s="3"/>
      <c r="U1375" s="3"/>
      <c r="V1375" s="4"/>
    </row>
    <row r="1376" spans="1:22" x14ac:dyDescent="0.3">
      <c r="A1376" s="5">
        <f t="shared" si="64"/>
        <v>0</v>
      </c>
      <c r="B1376" s="6">
        <f t="shared" si="65"/>
        <v>0</v>
      </c>
      <c r="K1376" s="18">
        <f t="shared" si="63"/>
        <v>0</v>
      </c>
      <c r="L1376" s="21">
        <f>IF(ISERROR(VLOOKUP($F1376,#REF!,6,0)*G1376/1000),0,VLOOKUP($F1376,#REF!,6,0)*G1376/1000)</f>
        <v>0</v>
      </c>
      <c r="M1376" s="21">
        <f>IF(ISERROR(VLOOKUP($F1376,#REF!,6,0)*H1376/1000),0,VLOOKUP($F1376,#REF!,6,0)*H1376/1000)</f>
        <v>0</v>
      </c>
      <c r="N1376" s="21">
        <f>IF(ISERROR(VLOOKUP($F1376,#REF!,6,0)*I1376/1000),0,VLOOKUP($F1376,#REF!,6,0)*I1376/1000)</f>
        <v>0</v>
      </c>
      <c r="O1376" s="21">
        <f>IF(ISERROR(VLOOKUP($F1376,#REF!,6,0)*J1376/1000),0,VLOOKUP($F1376,#REF!,6,0)*J1376/1000)</f>
        <v>0</v>
      </c>
      <c r="P1376" s="21">
        <f>IF(ISERROR(VLOOKUP(F1376,#REF!,6,0)*K1376/1000),0,VLOOKUP(F1376,#REF!,6,0)*K1376/1000)</f>
        <v>0</v>
      </c>
      <c r="Q1376" s="6">
        <f>IF(ISERROR(VLOOKUP(F1376,#REF!,3,0)),0,VLOOKUP(F1376,#REF!,3,0))</f>
        <v>0</v>
      </c>
      <c r="R1376" s="6">
        <f>IF(ISERROR(VLOOKUP(F1376,#REF!,4,0)),0,VLOOKUP(F1376,#REF!,4,0))</f>
        <v>0</v>
      </c>
      <c r="S1376" s="8">
        <f>IF(ISERROR(VLOOKUP(F1376,#REF!,4,0)),0,VLOOKUP(F1376,#REF!,10,0)/60*K1376)</f>
        <v>0</v>
      </c>
      <c r="T1376" s="3"/>
      <c r="U1376" s="3"/>
      <c r="V1376" s="4"/>
    </row>
    <row r="1377" spans="1:22" x14ac:dyDescent="0.3">
      <c r="A1377" s="5">
        <f t="shared" si="64"/>
        <v>0</v>
      </c>
      <c r="B1377" s="6">
        <f t="shared" si="65"/>
        <v>0</v>
      </c>
      <c r="K1377" s="18">
        <f t="shared" si="63"/>
        <v>0</v>
      </c>
      <c r="L1377" s="21">
        <f>IF(ISERROR(VLOOKUP($F1377,#REF!,6,0)*G1377/1000),0,VLOOKUP($F1377,#REF!,6,0)*G1377/1000)</f>
        <v>0</v>
      </c>
      <c r="M1377" s="21">
        <f>IF(ISERROR(VLOOKUP($F1377,#REF!,6,0)*H1377/1000),0,VLOOKUP($F1377,#REF!,6,0)*H1377/1000)</f>
        <v>0</v>
      </c>
      <c r="N1377" s="21">
        <f>IF(ISERROR(VLOOKUP($F1377,#REF!,6,0)*I1377/1000),0,VLOOKUP($F1377,#REF!,6,0)*I1377/1000)</f>
        <v>0</v>
      </c>
      <c r="O1377" s="21">
        <f>IF(ISERROR(VLOOKUP($F1377,#REF!,6,0)*J1377/1000),0,VLOOKUP($F1377,#REF!,6,0)*J1377/1000)</f>
        <v>0</v>
      </c>
      <c r="P1377" s="21">
        <f>IF(ISERROR(VLOOKUP(F1377,#REF!,6,0)*K1377/1000),0,VLOOKUP(F1377,#REF!,6,0)*K1377/1000)</f>
        <v>0</v>
      </c>
      <c r="Q1377" s="6">
        <f>IF(ISERROR(VLOOKUP(F1377,#REF!,3,0)),0,VLOOKUP(F1377,#REF!,3,0))</f>
        <v>0</v>
      </c>
      <c r="R1377" s="6">
        <f>IF(ISERROR(VLOOKUP(F1377,#REF!,4,0)),0,VLOOKUP(F1377,#REF!,4,0))</f>
        <v>0</v>
      </c>
      <c r="S1377" s="8">
        <f>IF(ISERROR(VLOOKUP(F1377,#REF!,4,0)),0,VLOOKUP(F1377,#REF!,10,0)/60*K1377)</f>
        <v>0</v>
      </c>
      <c r="T1377" s="3"/>
      <c r="U1377" s="3"/>
      <c r="V1377" s="4"/>
    </row>
    <row r="1378" spans="1:22" x14ac:dyDescent="0.3">
      <c r="A1378" s="5">
        <f t="shared" si="64"/>
        <v>0</v>
      </c>
      <c r="B1378" s="6">
        <f t="shared" si="65"/>
        <v>0</v>
      </c>
      <c r="K1378" s="18">
        <f t="shared" si="63"/>
        <v>0</v>
      </c>
      <c r="L1378" s="21">
        <f>IF(ISERROR(VLOOKUP($F1378,#REF!,6,0)*G1378/1000),0,VLOOKUP($F1378,#REF!,6,0)*G1378/1000)</f>
        <v>0</v>
      </c>
      <c r="M1378" s="21">
        <f>IF(ISERROR(VLOOKUP($F1378,#REF!,6,0)*H1378/1000),0,VLOOKUP($F1378,#REF!,6,0)*H1378/1000)</f>
        <v>0</v>
      </c>
      <c r="N1378" s="21">
        <f>IF(ISERROR(VLOOKUP($F1378,#REF!,6,0)*I1378/1000),0,VLOOKUP($F1378,#REF!,6,0)*I1378/1000)</f>
        <v>0</v>
      </c>
      <c r="O1378" s="21">
        <f>IF(ISERROR(VLOOKUP($F1378,#REF!,6,0)*J1378/1000),0,VLOOKUP($F1378,#REF!,6,0)*J1378/1000)</f>
        <v>0</v>
      </c>
      <c r="P1378" s="21">
        <f>IF(ISERROR(VLOOKUP(F1378,#REF!,6,0)*K1378/1000),0,VLOOKUP(F1378,#REF!,6,0)*K1378/1000)</f>
        <v>0</v>
      </c>
      <c r="Q1378" s="6">
        <f>IF(ISERROR(VLOOKUP(F1378,#REF!,3,0)),0,VLOOKUP(F1378,#REF!,3,0))</f>
        <v>0</v>
      </c>
      <c r="R1378" s="6">
        <f>IF(ISERROR(VLOOKUP(F1378,#REF!,4,0)),0,VLOOKUP(F1378,#REF!,4,0))</f>
        <v>0</v>
      </c>
      <c r="S1378" s="8">
        <f>IF(ISERROR(VLOOKUP(F1378,#REF!,4,0)),0,VLOOKUP(F1378,#REF!,10,0)/60*K1378)</f>
        <v>0</v>
      </c>
      <c r="T1378" s="3"/>
      <c r="U1378" s="3"/>
      <c r="V1378" s="4"/>
    </row>
    <row r="1379" spans="1:22" x14ac:dyDescent="0.3">
      <c r="A1379" s="5">
        <f t="shared" si="64"/>
        <v>0</v>
      </c>
      <c r="B1379" s="6">
        <f t="shared" si="65"/>
        <v>0</v>
      </c>
      <c r="K1379" s="18">
        <f t="shared" si="63"/>
        <v>0</v>
      </c>
      <c r="L1379" s="21">
        <f>IF(ISERROR(VLOOKUP($F1379,#REF!,6,0)*G1379/1000),0,VLOOKUP($F1379,#REF!,6,0)*G1379/1000)</f>
        <v>0</v>
      </c>
      <c r="M1379" s="21">
        <f>IF(ISERROR(VLOOKUP($F1379,#REF!,6,0)*H1379/1000),0,VLOOKUP($F1379,#REF!,6,0)*H1379/1000)</f>
        <v>0</v>
      </c>
      <c r="N1379" s="21">
        <f>IF(ISERROR(VLOOKUP($F1379,#REF!,6,0)*I1379/1000),0,VLOOKUP($F1379,#REF!,6,0)*I1379/1000)</f>
        <v>0</v>
      </c>
      <c r="O1379" s="21">
        <f>IF(ISERROR(VLOOKUP($F1379,#REF!,6,0)*J1379/1000),0,VLOOKUP($F1379,#REF!,6,0)*J1379/1000)</f>
        <v>0</v>
      </c>
      <c r="P1379" s="21">
        <f>IF(ISERROR(VLOOKUP(F1379,#REF!,6,0)*K1379/1000),0,VLOOKUP(F1379,#REF!,6,0)*K1379/1000)</f>
        <v>0</v>
      </c>
      <c r="Q1379" s="6">
        <f>IF(ISERROR(VLOOKUP(F1379,#REF!,3,0)),0,VLOOKUP(F1379,#REF!,3,0))</f>
        <v>0</v>
      </c>
      <c r="R1379" s="6">
        <f>IF(ISERROR(VLOOKUP(F1379,#REF!,4,0)),0,VLOOKUP(F1379,#REF!,4,0))</f>
        <v>0</v>
      </c>
      <c r="S1379" s="8">
        <f>IF(ISERROR(VLOOKUP(F1379,#REF!,4,0)),0,VLOOKUP(F1379,#REF!,10,0)/60*K1379)</f>
        <v>0</v>
      </c>
      <c r="T1379" s="3"/>
      <c r="U1379" s="3"/>
      <c r="V1379" s="4"/>
    </row>
    <row r="1380" spans="1:22" x14ac:dyDescent="0.3">
      <c r="A1380" s="5">
        <f t="shared" si="64"/>
        <v>0</v>
      </c>
      <c r="B1380" s="6">
        <f t="shared" si="65"/>
        <v>0</v>
      </c>
      <c r="K1380" s="18">
        <f t="shared" si="63"/>
        <v>0</v>
      </c>
      <c r="L1380" s="21">
        <f>IF(ISERROR(VLOOKUP($F1380,#REF!,6,0)*G1380/1000),0,VLOOKUP($F1380,#REF!,6,0)*G1380/1000)</f>
        <v>0</v>
      </c>
      <c r="M1380" s="21">
        <f>IF(ISERROR(VLOOKUP($F1380,#REF!,6,0)*H1380/1000),0,VLOOKUP($F1380,#REF!,6,0)*H1380/1000)</f>
        <v>0</v>
      </c>
      <c r="N1380" s="21">
        <f>IF(ISERROR(VLOOKUP($F1380,#REF!,6,0)*I1380/1000),0,VLOOKUP($F1380,#REF!,6,0)*I1380/1000)</f>
        <v>0</v>
      </c>
      <c r="O1380" s="21">
        <f>IF(ISERROR(VLOOKUP($F1380,#REF!,6,0)*J1380/1000),0,VLOOKUP($F1380,#REF!,6,0)*J1380/1000)</f>
        <v>0</v>
      </c>
      <c r="P1380" s="21">
        <f>IF(ISERROR(VLOOKUP(F1380,#REF!,6,0)*K1380/1000),0,VLOOKUP(F1380,#REF!,6,0)*K1380/1000)</f>
        <v>0</v>
      </c>
      <c r="Q1380" s="6">
        <f>IF(ISERROR(VLOOKUP(F1380,#REF!,3,0)),0,VLOOKUP(F1380,#REF!,3,0))</f>
        <v>0</v>
      </c>
      <c r="R1380" s="6">
        <f>IF(ISERROR(VLOOKUP(F1380,#REF!,4,0)),0,VLOOKUP(F1380,#REF!,4,0))</f>
        <v>0</v>
      </c>
      <c r="S1380" s="8">
        <f>IF(ISERROR(VLOOKUP(F1380,#REF!,4,0)),0,VLOOKUP(F1380,#REF!,10,0)/60*K1380)</f>
        <v>0</v>
      </c>
      <c r="T1380" s="3"/>
      <c r="U1380" s="3"/>
      <c r="V1380" s="4"/>
    </row>
    <row r="1381" spans="1:22" x14ac:dyDescent="0.3">
      <c r="A1381" s="5">
        <f t="shared" si="64"/>
        <v>0</v>
      </c>
      <c r="B1381" s="6">
        <f t="shared" si="65"/>
        <v>0</v>
      </c>
      <c r="K1381" s="18">
        <f t="shared" si="63"/>
        <v>0</v>
      </c>
      <c r="L1381" s="21">
        <f>IF(ISERROR(VLOOKUP($F1381,#REF!,6,0)*G1381/1000),0,VLOOKUP($F1381,#REF!,6,0)*G1381/1000)</f>
        <v>0</v>
      </c>
      <c r="M1381" s="21">
        <f>IF(ISERROR(VLOOKUP($F1381,#REF!,6,0)*H1381/1000),0,VLOOKUP($F1381,#REF!,6,0)*H1381/1000)</f>
        <v>0</v>
      </c>
      <c r="N1381" s="21">
        <f>IF(ISERROR(VLOOKUP($F1381,#REF!,6,0)*I1381/1000),0,VLOOKUP($F1381,#REF!,6,0)*I1381/1000)</f>
        <v>0</v>
      </c>
      <c r="O1381" s="21">
        <f>IF(ISERROR(VLOOKUP($F1381,#REF!,6,0)*J1381/1000),0,VLOOKUP($F1381,#REF!,6,0)*J1381/1000)</f>
        <v>0</v>
      </c>
      <c r="P1381" s="21">
        <f>IF(ISERROR(VLOOKUP(F1381,#REF!,6,0)*K1381/1000),0,VLOOKUP(F1381,#REF!,6,0)*K1381/1000)</f>
        <v>0</v>
      </c>
      <c r="Q1381" s="6">
        <f>IF(ISERROR(VLOOKUP(F1381,#REF!,3,0)),0,VLOOKUP(F1381,#REF!,3,0))</f>
        <v>0</v>
      </c>
      <c r="R1381" s="6">
        <f>IF(ISERROR(VLOOKUP(F1381,#REF!,4,0)),0,VLOOKUP(F1381,#REF!,4,0))</f>
        <v>0</v>
      </c>
      <c r="S1381" s="8">
        <f>IF(ISERROR(VLOOKUP(F1381,#REF!,4,0)),0,VLOOKUP(F1381,#REF!,10,0)/60*K1381)</f>
        <v>0</v>
      </c>
      <c r="T1381" s="3"/>
      <c r="U1381" s="3"/>
      <c r="V1381" s="4"/>
    </row>
    <row r="1382" spans="1:22" x14ac:dyDescent="0.3">
      <c r="A1382" s="5">
        <f t="shared" si="64"/>
        <v>0</v>
      </c>
      <c r="B1382" s="6">
        <f t="shared" si="65"/>
        <v>0</v>
      </c>
      <c r="K1382" s="18">
        <f t="shared" si="63"/>
        <v>0</v>
      </c>
      <c r="L1382" s="21">
        <f>IF(ISERROR(VLOOKUP($F1382,#REF!,6,0)*G1382/1000),0,VLOOKUP($F1382,#REF!,6,0)*G1382/1000)</f>
        <v>0</v>
      </c>
      <c r="M1382" s="21">
        <f>IF(ISERROR(VLOOKUP($F1382,#REF!,6,0)*H1382/1000),0,VLOOKUP($F1382,#REF!,6,0)*H1382/1000)</f>
        <v>0</v>
      </c>
      <c r="N1382" s="21">
        <f>IF(ISERROR(VLOOKUP($F1382,#REF!,6,0)*I1382/1000),0,VLOOKUP($F1382,#REF!,6,0)*I1382/1000)</f>
        <v>0</v>
      </c>
      <c r="O1382" s="21">
        <f>IF(ISERROR(VLOOKUP($F1382,#REF!,6,0)*J1382/1000),0,VLOOKUP($F1382,#REF!,6,0)*J1382/1000)</f>
        <v>0</v>
      </c>
      <c r="P1382" s="21">
        <f>IF(ISERROR(VLOOKUP(F1382,#REF!,6,0)*K1382/1000),0,VLOOKUP(F1382,#REF!,6,0)*K1382/1000)</f>
        <v>0</v>
      </c>
      <c r="Q1382" s="6">
        <f>IF(ISERROR(VLOOKUP(F1382,#REF!,3,0)),0,VLOOKUP(F1382,#REF!,3,0))</f>
        <v>0</v>
      </c>
      <c r="R1382" s="6">
        <f>IF(ISERROR(VLOOKUP(F1382,#REF!,4,0)),0,VLOOKUP(F1382,#REF!,4,0))</f>
        <v>0</v>
      </c>
      <c r="S1382" s="8">
        <f>IF(ISERROR(VLOOKUP(F1382,#REF!,4,0)),0,VLOOKUP(F1382,#REF!,10,0)/60*K1382)</f>
        <v>0</v>
      </c>
      <c r="T1382" s="3"/>
      <c r="U1382" s="3"/>
      <c r="V1382" s="4"/>
    </row>
    <row r="1383" spans="1:22" x14ac:dyDescent="0.3">
      <c r="A1383" s="5">
        <f t="shared" si="64"/>
        <v>0</v>
      </c>
      <c r="B1383" s="6">
        <f t="shared" si="65"/>
        <v>0</v>
      </c>
      <c r="K1383" s="18">
        <f t="shared" si="63"/>
        <v>0</v>
      </c>
      <c r="L1383" s="21">
        <f>IF(ISERROR(VLOOKUP($F1383,#REF!,6,0)*G1383/1000),0,VLOOKUP($F1383,#REF!,6,0)*G1383/1000)</f>
        <v>0</v>
      </c>
      <c r="M1383" s="21">
        <f>IF(ISERROR(VLOOKUP($F1383,#REF!,6,0)*H1383/1000),0,VLOOKUP($F1383,#REF!,6,0)*H1383/1000)</f>
        <v>0</v>
      </c>
      <c r="N1383" s="21">
        <f>IF(ISERROR(VLOOKUP($F1383,#REF!,6,0)*I1383/1000),0,VLOOKUP($F1383,#REF!,6,0)*I1383/1000)</f>
        <v>0</v>
      </c>
      <c r="O1383" s="21">
        <f>IF(ISERROR(VLOOKUP($F1383,#REF!,6,0)*J1383/1000),0,VLOOKUP($F1383,#REF!,6,0)*J1383/1000)</f>
        <v>0</v>
      </c>
      <c r="P1383" s="21">
        <f>IF(ISERROR(VLOOKUP(F1383,#REF!,6,0)*K1383/1000),0,VLOOKUP(F1383,#REF!,6,0)*K1383/1000)</f>
        <v>0</v>
      </c>
      <c r="Q1383" s="6">
        <f>IF(ISERROR(VLOOKUP(F1383,#REF!,3,0)),0,VLOOKUP(F1383,#REF!,3,0))</f>
        <v>0</v>
      </c>
      <c r="R1383" s="6">
        <f>IF(ISERROR(VLOOKUP(F1383,#REF!,4,0)),0,VLOOKUP(F1383,#REF!,4,0))</f>
        <v>0</v>
      </c>
      <c r="S1383" s="8">
        <f>IF(ISERROR(VLOOKUP(F1383,#REF!,4,0)),0,VLOOKUP(F1383,#REF!,10,0)/60*K1383)</f>
        <v>0</v>
      </c>
      <c r="T1383" s="3"/>
      <c r="U1383" s="3"/>
      <c r="V1383" s="4"/>
    </row>
    <row r="1384" spans="1:22" x14ac:dyDescent="0.3">
      <c r="A1384" s="5">
        <f t="shared" si="64"/>
        <v>0</v>
      </c>
      <c r="B1384" s="6">
        <f t="shared" si="65"/>
        <v>0</v>
      </c>
      <c r="K1384" s="18">
        <f t="shared" si="63"/>
        <v>0</v>
      </c>
      <c r="L1384" s="21">
        <f>IF(ISERROR(VLOOKUP($F1384,#REF!,6,0)*G1384/1000),0,VLOOKUP($F1384,#REF!,6,0)*G1384/1000)</f>
        <v>0</v>
      </c>
      <c r="M1384" s="21">
        <f>IF(ISERROR(VLOOKUP($F1384,#REF!,6,0)*H1384/1000),0,VLOOKUP($F1384,#REF!,6,0)*H1384/1000)</f>
        <v>0</v>
      </c>
      <c r="N1384" s="21">
        <f>IF(ISERROR(VLOOKUP($F1384,#REF!,6,0)*I1384/1000),0,VLOOKUP($F1384,#REF!,6,0)*I1384/1000)</f>
        <v>0</v>
      </c>
      <c r="O1384" s="21">
        <f>IF(ISERROR(VLOOKUP($F1384,#REF!,6,0)*J1384/1000),0,VLOOKUP($F1384,#REF!,6,0)*J1384/1000)</f>
        <v>0</v>
      </c>
      <c r="P1384" s="21">
        <f>IF(ISERROR(VLOOKUP(F1384,#REF!,6,0)*K1384/1000),0,VLOOKUP(F1384,#REF!,6,0)*K1384/1000)</f>
        <v>0</v>
      </c>
      <c r="Q1384" s="6">
        <f>IF(ISERROR(VLOOKUP(F1384,#REF!,3,0)),0,VLOOKUP(F1384,#REF!,3,0))</f>
        <v>0</v>
      </c>
      <c r="R1384" s="6">
        <f>IF(ISERROR(VLOOKUP(F1384,#REF!,4,0)),0,VLOOKUP(F1384,#REF!,4,0))</f>
        <v>0</v>
      </c>
      <c r="S1384" s="8">
        <f>IF(ISERROR(VLOOKUP(F1384,#REF!,4,0)),0,VLOOKUP(F1384,#REF!,10,0)/60*K1384)</f>
        <v>0</v>
      </c>
      <c r="T1384" s="3"/>
      <c r="U1384" s="3"/>
      <c r="V1384" s="4"/>
    </row>
    <row r="1385" spans="1:22" x14ac:dyDescent="0.3">
      <c r="A1385" s="5">
        <f t="shared" si="64"/>
        <v>0</v>
      </c>
      <c r="B1385" s="6">
        <f t="shared" si="65"/>
        <v>0</v>
      </c>
      <c r="K1385" s="18">
        <f t="shared" si="63"/>
        <v>0</v>
      </c>
      <c r="L1385" s="21">
        <f>IF(ISERROR(VLOOKUP($F1385,#REF!,6,0)*G1385/1000),0,VLOOKUP($F1385,#REF!,6,0)*G1385/1000)</f>
        <v>0</v>
      </c>
      <c r="M1385" s="21">
        <f>IF(ISERROR(VLOOKUP($F1385,#REF!,6,0)*H1385/1000),0,VLOOKUP($F1385,#REF!,6,0)*H1385/1000)</f>
        <v>0</v>
      </c>
      <c r="N1385" s="21">
        <f>IF(ISERROR(VLOOKUP($F1385,#REF!,6,0)*I1385/1000),0,VLOOKUP($F1385,#REF!,6,0)*I1385/1000)</f>
        <v>0</v>
      </c>
      <c r="O1385" s="21">
        <f>IF(ISERROR(VLOOKUP($F1385,#REF!,6,0)*J1385/1000),0,VLOOKUP($F1385,#REF!,6,0)*J1385/1000)</f>
        <v>0</v>
      </c>
      <c r="P1385" s="21">
        <f>IF(ISERROR(VLOOKUP(F1385,#REF!,6,0)*K1385/1000),0,VLOOKUP(F1385,#REF!,6,0)*K1385/1000)</f>
        <v>0</v>
      </c>
      <c r="Q1385" s="6">
        <f>IF(ISERROR(VLOOKUP(F1385,#REF!,3,0)),0,VLOOKUP(F1385,#REF!,3,0))</f>
        <v>0</v>
      </c>
      <c r="R1385" s="6">
        <f>IF(ISERROR(VLOOKUP(F1385,#REF!,4,0)),0,VLOOKUP(F1385,#REF!,4,0))</f>
        <v>0</v>
      </c>
      <c r="S1385" s="8">
        <f>IF(ISERROR(VLOOKUP(F1385,#REF!,4,0)),0,VLOOKUP(F1385,#REF!,10,0)/60*K1385)</f>
        <v>0</v>
      </c>
      <c r="T1385" s="3"/>
      <c r="U1385" s="3"/>
      <c r="V1385" s="4"/>
    </row>
    <row r="1386" spans="1:22" x14ac:dyDescent="0.3">
      <c r="A1386" s="5">
        <f t="shared" si="64"/>
        <v>0</v>
      </c>
      <c r="B1386" s="6">
        <f t="shared" si="65"/>
        <v>0</v>
      </c>
      <c r="K1386" s="18">
        <f t="shared" si="63"/>
        <v>0</v>
      </c>
      <c r="L1386" s="21">
        <f>IF(ISERROR(VLOOKUP($F1386,#REF!,6,0)*G1386/1000),0,VLOOKUP($F1386,#REF!,6,0)*G1386/1000)</f>
        <v>0</v>
      </c>
      <c r="M1386" s="21">
        <f>IF(ISERROR(VLOOKUP($F1386,#REF!,6,0)*H1386/1000),0,VLOOKUP($F1386,#REF!,6,0)*H1386/1000)</f>
        <v>0</v>
      </c>
      <c r="N1386" s="21">
        <f>IF(ISERROR(VLOOKUP($F1386,#REF!,6,0)*I1386/1000),0,VLOOKUP($F1386,#REF!,6,0)*I1386/1000)</f>
        <v>0</v>
      </c>
      <c r="O1386" s="21">
        <f>IF(ISERROR(VLOOKUP($F1386,#REF!,6,0)*J1386/1000),0,VLOOKUP($F1386,#REF!,6,0)*J1386/1000)</f>
        <v>0</v>
      </c>
      <c r="P1386" s="21">
        <f>IF(ISERROR(VLOOKUP(F1386,#REF!,6,0)*K1386/1000),0,VLOOKUP(F1386,#REF!,6,0)*K1386/1000)</f>
        <v>0</v>
      </c>
      <c r="Q1386" s="6">
        <f>IF(ISERROR(VLOOKUP(F1386,#REF!,3,0)),0,VLOOKUP(F1386,#REF!,3,0))</f>
        <v>0</v>
      </c>
      <c r="R1386" s="6">
        <f>IF(ISERROR(VLOOKUP(F1386,#REF!,4,0)),0,VLOOKUP(F1386,#REF!,4,0))</f>
        <v>0</v>
      </c>
      <c r="S1386" s="8">
        <f>IF(ISERROR(VLOOKUP(F1386,#REF!,4,0)),0,VLOOKUP(F1386,#REF!,10,0)/60*K1386)</f>
        <v>0</v>
      </c>
      <c r="T1386" s="3"/>
      <c r="U1386" s="3"/>
      <c r="V1386" s="4"/>
    </row>
    <row r="1387" spans="1:22" x14ac:dyDescent="0.3">
      <c r="A1387" s="5">
        <f t="shared" si="64"/>
        <v>0</v>
      </c>
      <c r="B1387" s="6">
        <f t="shared" si="65"/>
        <v>0</v>
      </c>
      <c r="K1387" s="18">
        <f t="shared" si="63"/>
        <v>0</v>
      </c>
      <c r="L1387" s="21">
        <f>IF(ISERROR(VLOOKUP($F1387,#REF!,6,0)*G1387/1000),0,VLOOKUP($F1387,#REF!,6,0)*G1387/1000)</f>
        <v>0</v>
      </c>
      <c r="M1387" s="21">
        <f>IF(ISERROR(VLOOKUP($F1387,#REF!,6,0)*H1387/1000),0,VLOOKUP($F1387,#REF!,6,0)*H1387/1000)</f>
        <v>0</v>
      </c>
      <c r="N1387" s="21">
        <f>IF(ISERROR(VLOOKUP($F1387,#REF!,6,0)*I1387/1000),0,VLOOKUP($F1387,#REF!,6,0)*I1387/1000)</f>
        <v>0</v>
      </c>
      <c r="O1387" s="21">
        <f>IF(ISERROR(VLOOKUP($F1387,#REF!,6,0)*J1387/1000),0,VLOOKUP($F1387,#REF!,6,0)*J1387/1000)</f>
        <v>0</v>
      </c>
      <c r="P1387" s="21">
        <f>IF(ISERROR(VLOOKUP(F1387,#REF!,6,0)*K1387/1000),0,VLOOKUP(F1387,#REF!,6,0)*K1387/1000)</f>
        <v>0</v>
      </c>
      <c r="Q1387" s="6">
        <f>IF(ISERROR(VLOOKUP(F1387,#REF!,3,0)),0,VLOOKUP(F1387,#REF!,3,0))</f>
        <v>0</v>
      </c>
      <c r="R1387" s="6">
        <f>IF(ISERROR(VLOOKUP(F1387,#REF!,4,0)),0,VLOOKUP(F1387,#REF!,4,0))</f>
        <v>0</v>
      </c>
      <c r="S1387" s="8">
        <f>IF(ISERROR(VLOOKUP(F1387,#REF!,4,0)),0,VLOOKUP(F1387,#REF!,10,0)/60*K1387)</f>
        <v>0</v>
      </c>
      <c r="T1387" s="3"/>
      <c r="U1387" s="3"/>
      <c r="V1387" s="4"/>
    </row>
    <row r="1388" spans="1:22" x14ac:dyDescent="0.3">
      <c r="A1388" s="5">
        <f t="shared" si="64"/>
        <v>0</v>
      </c>
      <c r="B1388" s="6">
        <f t="shared" si="65"/>
        <v>0</v>
      </c>
      <c r="K1388" s="18">
        <f t="shared" si="63"/>
        <v>0</v>
      </c>
      <c r="L1388" s="21">
        <f>IF(ISERROR(VLOOKUP($F1388,#REF!,6,0)*G1388/1000),0,VLOOKUP($F1388,#REF!,6,0)*G1388/1000)</f>
        <v>0</v>
      </c>
      <c r="M1388" s="21">
        <f>IF(ISERROR(VLOOKUP($F1388,#REF!,6,0)*H1388/1000),0,VLOOKUP($F1388,#REF!,6,0)*H1388/1000)</f>
        <v>0</v>
      </c>
      <c r="N1388" s="21">
        <f>IF(ISERROR(VLOOKUP($F1388,#REF!,6,0)*I1388/1000),0,VLOOKUP($F1388,#REF!,6,0)*I1388/1000)</f>
        <v>0</v>
      </c>
      <c r="O1388" s="21">
        <f>IF(ISERROR(VLOOKUP($F1388,#REF!,6,0)*J1388/1000),0,VLOOKUP($F1388,#REF!,6,0)*J1388/1000)</f>
        <v>0</v>
      </c>
      <c r="P1388" s="21">
        <f>IF(ISERROR(VLOOKUP(F1388,#REF!,6,0)*K1388/1000),0,VLOOKUP(F1388,#REF!,6,0)*K1388/1000)</f>
        <v>0</v>
      </c>
      <c r="Q1388" s="6">
        <f>IF(ISERROR(VLOOKUP(F1388,#REF!,3,0)),0,VLOOKUP(F1388,#REF!,3,0))</f>
        <v>0</v>
      </c>
      <c r="R1388" s="6">
        <f>IF(ISERROR(VLOOKUP(F1388,#REF!,4,0)),0,VLOOKUP(F1388,#REF!,4,0))</f>
        <v>0</v>
      </c>
      <c r="S1388" s="8">
        <f>IF(ISERROR(VLOOKUP(F1388,#REF!,4,0)),0,VLOOKUP(F1388,#REF!,10,0)/60*K1388)</f>
        <v>0</v>
      </c>
      <c r="T1388" s="3"/>
      <c r="U1388" s="3"/>
      <c r="V1388" s="4"/>
    </row>
    <row r="1389" spans="1:22" x14ac:dyDescent="0.3">
      <c r="A1389" s="5">
        <f t="shared" si="64"/>
        <v>0</v>
      </c>
      <c r="B1389" s="6">
        <f t="shared" si="65"/>
        <v>0</v>
      </c>
      <c r="K1389" s="18">
        <f t="shared" si="63"/>
        <v>0</v>
      </c>
      <c r="L1389" s="21">
        <f>IF(ISERROR(VLOOKUP($F1389,#REF!,6,0)*G1389/1000),0,VLOOKUP($F1389,#REF!,6,0)*G1389/1000)</f>
        <v>0</v>
      </c>
      <c r="M1389" s="21">
        <f>IF(ISERROR(VLOOKUP($F1389,#REF!,6,0)*H1389/1000),0,VLOOKUP($F1389,#REF!,6,0)*H1389/1000)</f>
        <v>0</v>
      </c>
      <c r="N1389" s="21">
        <f>IF(ISERROR(VLOOKUP($F1389,#REF!,6,0)*I1389/1000),0,VLOOKUP($F1389,#REF!,6,0)*I1389/1000)</f>
        <v>0</v>
      </c>
      <c r="O1389" s="21">
        <f>IF(ISERROR(VLOOKUP($F1389,#REF!,6,0)*J1389/1000),0,VLOOKUP($F1389,#REF!,6,0)*J1389/1000)</f>
        <v>0</v>
      </c>
      <c r="P1389" s="21">
        <f>IF(ISERROR(VLOOKUP(F1389,#REF!,6,0)*K1389/1000),0,VLOOKUP(F1389,#REF!,6,0)*K1389/1000)</f>
        <v>0</v>
      </c>
      <c r="Q1389" s="6">
        <f>IF(ISERROR(VLOOKUP(F1389,#REF!,3,0)),0,VLOOKUP(F1389,#REF!,3,0))</f>
        <v>0</v>
      </c>
      <c r="R1389" s="6">
        <f>IF(ISERROR(VLOOKUP(F1389,#REF!,4,0)),0,VLOOKUP(F1389,#REF!,4,0))</f>
        <v>0</v>
      </c>
      <c r="S1389" s="8">
        <f>IF(ISERROR(VLOOKUP(F1389,#REF!,4,0)),0,VLOOKUP(F1389,#REF!,10,0)/60*K1389)</f>
        <v>0</v>
      </c>
      <c r="T1389" s="3"/>
      <c r="U1389" s="3"/>
      <c r="V1389" s="4"/>
    </row>
    <row r="1390" spans="1:22" x14ac:dyDescent="0.3">
      <c r="A1390" s="5">
        <f t="shared" si="64"/>
        <v>0</v>
      </c>
      <c r="B1390" s="6">
        <f t="shared" si="65"/>
        <v>0</v>
      </c>
      <c r="K1390" s="18">
        <f t="shared" si="63"/>
        <v>0</v>
      </c>
      <c r="L1390" s="21">
        <f>IF(ISERROR(VLOOKUP($F1390,#REF!,6,0)*G1390/1000),0,VLOOKUP($F1390,#REF!,6,0)*G1390/1000)</f>
        <v>0</v>
      </c>
      <c r="M1390" s="21">
        <f>IF(ISERROR(VLOOKUP($F1390,#REF!,6,0)*H1390/1000),0,VLOOKUP($F1390,#REF!,6,0)*H1390/1000)</f>
        <v>0</v>
      </c>
      <c r="N1390" s="21">
        <f>IF(ISERROR(VLOOKUP($F1390,#REF!,6,0)*I1390/1000),0,VLOOKUP($F1390,#REF!,6,0)*I1390/1000)</f>
        <v>0</v>
      </c>
      <c r="O1390" s="21">
        <f>IF(ISERROR(VLOOKUP($F1390,#REF!,6,0)*J1390/1000),0,VLOOKUP($F1390,#REF!,6,0)*J1390/1000)</f>
        <v>0</v>
      </c>
      <c r="P1390" s="21">
        <f>IF(ISERROR(VLOOKUP(F1390,#REF!,6,0)*K1390/1000),0,VLOOKUP(F1390,#REF!,6,0)*K1390/1000)</f>
        <v>0</v>
      </c>
      <c r="Q1390" s="6">
        <f>IF(ISERROR(VLOOKUP(F1390,#REF!,3,0)),0,VLOOKUP(F1390,#REF!,3,0))</f>
        <v>0</v>
      </c>
      <c r="R1390" s="6">
        <f>IF(ISERROR(VLOOKUP(F1390,#REF!,4,0)),0,VLOOKUP(F1390,#REF!,4,0))</f>
        <v>0</v>
      </c>
      <c r="S1390" s="8">
        <f>IF(ISERROR(VLOOKUP(F1390,#REF!,4,0)),0,VLOOKUP(F1390,#REF!,10,0)/60*K1390)</f>
        <v>0</v>
      </c>
      <c r="T1390" s="3"/>
      <c r="U1390" s="3"/>
      <c r="V1390" s="4"/>
    </row>
    <row r="1391" spans="1:22" x14ac:dyDescent="0.3">
      <c r="A1391" s="5">
        <f t="shared" si="64"/>
        <v>0</v>
      </c>
      <c r="B1391" s="6">
        <f t="shared" si="65"/>
        <v>0</v>
      </c>
      <c r="K1391" s="18">
        <f t="shared" si="63"/>
        <v>0</v>
      </c>
      <c r="L1391" s="21">
        <f>IF(ISERROR(VLOOKUP($F1391,#REF!,6,0)*G1391/1000),0,VLOOKUP($F1391,#REF!,6,0)*G1391/1000)</f>
        <v>0</v>
      </c>
      <c r="M1391" s="21">
        <f>IF(ISERROR(VLOOKUP($F1391,#REF!,6,0)*H1391/1000),0,VLOOKUP($F1391,#REF!,6,0)*H1391/1000)</f>
        <v>0</v>
      </c>
      <c r="N1391" s="21">
        <f>IF(ISERROR(VLOOKUP($F1391,#REF!,6,0)*I1391/1000),0,VLOOKUP($F1391,#REF!,6,0)*I1391/1000)</f>
        <v>0</v>
      </c>
      <c r="O1391" s="21">
        <f>IF(ISERROR(VLOOKUP($F1391,#REF!,6,0)*J1391/1000),0,VLOOKUP($F1391,#REF!,6,0)*J1391/1000)</f>
        <v>0</v>
      </c>
      <c r="P1391" s="21">
        <f>IF(ISERROR(VLOOKUP(F1391,#REF!,6,0)*K1391/1000),0,VLOOKUP(F1391,#REF!,6,0)*K1391/1000)</f>
        <v>0</v>
      </c>
      <c r="Q1391" s="6">
        <f>IF(ISERROR(VLOOKUP(F1391,#REF!,3,0)),0,VLOOKUP(F1391,#REF!,3,0))</f>
        <v>0</v>
      </c>
      <c r="R1391" s="6">
        <f>IF(ISERROR(VLOOKUP(F1391,#REF!,4,0)),0,VLOOKUP(F1391,#REF!,4,0))</f>
        <v>0</v>
      </c>
      <c r="S1391" s="8">
        <f>IF(ISERROR(VLOOKUP(F1391,#REF!,4,0)),0,VLOOKUP(F1391,#REF!,10,0)/60*K1391)</f>
        <v>0</v>
      </c>
      <c r="T1391" s="3"/>
      <c r="U1391" s="3"/>
      <c r="V1391" s="4"/>
    </row>
    <row r="1392" spans="1:22" x14ac:dyDescent="0.3">
      <c r="A1392" s="5">
        <f t="shared" si="64"/>
        <v>0</v>
      </c>
      <c r="B1392" s="6">
        <f t="shared" si="65"/>
        <v>0</v>
      </c>
      <c r="K1392" s="18">
        <f t="shared" si="63"/>
        <v>0</v>
      </c>
      <c r="L1392" s="21">
        <f>IF(ISERROR(VLOOKUP($F1392,#REF!,6,0)*G1392/1000),0,VLOOKUP($F1392,#REF!,6,0)*G1392/1000)</f>
        <v>0</v>
      </c>
      <c r="M1392" s="21">
        <f>IF(ISERROR(VLOOKUP($F1392,#REF!,6,0)*H1392/1000),0,VLOOKUP($F1392,#REF!,6,0)*H1392/1000)</f>
        <v>0</v>
      </c>
      <c r="N1392" s="21">
        <f>IF(ISERROR(VLOOKUP($F1392,#REF!,6,0)*I1392/1000),0,VLOOKUP($F1392,#REF!,6,0)*I1392/1000)</f>
        <v>0</v>
      </c>
      <c r="O1392" s="21">
        <f>IF(ISERROR(VLOOKUP($F1392,#REF!,6,0)*J1392/1000),0,VLOOKUP($F1392,#REF!,6,0)*J1392/1000)</f>
        <v>0</v>
      </c>
      <c r="P1392" s="21">
        <f>IF(ISERROR(VLOOKUP(F1392,#REF!,6,0)*K1392/1000),0,VLOOKUP(F1392,#REF!,6,0)*K1392/1000)</f>
        <v>0</v>
      </c>
      <c r="Q1392" s="6">
        <f>IF(ISERROR(VLOOKUP(F1392,#REF!,3,0)),0,VLOOKUP(F1392,#REF!,3,0))</f>
        <v>0</v>
      </c>
      <c r="R1392" s="6">
        <f>IF(ISERROR(VLOOKUP(F1392,#REF!,4,0)),0,VLOOKUP(F1392,#REF!,4,0))</f>
        <v>0</v>
      </c>
      <c r="S1392" s="8">
        <f>IF(ISERROR(VLOOKUP(F1392,#REF!,4,0)),0,VLOOKUP(F1392,#REF!,10,0)/60*K1392)</f>
        <v>0</v>
      </c>
      <c r="T1392" s="3"/>
      <c r="U1392" s="3"/>
      <c r="V1392" s="4"/>
    </row>
    <row r="1393" spans="1:22" x14ac:dyDescent="0.3">
      <c r="A1393" s="5">
        <f t="shared" si="64"/>
        <v>0</v>
      </c>
      <c r="B1393" s="6">
        <f t="shared" si="65"/>
        <v>0</v>
      </c>
      <c r="K1393" s="18">
        <f t="shared" si="63"/>
        <v>0</v>
      </c>
      <c r="L1393" s="21">
        <f>IF(ISERROR(VLOOKUP($F1393,#REF!,6,0)*G1393/1000),0,VLOOKUP($F1393,#REF!,6,0)*G1393/1000)</f>
        <v>0</v>
      </c>
      <c r="M1393" s="21">
        <f>IF(ISERROR(VLOOKUP($F1393,#REF!,6,0)*H1393/1000),0,VLOOKUP($F1393,#REF!,6,0)*H1393/1000)</f>
        <v>0</v>
      </c>
      <c r="N1393" s="21">
        <f>IF(ISERROR(VLOOKUP($F1393,#REF!,6,0)*I1393/1000),0,VLOOKUP($F1393,#REF!,6,0)*I1393/1000)</f>
        <v>0</v>
      </c>
      <c r="O1393" s="21">
        <f>IF(ISERROR(VLOOKUP($F1393,#REF!,6,0)*J1393/1000),0,VLOOKUP($F1393,#REF!,6,0)*J1393/1000)</f>
        <v>0</v>
      </c>
      <c r="P1393" s="21">
        <f>IF(ISERROR(VLOOKUP(F1393,#REF!,6,0)*K1393/1000),0,VLOOKUP(F1393,#REF!,6,0)*K1393/1000)</f>
        <v>0</v>
      </c>
      <c r="Q1393" s="6">
        <f>IF(ISERROR(VLOOKUP(F1393,#REF!,3,0)),0,VLOOKUP(F1393,#REF!,3,0))</f>
        <v>0</v>
      </c>
      <c r="R1393" s="6">
        <f>IF(ISERROR(VLOOKUP(F1393,#REF!,4,0)),0,VLOOKUP(F1393,#REF!,4,0))</f>
        <v>0</v>
      </c>
      <c r="S1393" s="8">
        <f>IF(ISERROR(VLOOKUP(F1393,#REF!,4,0)),0,VLOOKUP(F1393,#REF!,10,0)/60*K1393)</f>
        <v>0</v>
      </c>
      <c r="T1393" s="3"/>
      <c r="U1393" s="3"/>
      <c r="V1393" s="4"/>
    </row>
    <row r="1394" spans="1:22" x14ac:dyDescent="0.3">
      <c r="A1394" s="5">
        <f t="shared" si="64"/>
        <v>0</v>
      </c>
      <c r="B1394" s="6">
        <f t="shared" si="65"/>
        <v>0</v>
      </c>
      <c r="K1394" s="18">
        <f t="shared" si="63"/>
        <v>0</v>
      </c>
      <c r="L1394" s="21">
        <f>IF(ISERROR(VLOOKUP($F1394,#REF!,6,0)*G1394/1000),0,VLOOKUP($F1394,#REF!,6,0)*G1394/1000)</f>
        <v>0</v>
      </c>
      <c r="M1394" s="21">
        <f>IF(ISERROR(VLOOKUP($F1394,#REF!,6,0)*H1394/1000),0,VLOOKUP($F1394,#REF!,6,0)*H1394/1000)</f>
        <v>0</v>
      </c>
      <c r="N1394" s="21">
        <f>IF(ISERROR(VLOOKUP($F1394,#REF!,6,0)*I1394/1000),0,VLOOKUP($F1394,#REF!,6,0)*I1394/1000)</f>
        <v>0</v>
      </c>
      <c r="O1394" s="21">
        <f>IF(ISERROR(VLOOKUP($F1394,#REF!,6,0)*J1394/1000),0,VLOOKUP($F1394,#REF!,6,0)*J1394/1000)</f>
        <v>0</v>
      </c>
      <c r="P1394" s="21">
        <f>IF(ISERROR(VLOOKUP(F1394,#REF!,6,0)*K1394/1000),0,VLOOKUP(F1394,#REF!,6,0)*K1394/1000)</f>
        <v>0</v>
      </c>
      <c r="Q1394" s="6">
        <f>IF(ISERROR(VLOOKUP(F1394,#REF!,3,0)),0,VLOOKUP(F1394,#REF!,3,0))</f>
        <v>0</v>
      </c>
      <c r="R1394" s="6">
        <f>IF(ISERROR(VLOOKUP(F1394,#REF!,4,0)),0,VLOOKUP(F1394,#REF!,4,0))</f>
        <v>0</v>
      </c>
      <c r="S1394" s="8">
        <f>IF(ISERROR(VLOOKUP(F1394,#REF!,4,0)),0,VLOOKUP(F1394,#REF!,10,0)/60*K1394)</f>
        <v>0</v>
      </c>
      <c r="T1394" s="3"/>
      <c r="U1394" s="3"/>
      <c r="V1394" s="4"/>
    </row>
    <row r="1395" spans="1:22" x14ac:dyDescent="0.3">
      <c r="A1395" s="5">
        <f t="shared" si="64"/>
        <v>0</v>
      </c>
      <c r="B1395" s="6">
        <f t="shared" si="65"/>
        <v>0</v>
      </c>
      <c r="K1395" s="18">
        <f t="shared" si="63"/>
        <v>0</v>
      </c>
      <c r="L1395" s="21">
        <f>IF(ISERROR(VLOOKUP($F1395,#REF!,6,0)*G1395/1000),0,VLOOKUP($F1395,#REF!,6,0)*G1395/1000)</f>
        <v>0</v>
      </c>
      <c r="M1395" s="21">
        <f>IF(ISERROR(VLOOKUP($F1395,#REF!,6,0)*H1395/1000),0,VLOOKUP($F1395,#REF!,6,0)*H1395/1000)</f>
        <v>0</v>
      </c>
      <c r="N1395" s="21">
        <f>IF(ISERROR(VLOOKUP($F1395,#REF!,6,0)*I1395/1000),0,VLOOKUP($F1395,#REF!,6,0)*I1395/1000)</f>
        <v>0</v>
      </c>
      <c r="O1395" s="21">
        <f>IF(ISERROR(VLOOKUP($F1395,#REF!,6,0)*J1395/1000),0,VLOOKUP($F1395,#REF!,6,0)*J1395/1000)</f>
        <v>0</v>
      </c>
      <c r="P1395" s="21">
        <f>IF(ISERROR(VLOOKUP(F1395,#REF!,6,0)*K1395/1000),0,VLOOKUP(F1395,#REF!,6,0)*K1395/1000)</f>
        <v>0</v>
      </c>
      <c r="Q1395" s="6">
        <f>IF(ISERROR(VLOOKUP(F1395,#REF!,3,0)),0,VLOOKUP(F1395,#REF!,3,0))</f>
        <v>0</v>
      </c>
      <c r="R1395" s="6">
        <f>IF(ISERROR(VLOOKUP(F1395,#REF!,4,0)),0,VLOOKUP(F1395,#REF!,4,0))</f>
        <v>0</v>
      </c>
      <c r="S1395" s="8">
        <f>IF(ISERROR(VLOOKUP(F1395,#REF!,4,0)),0,VLOOKUP(F1395,#REF!,10,0)/60*K1395)</f>
        <v>0</v>
      </c>
      <c r="T1395" s="3"/>
      <c r="U1395" s="3"/>
      <c r="V1395" s="4"/>
    </row>
    <row r="1396" spans="1:22" x14ac:dyDescent="0.3">
      <c r="A1396" s="5">
        <f t="shared" si="64"/>
        <v>0</v>
      </c>
      <c r="B1396" s="6">
        <f t="shared" si="65"/>
        <v>0</v>
      </c>
      <c r="K1396" s="18">
        <f t="shared" si="63"/>
        <v>0</v>
      </c>
      <c r="L1396" s="21">
        <f>IF(ISERROR(VLOOKUP($F1396,#REF!,6,0)*G1396/1000),0,VLOOKUP($F1396,#REF!,6,0)*G1396/1000)</f>
        <v>0</v>
      </c>
      <c r="M1396" s="21">
        <f>IF(ISERROR(VLOOKUP($F1396,#REF!,6,0)*H1396/1000),0,VLOOKUP($F1396,#REF!,6,0)*H1396/1000)</f>
        <v>0</v>
      </c>
      <c r="N1396" s="21">
        <f>IF(ISERROR(VLOOKUP($F1396,#REF!,6,0)*I1396/1000),0,VLOOKUP($F1396,#REF!,6,0)*I1396/1000)</f>
        <v>0</v>
      </c>
      <c r="O1396" s="21">
        <f>IF(ISERROR(VLOOKUP($F1396,#REF!,6,0)*J1396/1000),0,VLOOKUP($F1396,#REF!,6,0)*J1396/1000)</f>
        <v>0</v>
      </c>
      <c r="P1396" s="21">
        <f>IF(ISERROR(VLOOKUP(F1396,#REF!,6,0)*K1396/1000),0,VLOOKUP(F1396,#REF!,6,0)*K1396/1000)</f>
        <v>0</v>
      </c>
      <c r="Q1396" s="6">
        <f>IF(ISERROR(VLOOKUP(F1396,#REF!,3,0)),0,VLOOKUP(F1396,#REF!,3,0))</f>
        <v>0</v>
      </c>
      <c r="R1396" s="6">
        <f>IF(ISERROR(VLOOKUP(F1396,#REF!,4,0)),0,VLOOKUP(F1396,#REF!,4,0))</f>
        <v>0</v>
      </c>
      <c r="S1396" s="8">
        <f>IF(ISERROR(VLOOKUP(F1396,#REF!,4,0)),0,VLOOKUP(F1396,#REF!,10,0)/60*K1396)</f>
        <v>0</v>
      </c>
      <c r="T1396" s="3"/>
      <c r="U1396" s="3"/>
      <c r="V1396" s="4"/>
    </row>
    <row r="1397" spans="1:22" x14ac:dyDescent="0.3">
      <c r="A1397" s="5">
        <f t="shared" si="64"/>
        <v>0</v>
      </c>
      <c r="B1397" s="6">
        <f t="shared" si="65"/>
        <v>0</v>
      </c>
      <c r="K1397" s="18">
        <f t="shared" si="63"/>
        <v>0</v>
      </c>
      <c r="L1397" s="21">
        <f>IF(ISERROR(VLOOKUP($F1397,#REF!,6,0)*G1397/1000),0,VLOOKUP($F1397,#REF!,6,0)*G1397/1000)</f>
        <v>0</v>
      </c>
      <c r="M1397" s="21">
        <f>IF(ISERROR(VLOOKUP($F1397,#REF!,6,0)*H1397/1000),0,VLOOKUP($F1397,#REF!,6,0)*H1397/1000)</f>
        <v>0</v>
      </c>
      <c r="N1397" s="21">
        <f>IF(ISERROR(VLOOKUP($F1397,#REF!,6,0)*I1397/1000),0,VLOOKUP($F1397,#REF!,6,0)*I1397/1000)</f>
        <v>0</v>
      </c>
      <c r="O1397" s="21">
        <f>IF(ISERROR(VLOOKUP($F1397,#REF!,6,0)*J1397/1000),0,VLOOKUP($F1397,#REF!,6,0)*J1397/1000)</f>
        <v>0</v>
      </c>
      <c r="P1397" s="21">
        <f>IF(ISERROR(VLOOKUP(F1397,#REF!,6,0)*K1397/1000),0,VLOOKUP(F1397,#REF!,6,0)*K1397/1000)</f>
        <v>0</v>
      </c>
      <c r="Q1397" s="6">
        <f>IF(ISERROR(VLOOKUP(F1397,#REF!,3,0)),0,VLOOKUP(F1397,#REF!,3,0))</f>
        <v>0</v>
      </c>
      <c r="R1397" s="6">
        <f>IF(ISERROR(VLOOKUP(F1397,#REF!,4,0)),0,VLOOKUP(F1397,#REF!,4,0))</f>
        <v>0</v>
      </c>
      <c r="S1397" s="8">
        <f>IF(ISERROR(VLOOKUP(F1397,#REF!,4,0)),0,VLOOKUP(F1397,#REF!,10,0)/60*K1397)</f>
        <v>0</v>
      </c>
      <c r="T1397" s="3"/>
      <c r="U1397" s="3" t="e">
        <f>S1397/K1397*60</f>
        <v>#DIV/0!</v>
      </c>
      <c r="V1397" s="4"/>
    </row>
    <row r="1398" spans="1:22" x14ac:dyDescent="0.3">
      <c r="A1398" s="5">
        <f t="shared" si="64"/>
        <v>0</v>
      </c>
      <c r="B1398" s="6">
        <f t="shared" si="65"/>
        <v>0</v>
      </c>
      <c r="K1398" s="18">
        <f t="shared" si="63"/>
        <v>0</v>
      </c>
      <c r="L1398" s="21">
        <f>IF(ISERROR(VLOOKUP($F1398,#REF!,6,0)*G1398/1000),0,VLOOKUP($F1398,#REF!,6,0)*G1398/1000)</f>
        <v>0</v>
      </c>
      <c r="M1398" s="21">
        <f>IF(ISERROR(VLOOKUP($F1398,#REF!,6,0)*H1398/1000),0,VLOOKUP($F1398,#REF!,6,0)*H1398/1000)</f>
        <v>0</v>
      </c>
      <c r="N1398" s="21">
        <f>IF(ISERROR(VLOOKUP($F1398,#REF!,6,0)*I1398/1000),0,VLOOKUP($F1398,#REF!,6,0)*I1398/1000)</f>
        <v>0</v>
      </c>
      <c r="O1398" s="21">
        <f>IF(ISERROR(VLOOKUP($F1398,#REF!,6,0)*J1398/1000),0,VLOOKUP($F1398,#REF!,6,0)*J1398/1000)</f>
        <v>0</v>
      </c>
      <c r="P1398" s="21">
        <f>IF(ISERROR(VLOOKUP(F1398,#REF!,6,0)*K1398/1000),0,VLOOKUP(F1398,#REF!,6,0)*K1398/1000)</f>
        <v>0</v>
      </c>
      <c r="Q1398" s="6">
        <f>IF(ISERROR(VLOOKUP(F1398,#REF!,3,0)),0,VLOOKUP(F1398,#REF!,3,0))</f>
        <v>0</v>
      </c>
      <c r="R1398" s="6">
        <f>IF(ISERROR(VLOOKUP(F1398,#REF!,4,0)),0,VLOOKUP(F1398,#REF!,4,0))</f>
        <v>0</v>
      </c>
      <c r="S1398" s="8">
        <f>IF(ISERROR(VLOOKUP(F1398,#REF!,4,0)),0,VLOOKUP(F1398,#REF!,10,0)/60*K1398)</f>
        <v>0</v>
      </c>
      <c r="T1398" s="3"/>
      <c r="U1398" s="3" t="e">
        <f t="shared" ref="U1398:U1411" si="66">S1398/K1398*60</f>
        <v>#DIV/0!</v>
      </c>
      <c r="V1398" s="4"/>
    </row>
    <row r="1399" spans="1:22" x14ac:dyDescent="0.3">
      <c r="A1399" s="5">
        <f t="shared" si="64"/>
        <v>0</v>
      </c>
      <c r="B1399" s="6">
        <f t="shared" si="65"/>
        <v>0</v>
      </c>
      <c r="K1399" s="18">
        <f t="shared" si="63"/>
        <v>0</v>
      </c>
      <c r="L1399" s="21">
        <f>IF(ISERROR(VLOOKUP($F1399,#REF!,6,0)*G1399/1000),0,VLOOKUP($F1399,#REF!,6,0)*G1399/1000)</f>
        <v>0</v>
      </c>
      <c r="M1399" s="21">
        <f>IF(ISERROR(VLOOKUP($F1399,#REF!,6,0)*H1399/1000),0,VLOOKUP($F1399,#REF!,6,0)*H1399/1000)</f>
        <v>0</v>
      </c>
      <c r="N1399" s="21">
        <f>IF(ISERROR(VLOOKUP($F1399,#REF!,6,0)*I1399/1000),0,VLOOKUP($F1399,#REF!,6,0)*I1399/1000)</f>
        <v>0</v>
      </c>
      <c r="O1399" s="21">
        <f>IF(ISERROR(VLOOKUP($F1399,#REF!,6,0)*J1399/1000),0,VLOOKUP($F1399,#REF!,6,0)*J1399/1000)</f>
        <v>0</v>
      </c>
      <c r="P1399" s="21">
        <f>IF(ISERROR(VLOOKUP(F1399,#REF!,6,0)*K1399/1000),0,VLOOKUP(F1399,#REF!,6,0)*K1399/1000)</f>
        <v>0</v>
      </c>
      <c r="Q1399" s="6">
        <f>IF(ISERROR(VLOOKUP(F1399,#REF!,3,0)),0,VLOOKUP(F1399,#REF!,3,0))</f>
        <v>0</v>
      </c>
      <c r="R1399" s="6">
        <f>IF(ISERROR(VLOOKUP(F1399,#REF!,4,0)),0,VLOOKUP(F1399,#REF!,4,0))</f>
        <v>0</v>
      </c>
      <c r="S1399" s="8">
        <f>IF(ISERROR(VLOOKUP(F1399,#REF!,4,0)),0,VLOOKUP(F1399,#REF!,10,0)/60*K1399)</f>
        <v>0</v>
      </c>
      <c r="T1399" s="3"/>
      <c r="U1399" s="3" t="e">
        <f t="shared" si="66"/>
        <v>#DIV/0!</v>
      </c>
      <c r="V1399" s="4"/>
    </row>
    <row r="1400" spans="1:22" x14ac:dyDescent="0.3">
      <c r="A1400" s="5">
        <f t="shared" si="64"/>
        <v>0</v>
      </c>
      <c r="B1400" s="6">
        <f t="shared" si="65"/>
        <v>0</v>
      </c>
      <c r="K1400" s="18">
        <f t="shared" si="63"/>
        <v>0</v>
      </c>
      <c r="L1400" s="21">
        <f>IF(ISERROR(VLOOKUP($F1400,#REF!,6,0)*G1400/1000),0,VLOOKUP($F1400,#REF!,6,0)*G1400/1000)</f>
        <v>0</v>
      </c>
      <c r="M1400" s="21">
        <f>IF(ISERROR(VLOOKUP($F1400,#REF!,6,0)*H1400/1000),0,VLOOKUP($F1400,#REF!,6,0)*H1400/1000)</f>
        <v>0</v>
      </c>
      <c r="N1400" s="21">
        <f>IF(ISERROR(VLOOKUP($F1400,#REF!,6,0)*I1400/1000),0,VLOOKUP($F1400,#REF!,6,0)*I1400/1000)</f>
        <v>0</v>
      </c>
      <c r="O1400" s="21">
        <f>IF(ISERROR(VLOOKUP($F1400,#REF!,6,0)*J1400/1000),0,VLOOKUP($F1400,#REF!,6,0)*J1400/1000)</f>
        <v>0</v>
      </c>
      <c r="P1400" s="21">
        <f>IF(ISERROR(VLOOKUP(F1400,#REF!,6,0)*K1400/1000),0,VLOOKUP(F1400,#REF!,6,0)*K1400/1000)</f>
        <v>0</v>
      </c>
      <c r="Q1400" s="6">
        <f>IF(ISERROR(VLOOKUP(F1400,#REF!,3,0)),0,VLOOKUP(F1400,#REF!,3,0))</f>
        <v>0</v>
      </c>
      <c r="R1400" s="6">
        <f>IF(ISERROR(VLOOKUP(F1400,#REF!,4,0)),0,VLOOKUP(F1400,#REF!,4,0))</f>
        <v>0</v>
      </c>
      <c r="S1400" s="8">
        <f>IF(ISERROR(VLOOKUP(F1400,#REF!,4,0)),0,VLOOKUP(F1400,#REF!,10,0)/60*K1400)</f>
        <v>0</v>
      </c>
      <c r="T1400" s="3"/>
      <c r="U1400" s="3" t="e">
        <f t="shared" si="66"/>
        <v>#DIV/0!</v>
      </c>
      <c r="V1400" s="4"/>
    </row>
    <row r="1401" spans="1:22" x14ac:dyDescent="0.3">
      <c r="A1401" s="5">
        <f t="shared" si="64"/>
        <v>0</v>
      </c>
      <c r="B1401" s="6">
        <f t="shared" si="65"/>
        <v>0</v>
      </c>
      <c r="K1401" s="18">
        <f t="shared" si="63"/>
        <v>0</v>
      </c>
      <c r="L1401" s="21">
        <f>IF(ISERROR(VLOOKUP($F1401,#REF!,6,0)*G1401/1000),0,VLOOKUP($F1401,#REF!,6,0)*G1401/1000)</f>
        <v>0</v>
      </c>
      <c r="M1401" s="21">
        <f>IF(ISERROR(VLOOKUP($F1401,#REF!,6,0)*H1401/1000),0,VLOOKUP($F1401,#REF!,6,0)*H1401/1000)</f>
        <v>0</v>
      </c>
      <c r="N1401" s="21">
        <f>IF(ISERROR(VLOOKUP($F1401,#REF!,6,0)*I1401/1000),0,VLOOKUP($F1401,#REF!,6,0)*I1401/1000)</f>
        <v>0</v>
      </c>
      <c r="O1401" s="21">
        <f>IF(ISERROR(VLOOKUP($F1401,#REF!,6,0)*J1401/1000),0,VLOOKUP($F1401,#REF!,6,0)*J1401/1000)</f>
        <v>0</v>
      </c>
      <c r="P1401" s="21">
        <f>IF(ISERROR(VLOOKUP(F1401,#REF!,6,0)*K1401/1000),0,VLOOKUP(F1401,#REF!,6,0)*K1401/1000)</f>
        <v>0</v>
      </c>
      <c r="Q1401" s="6">
        <f>IF(ISERROR(VLOOKUP(F1401,#REF!,3,0)),0,VLOOKUP(F1401,#REF!,3,0))</f>
        <v>0</v>
      </c>
      <c r="R1401" s="6">
        <f>IF(ISERROR(VLOOKUP(F1401,#REF!,4,0)),0,VLOOKUP(F1401,#REF!,4,0))</f>
        <v>0</v>
      </c>
      <c r="S1401" s="8">
        <f>IF(ISERROR(VLOOKUP(F1401,#REF!,4,0)),0,VLOOKUP(F1401,#REF!,10,0)/60*K1401)</f>
        <v>0</v>
      </c>
      <c r="T1401" s="3"/>
      <c r="U1401" s="3" t="e">
        <f t="shared" si="66"/>
        <v>#DIV/0!</v>
      </c>
      <c r="V1401" s="4"/>
    </row>
    <row r="1402" spans="1:22" x14ac:dyDescent="0.3">
      <c r="A1402" s="5">
        <f t="shared" si="64"/>
        <v>0</v>
      </c>
      <c r="B1402" s="6">
        <f t="shared" si="65"/>
        <v>0</v>
      </c>
      <c r="K1402" s="18">
        <f t="shared" si="63"/>
        <v>0</v>
      </c>
      <c r="L1402" s="21">
        <f>IF(ISERROR(VLOOKUP($F1402,#REF!,6,0)*G1402/1000),0,VLOOKUP($F1402,#REF!,6,0)*G1402/1000)</f>
        <v>0</v>
      </c>
      <c r="M1402" s="21">
        <f>IF(ISERROR(VLOOKUP($F1402,#REF!,6,0)*H1402/1000),0,VLOOKUP($F1402,#REF!,6,0)*H1402/1000)</f>
        <v>0</v>
      </c>
      <c r="N1402" s="21">
        <f>IF(ISERROR(VLOOKUP($F1402,#REF!,6,0)*I1402/1000),0,VLOOKUP($F1402,#REF!,6,0)*I1402/1000)</f>
        <v>0</v>
      </c>
      <c r="O1402" s="21">
        <f>IF(ISERROR(VLOOKUP($F1402,#REF!,6,0)*J1402/1000),0,VLOOKUP($F1402,#REF!,6,0)*J1402/1000)</f>
        <v>0</v>
      </c>
      <c r="P1402" s="21">
        <f>IF(ISERROR(VLOOKUP(F1402,#REF!,6,0)*K1402/1000),0,VLOOKUP(F1402,#REF!,6,0)*K1402/1000)</f>
        <v>0</v>
      </c>
      <c r="Q1402" s="6">
        <f>IF(ISERROR(VLOOKUP(F1402,#REF!,3,0)),0,VLOOKUP(F1402,#REF!,3,0))</f>
        <v>0</v>
      </c>
      <c r="R1402" s="6">
        <f>IF(ISERROR(VLOOKUP(F1402,#REF!,4,0)),0,VLOOKUP(F1402,#REF!,4,0))</f>
        <v>0</v>
      </c>
      <c r="S1402" s="8">
        <f>IF(ISERROR(VLOOKUP(F1402,#REF!,4,0)),0,VLOOKUP(F1402,#REF!,10,0)/60*K1402)</f>
        <v>0</v>
      </c>
      <c r="T1402" s="3"/>
      <c r="U1402" s="3" t="e">
        <f t="shared" si="66"/>
        <v>#DIV/0!</v>
      </c>
      <c r="V1402" s="4"/>
    </row>
    <row r="1403" spans="1:22" x14ac:dyDescent="0.3">
      <c r="A1403" s="5">
        <f t="shared" si="64"/>
        <v>0</v>
      </c>
      <c r="B1403" s="6">
        <f t="shared" si="65"/>
        <v>0</v>
      </c>
      <c r="K1403" s="18">
        <f t="shared" si="63"/>
        <v>0</v>
      </c>
      <c r="L1403" s="21">
        <f>IF(ISERROR(VLOOKUP($F1403,#REF!,6,0)*G1403/1000),0,VLOOKUP($F1403,#REF!,6,0)*G1403/1000)</f>
        <v>0</v>
      </c>
      <c r="M1403" s="21">
        <f>IF(ISERROR(VLOOKUP($F1403,#REF!,6,0)*H1403/1000),0,VLOOKUP($F1403,#REF!,6,0)*H1403/1000)</f>
        <v>0</v>
      </c>
      <c r="N1403" s="21">
        <f>IF(ISERROR(VLOOKUP($F1403,#REF!,6,0)*I1403/1000),0,VLOOKUP($F1403,#REF!,6,0)*I1403/1000)</f>
        <v>0</v>
      </c>
      <c r="O1403" s="21">
        <f>IF(ISERROR(VLOOKUP($F1403,#REF!,6,0)*J1403/1000),0,VLOOKUP($F1403,#REF!,6,0)*J1403/1000)</f>
        <v>0</v>
      </c>
      <c r="P1403" s="21">
        <f>IF(ISERROR(VLOOKUP(F1403,#REF!,6,0)*K1403/1000),0,VLOOKUP(F1403,#REF!,6,0)*K1403/1000)</f>
        <v>0</v>
      </c>
      <c r="Q1403" s="6">
        <f>IF(ISERROR(VLOOKUP(F1403,#REF!,3,0)),0,VLOOKUP(F1403,#REF!,3,0))</f>
        <v>0</v>
      </c>
      <c r="R1403" s="6">
        <f>IF(ISERROR(VLOOKUP(F1403,#REF!,4,0)),0,VLOOKUP(F1403,#REF!,4,0))</f>
        <v>0</v>
      </c>
      <c r="S1403" s="8">
        <f>IF(ISERROR(VLOOKUP(F1403,#REF!,4,0)),0,VLOOKUP(F1403,#REF!,10,0)/60*K1403)</f>
        <v>0</v>
      </c>
      <c r="T1403" s="3"/>
      <c r="U1403" s="3" t="e">
        <f t="shared" si="66"/>
        <v>#DIV/0!</v>
      </c>
      <c r="V1403" s="4"/>
    </row>
    <row r="1404" spans="1:22" x14ac:dyDescent="0.3">
      <c r="A1404" s="5">
        <f t="shared" si="64"/>
        <v>0</v>
      </c>
      <c r="B1404" s="6">
        <f t="shared" si="65"/>
        <v>0</v>
      </c>
      <c r="K1404" s="18">
        <f t="shared" si="63"/>
        <v>0</v>
      </c>
      <c r="L1404" s="21">
        <f>IF(ISERROR(VLOOKUP($F1404,#REF!,6,0)*G1404/1000),0,VLOOKUP($F1404,#REF!,6,0)*G1404/1000)</f>
        <v>0</v>
      </c>
      <c r="M1404" s="21">
        <f>IF(ISERROR(VLOOKUP($F1404,#REF!,6,0)*H1404/1000),0,VLOOKUP($F1404,#REF!,6,0)*H1404/1000)</f>
        <v>0</v>
      </c>
      <c r="N1404" s="21">
        <f>IF(ISERROR(VLOOKUP($F1404,#REF!,6,0)*I1404/1000),0,VLOOKUP($F1404,#REF!,6,0)*I1404/1000)</f>
        <v>0</v>
      </c>
      <c r="O1404" s="21">
        <f>IF(ISERROR(VLOOKUP($F1404,#REF!,6,0)*J1404/1000),0,VLOOKUP($F1404,#REF!,6,0)*J1404/1000)</f>
        <v>0</v>
      </c>
      <c r="P1404" s="21">
        <f>IF(ISERROR(VLOOKUP(F1404,#REF!,6,0)*K1404/1000),0,VLOOKUP(F1404,#REF!,6,0)*K1404/1000)</f>
        <v>0</v>
      </c>
      <c r="Q1404" s="6">
        <f>IF(ISERROR(VLOOKUP(F1404,#REF!,3,0)),0,VLOOKUP(F1404,#REF!,3,0))</f>
        <v>0</v>
      </c>
      <c r="R1404" s="6">
        <f>IF(ISERROR(VLOOKUP(F1404,#REF!,4,0)),0,VLOOKUP(F1404,#REF!,4,0))</f>
        <v>0</v>
      </c>
      <c r="S1404" s="8">
        <f>IF(ISERROR(VLOOKUP(F1404,#REF!,4,0)),0,VLOOKUP(F1404,#REF!,10,0)/60*K1404)</f>
        <v>0</v>
      </c>
      <c r="T1404" s="3"/>
      <c r="U1404" s="3" t="e">
        <f t="shared" si="66"/>
        <v>#DIV/0!</v>
      </c>
      <c r="V1404" s="4"/>
    </row>
    <row r="1405" spans="1:22" x14ac:dyDescent="0.3">
      <c r="A1405" s="5">
        <f t="shared" si="64"/>
        <v>0</v>
      </c>
      <c r="B1405" s="6">
        <f t="shared" si="65"/>
        <v>0</v>
      </c>
      <c r="K1405" s="18">
        <f t="shared" si="63"/>
        <v>0</v>
      </c>
      <c r="L1405" s="21">
        <f>IF(ISERROR(VLOOKUP($F1405,#REF!,6,0)*G1405/1000),0,VLOOKUP($F1405,#REF!,6,0)*G1405/1000)</f>
        <v>0</v>
      </c>
      <c r="M1405" s="21">
        <f>IF(ISERROR(VLOOKUP($F1405,#REF!,6,0)*H1405/1000),0,VLOOKUP($F1405,#REF!,6,0)*H1405/1000)</f>
        <v>0</v>
      </c>
      <c r="N1405" s="21">
        <f>IF(ISERROR(VLOOKUP($F1405,#REF!,6,0)*I1405/1000),0,VLOOKUP($F1405,#REF!,6,0)*I1405/1000)</f>
        <v>0</v>
      </c>
      <c r="O1405" s="21">
        <f>IF(ISERROR(VLOOKUP($F1405,#REF!,6,0)*J1405/1000),0,VLOOKUP($F1405,#REF!,6,0)*J1405/1000)</f>
        <v>0</v>
      </c>
      <c r="P1405" s="21">
        <f>IF(ISERROR(VLOOKUP(F1405,#REF!,6,0)*K1405/1000),0,VLOOKUP(F1405,#REF!,6,0)*K1405/1000)</f>
        <v>0</v>
      </c>
      <c r="Q1405" s="6">
        <f>IF(ISERROR(VLOOKUP(F1405,#REF!,3,0)),0,VLOOKUP(F1405,#REF!,3,0))</f>
        <v>0</v>
      </c>
      <c r="R1405" s="6">
        <f>IF(ISERROR(VLOOKUP(F1405,#REF!,4,0)),0,VLOOKUP(F1405,#REF!,4,0))</f>
        <v>0</v>
      </c>
      <c r="S1405" s="8">
        <f>IF(ISERROR(VLOOKUP(F1405,#REF!,4,0)),0,VLOOKUP(F1405,#REF!,10,0)/60*K1405)</f>
        <v>0</v>
      </c>
      <c r="T1405" s="3"/>
      <c r="U1405" s="3" t="e">
        <f t="shared" si="66"/>
        <v>#DIV/0!</v>
      </c>
      <c r="V1405" s="4"/>
    </row>
    <row r="1406" spans="1:22" x14ac:dyDescent="0.3">
      <c r="A1406" s="5">
        <f t="shared" si="64"/>
        <v>0</v>
      </c>
      <c r="B1406" s="6">
        <f t="shared" si="65"/>
        <v>0</v>
      </c>
      <c r="K1406" s="18">
        <f t="shared" si="63"/>
        <v>0</v>
      </c>
      <c r="L1406" s="21">
        <f>IF(ISERROR(VLOOKUP($F1406,#REF!,6,0)*G1406/1000),0,VLOOKUP($F1406,#REF!,6,0)*G1406/1000)</f>
        <v>0</v>
      </c>
      <c r="M1406" s="21">
        <f>IF(ISERROR(VLOOKUP($F1406,#REF!,6,0)*H1406/1000),0,VLOOKUP($F1406,#REF!,6,0)*H1406/1000)</f>
        <v>0</v>
      </c>
      <c r="N1406" s="21">
        <f>IF(ISERROR(VLOOKUP($F1406,#REF!,6,0)*I1406/1000),0,VLOOKUP($F1406,#REF!,6,0)*I1406/1000)</f>
        <v>0</v>
      </c>
      <c r="O1406" s="21">
        <f>IF(ISERROR(VLOOKUP($F1406,#REF!,6,0)*J1406/1000),0,VLOOKUP($F1406,#REF!,6,0)*J1406/1000)</f>
        <v>0</v>
      </c>
      <c r="P1406" s="21">
        <f>IF(ISERROR(VLOOKUP(F1406,#REF!,6,0)*K1406/1000),0,VLOOKUP(F1406,#REF!,6,0)*K1406/1000)</f>
        <v>0</v>
      </c>
      <c r="Q1406" s="6">
        <f>IF(ISERROR(VLOOKUP(F1406,#REF!,3,0)),0,VLOOKUP(F1406,#REF!,3,0))</f>
        <v>0</v>
      </c>
      <c r="R1406" s="6">
        <f>IF(ISERROR(VLOOKUP(F1406,#REF!,4,0)),0,VLOOKUP(F1406,#REF!,4,0))</f>
        <v>0</v>
      </c>
      <c r="S1406" s="8">
        <f>IF(ISERROR(VLOOKUP(F1406,#REF!,4,0)),0,VLOOKUP(F1406,#REF!,10,0)/60*K1406)</f>
        <v>0</v>
      </c>
      <c r="T1406" s="3"/>
      <c r="U1406" s="3" t="e">
        <f t="shared" si="66"/>
        <v>#DIV/0!</v>
      </c>
      <c r="V1406" s="4"/>
    </row>
    <row r="1407" spans="1:22" x14ac:dyDescent="0.3">
      <c r="A1407" s="5">
        <f t="shared" si="64"/>
        <v>0</v>
      </c>
      <c r="B1407" s="6">
        <f t="shared" si="65"/>
        <v>0</v>
      </c>
      <c r="K1407" s="18">
        <f t="shared" si="63"/>
        <v>0</v>
      </c>
      <c r="L1407" s="21">
        <f>IF(ISERROR(VLOOKUP($F1407,#REF!,6,0)*G1407/1000),0,VLOOKUP($F1407,#REF!,6,0)*G1407/1000)</f>
        <v>0</v>
      </c>
      <c r="M1407" s="21">
        <f>IF(ISERROR(VLOOKUP($F1407,#REF!,6,0)*H1407/1000),0,VLOOKUP($F1407,#REF!,6,0)*H1407/1000)</f>
        <v>0</v>
      </c>
      <c r="N1407" s="21">
        <f>IF(ISERROR(VLOOKUP($F1407,#REF!,6,0)*I1407/1000),0,VLOOKUP($F1407,#REF!,6,0)*I1407/1000)</f>
        <v>0</v>
      </c>
      <c r="O1407" s="21">
        <f>IF(ISERROR(VLOOKUP($F1407,#REF!,6,0)*J1407/1000),0,VLOOKUP($F1407,#REF!,6,0)*J1407/1000)</f>
        <v>0</v>
      </c>
      <c r="P1407" s="21">
        <f>IF(ISERROR(VLOOKUP(F1407,#REF!,6,0)*K1407/1000),0,VLOOKUP(F1407,#REF!,6,0)*K1407/1000)</f>
        <v>0</v>
      </c>
      <c r="Q1407" s="6">
        <f>IF(ISERROR(VLOOKUP(F1407,#REF!,3,0)),0,VLOOKUP(F1407,#REF!,3,0))</f>
        <v>0</v>
      </c>
      <c r="R1407" s="6">
        <f>IF(ISERROR(VLOOKUP(F1407,#REF!,4,0)),0,VLOOKUP(F1407,#REF!,4,0))</f>
        <v>0</v>
      </c>
      <c r="S1407" s="8">
        <f>IF(ISERROR(VLOOKUP(F1407,#REF!,4,0)),0,VLOOKUP(F1407,#REF!,10,0)/60*K1407)</f>
        <v>0</v>
      </c>
      <c r="T1407" s="3"/>
      <c r="U1407" s="3" t="e">
        <f t="shared" si="66"/>
        <v>#DIV/0!</v>
      </c>
      <c r="V1407" s="4"/>
    </row>
    <row r="1408" spans="1:22" x14ac:dyDescent="0.3">
      <c r="A1408" s="5">
        <f t="shared" si="64"/>
        <v>0</v>
      </c>
      <c r="B1408" s="6">
        <f t="shared" si="65"/>
        <v>0</v>
      </c>
      <c r="K1408" s="18">
        <f t="shared" si="63"/>
        <v>0</v>
      </c>
      <c r="L1408" s="21">
        <f>IF(ISERROR(VLOOKUP($F1408,#REF!,6,0)*G1408/1000),0,VLOOKUP($F1408,#REF!,6,0)*G1408/1000)</f>
        <v>0</v>
      </c>
      <c r="M1408" s="21">
        <f>IF(ISERROR(VLOOKUP($F1408,#REF!,6,0)*H1408/1000),0,VLOOKUP($F1408,#REF!,6,0)*H1408/1000)</f>
        <v>0</v>
      </c>
      <c r="N1408" s="21">
        <f>IF(ISERROR(VLOOKUP($F1408,#REF!,6,0)*I1408/1000),0,VLOOKUP($F1408,#REF!,6,0)*I1408/1000)</f>
        <v>0</v>
      </c>
      <c r="O1408" s="21">
        <f>IF(ISERROR(VLOOKUP($F1408,#REF!,6,0)*J1408/1000),0,VLOOKUP($F1408,#REF!,6,0)*J1408/1000)</f>
        <v>0</v>
      </c>
      <c r="P1408" s="21">
        <f>IF(ISERROR(VLOOKUP(F1408,#REF!,6,0)*K1408/1000),0,VLOOKUP(F1408,#REF!,6,0)*K1408/1000)</f>
        <v>0</v>
      </c>
      <c r="Q1408" s="6">
        <f>IF(ISERROR(VLOOKUP(F1408,#REF!,3,0)),0,VLOOKUP(F1408,#REF!,3,0))</f>
        <v>0</v>
      </c>
      <c r="R1408" s="6">
        <f>IF(ISERROR(VLOOKUP(F1408,#REF!,4,0)),0,VLOOKUP(F1408,#REF!,4,0))</f>
        <v>0</v>
      </c>
      <c r="S1408" s="8">
        <f>IF(ISERROR(VLOOKUP(F1408,#REF!,4,0)),0,VLOOKUP(F1408,#REF!,10,0)/60*K1408)</f>
        <v>0</v>
      </c>
      <c r="T1408" s="3"/>
      <c r="U1408" s="3" t="e">
        <f t="shared" si="66"/>
        <v>#DIV/0!</v>
      </c>
      <c r="V1408" s="4"/>
    </row>
    <row r="1409" spans="1:22" x14ac:dyDescent="0.3">
      <c r="A1409" s="5">
        <f t="shared" si="64"/>
        <v>0</v>
      </c>
      <c r="B1409" s="6">
        <f t="shared" si="65"/>
        <v>0</v>
      </c>
      <c r="K1409" s="18">
        <f t="shared" si="63"/>
        <v>0</v>
      </c>
      <c r="L1409" s="21">
        <f>IF(ISERROR(VLOOKUP($F1409,#REF!,6,0)*G1409/1000),0,VLOOKUP($F1409,#REF!,6,0)*G1409/1000)</f>
        <v>0</v>
      </c>
      <c r="M1409" s="21">
        <f>IF(ISERROR(VLOOKUP($F1409,#REF!,6,0)*H1409/1000),0,VLOOKUP($F1409,#REF!,6,0)*H1409/1000)</f>
        <v>0</v>
      </c>
      <c r="N1409" s="21">
        <f>IF(ISERROR(VLOOKUP($F1409,#REF!,6,0)*I1409/1000),0,VLOOKUP($F1409,#REF!,6,0)*I1409/1000)</f>
        <v>0</v>
      </c>
      <c r="O1409" s="21">
        <f>IF(ISERROR(VLOOKUP($F1409,#REF!,6,0)*J1409/1000),0,VLOOKUP($F1409,#REF!,6,0)*J1409/1000)</f>
        <v>0</v>
      </c>
      <c r="P1409" s="21">
        <f>IF(ISERROR(VLOOKUP(F1409,#REF!,6,0)*K1409/1000),0,VLOOKUP(F1409,#REF!,6,0)*K1409/1000)</f>
        <v>0</v>
      </c>
      <c r="Q1409" s="6">
        <f>IF(ISERROR(VLOOKUP(F1409,#REF!,3,0)),0,VLOOKUP(F1409,#REF!,3,0))</f>
        <v>0</v>
      </c>
      <c r="R1409" s="6">
        <f>IF(ISERROR(VLOOKUP(F1409,#REF!,4,0)),0,VLOOKUP(F1409,#REF!,4,0))</f>
        <v>0</v>
      </c>
      <c r="S1409" s="8">
        <f>IF(ISERROR(VLOOKUP(F1409,#REF!,4,0)),0,VLOOKUP(F1409,#REF!,10,0)/60*K1409)</f>
        <v>0</v>
      </c>
      <c r="T1409" s="3"/>
      <c r="U1409" s="3" t="e">
        <f t="shared" si="66"/>
        <v>#DIV/0!</v>
      </c>
      <c r="V1409" s="4"/>
    </row>
    <row r="1410" spans="1:22" x14ac:dyDescent="0.3">
      <c r="A1410" s="5">
        <f t="shared" si="64"/>
        <v>0</v>
      </c>
      <c r="B1410" s="6">
        <f t="shared" si="65"/>
        <v>0</v>
      </c>
      <c r="K1410" s="18">
        <f t="shared" si="63"/>
        <v>0</v>
      </c>
      <c r="L1410" s="21">
        <f>IF(ISERROR(VLOOKUP($F1410,#REF!,6,0)*G1410/1000),0,VLOOKUP($F1410,#REF!,6,0)*G1410/1000)</f>
        <v>0</v>
      </c>
      <c r="M1410" s="21">
        <f>IF(ISERROR(VLOOKUP($F1410,#REF!,6,0)*H1410/1000),0,VLOOKUP($F1410,#REF!,6,0)*H1410/1000)</f>
        <v>0</v>
      </c>
      <c r="N1410" s="21">
        <f>IF(ISERROR(VLOOKUP($F1410,#REF!,6,0)*I1410/1000),0,VLOOKUP($F1410,#REF!,6,0)*I1410/1000)</f>
        <v>0</v>
      </c>
      <c r="O1410" s="21">
        <f>IF(ISERROR(VLOOKUP($F1410,#REF!,6,0)*J1410/1000),0,VLOOKUP($F1410,#REF!,6,0)*J1410/1000)</f>
        <v>0</v>
      </c>
      <c r="P1410" s="21">
        <f>IF(ISERROR(VLOOKUP(F1410,#REF!,6,0)*K1410/1000),0,VLOOKUP(F1410,#REF!,6,0)*K1410/1000)</f>
        <v>0</v>
      </c>
      <c r="Q1410" s="6">
        <f>IF(ISERROR(VLOOKUP(F1410,#REF!,3,0)),0,VLOOKUP(F1410,#REF!,3,0))</f>
        <v>0</v>
      </c>
      <c r="R1410" s="6">
        <f>IF(ISERROR(VLOOKUP(F1410,#REF!,4,0)),0,VLOOKUP(F1410,#REF!,4,0))</f>
        <v>0</v>
      </c>
      <c r="S1410" s="8">
        <f>IF(ISERROR(VLOOKUP(F1410,#REF!,4,0)),0,VLOOKUP(F1410,#REF!,10,0)/60*K1410)</f>
        <v>0</v>
      </c>
      <c r="T1410" s="3"/>
      <c r="U1410" s="3" t="e">
        <f t="shared" si="66"/>
        <v>#DIV/0!</v>
      </c>
      <c r="V1410" s="4"/>
    </row>
    <row r="1411" spans="1:22" x14ac:dyDescent="0.3">
      <c r="A1411" s="5">
        <f t="shared" si="64"/>
        <v>0</v>
      </c>
      <c r="B1411" s="6">
        <f t="shared" si="65"/>
        <v>0</v>
      </c>
      <c r="K1411" s="18">
        <f t="shared" si="63"/>
        <v>0</v>
      </c>
      <c r="L1411" s="21">
        <f>IF(ISERROR(VLOOKUP($F1411,#REF!,6,0)*G1411/1000),0,VLOOKUP($F1411,#REF!,6,0)*G1411/1000)</f>
        <v>0</v>
      </c>
      <c r="M1411" s="21">
        <f>IF(ISERROR(VLOOKUP($F1411,#REF!,6,0)*H1411/1000),0,VLOOKUP($F1411,#REF!,6,0)*H1411/1000)</f>
        <v>0</v>
      </c>
      <c r="N1411" s="21">
        <f>IF(ISERROR(VLOOKUP($F1411,#REF!,6,0)*I1411/1000),0,VLOOKUP($F1411,#REF!,6,0)*I1411/1000)</f>
        <v>0</v>
      </c>
      <c r="O1411" s="21">
        <f>IF(ISERROR(VLOOKUP($F1411,#REF!,6,0)*J1411/1000),0,VLOOKUP($F1411,#REF!,6,0)*J1411/1000)</f>
        <v>0</v>
      </c>
      <c r="P1411" s="21">
        <f>IF(ISERROR(VLOOKUP(F1411,#REF!,6,0)*K1411/1000),0,VLOOKUP(F1411,#REF!,6,0)*K1411/1000)</f>
        <v>0</v>
      </c>
      <c r="Q1411" s="6">
        <f>IF(ISERROR(VLOOKUP(F1411,#REF!,3,0)),0,VLOOKUP(F1411,#REF!,3,0))</f>
        <v>0</v>
      </c>
      <c r="R1411" s="6">
        <f>IF(ISERROR(VLOOKUP(F1411,#REF!,4,0)),0,VLOOKUP(F1411,#REF!,4,0))</f>
        <v>0</v>
      </c>
      <c r="S1411" s="8">
        <f>IF(ISERROR(VLOOKUP(F1411,#REF!,4,0)),0,VLOOKUP(F1411,#REF!,10,0)/60*K1411)</f>
        <v>0</v>
      </c>
      <c r="T1411" s="3"/>
      <c r="U1411" s="3" t="e">
        <f t="shared" si="66"/>
        <v>#DIV/0!</v>
      </c>
      <c r="V1411" s="4"/>
    </row>
    <row r="1412" spans="1:22" x14ac:dyDescent="0.3">
      <c r="A1412" s="5">
        <f t="shared" si="64"/>
        <v>0</v>
      </c>
      <c r="B1412" s="6">
        <f t="shared" si="65"/>
        <v>0</v>
      </c>
      <c r="K1412" s="18">
        <f t="shared" ref="K1412:K1471" si="67">SUM(G1412:J1412)</f>
        <v>0</v>
      </c>
      <c r="L1412" s="21">
        <f>IF(ISERROR(VLOOKUP($F1412,#REF!,6,0)*G1412/1000),0,VLOOKUP($F1412,#REF!,6,0)*G1412/1000)</f>
        <v>0</v>
      </c>
      <c r="M1412" s="21">
        <f>IF(ISERROR(VLOOKUP($F1412,#REF!,6,0)*H1412/1000),0,VLOOKUP($F1412,#REF!,6,0)*H1412/1000)</f>
        <v>0</v>
      </c>
      <c r="N1412" s="21">
        <f>IF(ISERROR(VLOOKUP($F1412,#REF!,6,0)*I1412/1000),0,VLOOKUP($F1412,#REF!,6,0)*I1412/1000)</f>
        <v>0</v>
      </c>
      <c r="O1412" s="21">
        <f>IF(ISERROR(VLOOKUP($F1412,#REF!,6,0)*J1412/1000),0,VLOOKUP($F1412,#REF!,6,0)*J1412/1000)</f>
        <v>0</v>
      </c>
      <c r="P1412" s="21">
        <f>IF(ISERROR(VLOOKUP(F1412,#REF!,6,0)*K1412/1000),0,VLOOKUP(F1412,#REF!,6,0)*K1412/1000)</f>
        <v>0</v>
      </c>
      <c r="Q1412" s="6">
        <f>IF(ISERROR(VLOOKUP(F1412,#REF!,3,0)),0,VLOOKUP(F1412,#REF!,3,0))</f>
        <v>0</v>
      </c>
      <c r="R1412" s="6">
        <f>IF(ISERROR(VLOOKUP(F1412,#REF!,4,0)),0,VLOOKUP(F1412,#REF!,4,0))</f>
        <v>0</v>
      </c>
      <c r="S1412" s="8">
        <f>IF(ISERROR(VLOOKUP(F1412,#REF!,4,0)),0,VLOOKUP(F1412,#REF!,10,0)/60*K1412)</f>
        <v>0</v>
      </c>
      <c r="T1412" s="3"/>
      <c r="U1412" s="3"/>
      <c r="V1412" s="4"/>
    </row>
    <row r="1413" spans="1:22" x14ac:dyDescent="0.3">
      <c r="A1413" s="5">
        <f t="shared" ref="A1413:A1471" si="68">IF(C1413=0,0,YEAR(C1413))</f>
        <v>0</v>
      </c>
      <c r="B1413" s="6">
        <f t="shared" ref="B1413:B1471" si="69">IF(C1413&gt;0,VLOOKUP(MONTH($C1413),$AJ$3:$AK$14,2,0),0)</f>
        <v>0</v>
      </c>
      <c r="K1413" s="18">
        <f t="shared" si="67"/>
        <v>0</v>
      </c>
      <c r="L1413" s="21">
        <f>IF(ISERROR(VLOOKUP($F1413,#REF!,6,0)*G1413/1000),0,VLOOKUP($F1413,#REF!,6,0)*G1413/1000)</f>
        <v>0</v>
      </c>
      <c r="M1413" s="21">
        <f>IF(ISERROR(VLOOKUP($F1413,#REF!,6,0)*H1413/1000),0,VLOOKUP($F1413,#REF!,6,0)*H1413/1000)</f>
        <v>0</v>
      </c>
      <c r="N1413" s="21">
        <f>IF(ISERROR(VLOOKUP($F1413,#REF!,6,0)*I1413/1000),0,VLOOKUP($F1413,#REF!,6,0)*I1413/1000)</f>
        <v>0</v>
      </c>
      <c r="O1413" s="21">
        <f>IF(ISERROR(VLOOKUP($F1413,#REF!,6,0)*J1413/1000),0,VLOOKUP($F1413,#REF!,6,0)*J1413/1000)</f>
        <v>0</v>
      </c>
      <c r="P1413" s="21">
        <f>IF(ISERROR(VLOOKUP(F1413,#REF!,6,0)*K1413/1000),0,VLOOKUP(F1413,#REF!,6,0)*K1413/1000)</f>
        <v>0</v>
      </c>
      <c r="Q1413" s="6">
        <f>IF(ISERROR(VLOOKUP(F1413,#REF!,3,0)),0,VLOOKUP(F1413,#REF!,3,0))</f>
        <v>0</v>
      </c>
      <c r="R1413" s="6">
        <f>IF(ISERROR(VLOOKUP(F1413,#REF!,4,0)),0,VLOOKUP(F1413,#REF!,4,0))</f>
        <v>0</v>
      </c>
      <c r="S1413" s="8">
        <f>IF(ISERROR(VLOOKUP(F1413,#REF!,4,0)),0,VLOOKUP(F1413,#REF!,10,0)/60*K1413)</f>
        <v>0</v>
      </c>
      <c r="T1413" s="3"/>
      <c r="U1413" s="3"/>
      <c r="V1413" s="4"/>
    </row>
    <row r="1414" spans="1:22" x14ac:dyDescent="0.3">
      <c r="A1414" s="5">
        <f t="shared" si="68"/>
        <v>0</v>
      </c>
      <c r="B1414" s="6">
        <f t="shared" si="69"/>
        <v>0</v>
      </c>
      <c r="K1414" s="18">
        <f t="shared" si="67"/>
        <v>0</v>
      </c>
      <c r="L1414" s="21">
        <f>IF(ISERROR(VLOOKUP($F1414,#REF!,6,0)*G1414/1000),0,VLOOKUP($F1414,#REF!,6,0)*G1414/1000)</f>
        <v>0</v>
      </c>
      <c r="M1414" s="21">
        <f>IF(ISERROR(VLOOKUP($F1414,#REF!,6,0)*H1414/1000),0,VLOOKUP($F1414,#REF!,6,0)*H1414/1000)</f>
        <v>0</v>
      </c>
      <c r="N1414" s="21">
        <f>IF(ISERROR(VLOOKUP($F1414,#REF!,6,0)*I1414/1000),0,VLOOKUP($F1414,#REF!,6,0)*I1414/1000)</f>
        <v>0</v>
      </c>
      <c r="O1414" s="21">
        <f>IF(ISERROR(VLOOKUP($F1414,#REF!,6,0)*J1414/1000),0,VLOOKUP($F1414,#REF!,6,0)*J1414/1000)</f>
        <v>0</v>
      </c>
      <c r="P1414" s="21">
        <f>IF(ISERROR(VLOOKUP(F1414,#REF!,6,0)*K1414/1000),0,VLOOKUP(F1414,#REF!,6,0)*K1414/1000)</f>
        <v>0</v>
      </c>
      <c r="Q1414" s="6">
        <f>IF(ISERROR(VLOOKUP(F1414,#REF!,3,0)),0,VLOOKUP(F1414,#REF!,3,0))</f>
        <v>0</v>
      </c>
      <c r="R1414" s="6">
        <f>IF(ISERROR(VLOOKUP(F1414,#REF!,4,0)),0,VLOOKUP(F1414,#REF!,4,0))</f>
        <v>0</v>
      </c>
      <c r="S1414" s="8">
        <f>IF(ISERROR(VLOOKUP(F1414,#REF!,4,0)),0,VLOOKUP(F1414,#REF!,10,0)/60*K1414)</f>
        <v>0</v>
      </c>
      <c r="T1414" s="3"/>
      <c r="U1414" s="3"/>
      <c r="V1414" s="4"/>
    </row>
    <row r="1415" spans="1:22" x14ac:dyDescent="0.3">
      <c r="A1415" s="5">
        <f t="shared" si="68"/>
        <v>0</v>
      </c>
      <c r="B1415" s="6">
        <f t="shared" si="69"/>
        <v>0</v>
      </c>
      <c r="K1415" s="18">
        <f t="shared" si="67"/>
        <v>0</v>
      </c>
      <c r="L1415" s="21">
        <f>IF(ISERROR(VLOOKUP($F1415,#REF!,6,0)*G1415/1000),0,VLOOKUP($F1415,#REF!,6,0)*G1415/1000)</f>
        <v>0</v>
      </c>
      <c r="M1415" s="21">
        <f>IF(ISERROR(VLOOKUP($F1415,#REF!,6,0)*H1415/1000),0,VLOOKUP($F1415,#REF!,6,0)*H1415/1000)</f>
        <v>0</v>
      </c>
      <c r="N1415" s="21">
        <f>IF(ISERROR(VLOOKUP($F1415,#REF!,6,0)*I1415/1000),0,VLOOKUP($F1415,#REF!,6,0)*I1415/1000)</f>
        <v>0</v>
      </c>
      <c r="O1415" s="21">
        <f>IF(ISERROR(VLOOKUP($F1415,#REF!,6,0)*J1415/1000),0,VLOOKUP($F1415,#REF!,6,0)*J1415/1000)</f>
        <v>0</v>
      </c>
      <c r="P1415" s="21">
        <f>IF(ISERROR(VLOOKUP(F1415,#REF!,6,0)*K1415/1000),0,VLOOKUP(F1415,#REF!,6,0)*K1415/1000)</f>
        <v>0</v>
      </c>
      <c r="Q1415" s="6">
        <f>IF(ISERROR(VLOOKUP(F1415,#REF!,3,0)),0,VLOOKUP(F1415,#REF!,3,0))</f>
        <v>0</v>
      </c>
      <c r="R1415" s="6">
        <f>IF(ISERROR(VLOOKUP(F1415,#REF!,4,0)),0,VLOOKUP(F1415,#REF!,4,0))</f>
        <v>0</v>
      </c>
      <c r="S1415" s="8">
        <f>IF(ISERROR(VLOOKUP(F1415,#REF!,4,0)),0,VLOOKUP(F1415,#REF!,10,0)/60*K1415)</f>
        <v>0</v>
      </c>
      <c r="T1415" s="3"/>
      <c r="U1415" s="3"/>
      <c r="V1415" s="4"/>
    </row>
    <row r="1416" spans="1:22" x14ac:dyDescent="0.3">
      <c r="A1416" s="5">
        <f t="shared" si="68"/>
        <v>0</v>
      </c>
      <c r="B1416" s="6">
        <f t="shared" si="69"/>
        <v>0</v>
      </c>
      <c r="K1416" s="18">
        <f t="shared" si="67"/>
        <v>0</v>
      </c>
      <c r="L1416" s="21">
        <f>IF(ISERROR(VLOOKUP($F1416,#REF!,6,0)*G1416/1000),0,VLOOKUP($F1416,#REF!,6,0)*G1416/1000)</f>
        <v>0</v>
      </c>
      <c r="M1416" s="21">
        <f>IF(ISERROR(VLOOKUP($F1416,#REF!,6,0)*H1416/1000),0,VLOOKUP($F1416,#REF!,6,0)*H1416/1000)</f>
        <v>0</v>
      </c>
      <c r="N1416" s="21">
        <f>IF(ISERROR(VLOOKUP($F1416,#REF!,6,0)*I1416/1000),0,VLOOKUP($F1416,#REF!,6,0)*I1416/1000)</f>
        <v>0</v>
      </c>
      <c r="O1416" s="21">
        <f>IF(ISERROR(VLOOKUP($F1416,#REF!,6,0)*J1416/1000),0,VLOOKUP($F1416,#REF!,6,0)*J1416/1000)</f>
        <v>0</v>
      </c>
      <c r="P1416" s="21">
        <f>IF(ISERROR(VLOOKUP(F1416,#REF!,6,0)*K1416/1000),0,VLOOKUP(F1416,#REF!,6,0)*K1416/1000)</f>
        <v>0</v>
      </c>
      <c r="Q1416" s="6">
        <f>IF(ISERROR(VLOOKUP(F1416,#REF!,3,0)),0,VLOOKUP(F1416,#REF!,3,0))</f>
        <v>0</v>
      </c>
      <c r="R1416" s="6">
        <f>IF(ISERROR(VLOOKUP(F1416,#REF!,4,0)),0,VLOOKUP(F1416,#REF!,4,0))</f>
        <v>0</v>
      </c>
      <c r="S1416" s="8">
        <f>IF(ISERROR(VLOOKUP(F1416,#REF!,4,0)),0,VLOOKUP(F1416,#REF!,10,0)/60*K1416)</f>
        <v>0</v>
      </c>
      <c r="T1416" s="3"/>
      <c r="U1416" s="3"/>
      <c r="V1416" s="4"/>
    </row>
    <row r="1417" spans="1:22" x14ac:dyDescent="0.3">
      <c r="A1417" s="5">
        <f t="shared" si="68"/>
        <v>0</v>
      </c>
      <c r="B1417" s="6">
        <f t="shared" si="69"/>
        <v>0</v>
      </c>
      <c r="K1417" s="18">
        <f t="shared" si="67"/>
        <v>0</v>
      </c>
      <c r="L1417" s="21">
        <f>IF(ISERROR(VLOOKUP($F1417,#REF!,6,0)*G1417/1000),0,VLOOKUP($F1417,#REF!,6,0)*G1417/1000)</f>
        <v>0</v>
      </c>
      <c r="M1417" s="21">
        <f>IF(ISERROR(VLOOKUP($F1417,#REF!,6,0)*H1417/1000),0,VLOOKUP($F1417,#REF!,6,0)*H1417/1000)</f>
        <v>0</v>
      </c>
      <c r="N1417" s="21">
        <f>IF(ISERROR(VLOOKUP($F1417,#REF!,6,0)*I1417/1000),0,VLOOKUP($F1417,#REF!,6,0)*I1417/1000)</f>
        <v>0</v>
      </c>
      <c r="O1417" s="21">
        <f>IF(ISERROR(VLOOKUP($F1417,#REF!,6,0)*J1417/1000),0,VLOOKUP($F1417,#REF!,6,0)*J1417/1000)</f>
        <v>0</v>
      </c>
      <c r="P1417" s="21">
        <f>IF(ISERROR(VLOOKUP(F1417,#REF!,6,0)*K1417/1000),0,VLOOKUP(F1417,#REF!,6,0)*K1417/1000)</f>
        <v>0</v>
      </c>
      <c r="Q1417" s="6">
        <f>IF(ISERROR(VLOOKUP(F1417,#REF!,3,0)),0,VLOOKUP(F1417,#REF!,3,0))</f>
        <v>0</v>
      </c>
      <c r="R1417" s="6">
        <f>IF(ISERROR(VLOOKUP(F1417,#REF!,4,0)),0,VLOOKUP(F1417,#REF!,4,0))</f>
        <v>0</v>
      </c>
      <c r="S1417" s="8">
        <f>IF(ISERROR(VLOOKUP(F1417,#REF!,4,0)),0,VLOOKUP(F1417,#REF!,10,0)/60*K1417)</f>
        <v>0</v>
      </c>
      <c r="T1417" s="3"/>
      <c r="U1417" s="3"/>
      <c r="V1417" s="4"/>
    </row>
    <row r="1418" spans="1:22" x14ac:dyDescent="0.3">
      <c r="A1418" s="5">
        <f t="shared" si="68"/>
        <v>0</v>
      </c>
      <c r="B1418" s="6">
        <f t="shared" si="69"/>
        <v>0</v>
      </c>
      <c r="K1418" s="18">
        <f t="shared" si="67"/>
        <v>0</v>
      </c>
      <c r="L1418" s="21">
        <f>IF(ISERROR(VLOOKUP($F1418,#REF!,6,0)*G1418/1000),0,VLOOKUP($F1418,#REF!,6,0)*G1418/1000)</f>
        <v>0</v>
      </c>
      <c r="M1418" s="21">
        <f>IF(ISERROR(VLOOKUP($F1418,#REF!,6,0)*H1418/1000),0,VLOOKUP($F1418,#REF!,6,0)*H1418/1000)</f>
        <v>0</v>
      </c>
      <c r="N1418" s="21">
        <f>IF(ISERROR(VLOOKUP($F1418,#REF!,6,0)*I1418/1000),0,VLOOKUP($F1418,#REF!,6,0)*I1418/1000)</f>
        <v>0</v>
      </c>
      <c r="O1418" s="21">
        <f>IF(ISERROR(VLOOKUP($F1418,#REF!,6,0)*J1418/1000),0,VLOOKUP($F1418,#REF!,6,0)*J1418/1000)</f>
        <v>0</v>
      </c>
      <c r="P1418" s="21">
        <f>IF(ISERROR(VLOOKUP(F1418,#REF!,6,0)*K1418/1000),0,VLOOKUP(F1418,#REF!,6,0)*K1418/1000)</f>
        <v>0</v>
      </c>
      <c r="Q1418" s="6">
        <f>IF(ISERROR(VLOOKUP(F1418,#REF!,3,0)),0,VLOOKUP(F1418,#REF!,3,0))</f>
        <v>0</v>
      </c>
      <c r="R1418" s="6">
        <f>IF(ISERROR(VLOOKUP(F1418,#REF!,4,0)),0,VLOOKUP(F1418,#REF!,4,0))</f>
        <v>0</v>
      </c>
      <c r="S1418" s="8">
        <f>IF(ISERROR(VLOOKUP(F1418,#REF!,4,0)),0,VLOOKUP(F1418,#REF!,10,0)/60*K1418)</f>
        <v>0</v>
      </c>
      <c r="T1418" s="3"/>
      <c r="U1418" s="3"/>
      <c r="V1418" s="4"/>
    </row>
    <row r="1419" spans="1:22" x14ac:dyDescent="0.3">
      <c r="A1419" s="5">
        <f t="shared" si="68"/>
        <v>0</v>
      </c>
      <c r="B1419" s="6">
        <f t="shared" si="69"/>
        <v>0</v>
      </c>
      <c r="K1419" s="18">
        <f t="shared" si="67"/>
        <v>0</v>
      </c>
      <c r="L1419" s="21">
        <f>IF(ISERROR(VLOOKUP($F1419,#REF!,6,0)*G1419/1000),0,VLOOKUP($F1419,#REF!,6,0)*G1419/1000)</f>
        <v>0</v>
      </c>
      <c r="M1419" s="21">
        <f>IF(ISERROR(VLOOKUP($F1419,#REF!,6,0)*H1419/1000),0,VLOOKUP($F1419,#REF!,6,0)*H1419/1000)</f>
        <v>0</v>
      </c>
      <c r="N1419" s="21">
        <f>IF(ISERROR(VLOOKUP($F1419,#REF!,6,0)*I1419/1000),0,VLOOKUP($F1419,#REF!,6,0)*I1419/1000)</f>
        <v>0</v>
      </c>
      <c r="O1419" s="21">
        <f>IF(ISERROR(VLOOKUP($F1419,#REF!,6,0)*J1419/1000),0,VLOOKUP($F1419,#REF!,6,0)*J1419/1000)</f>
        <v>0</v>
      </c>
      <c r="P1419" s="21">
        <f>IF(ISERROR(VLOOKUP(F1419,#REF!,6,0)*K1419/1000),0,VLOOKUP(F1419,#REF!,6,0)*K1419/1000)</f>
        <v>0</v>
      </c>
      <c r="Q1419" s="6">
        <f>IF(ISERROR(VLOOKUP(F1419,#REF!,3,0)),0,VLOOKUP(F1419,#REF!,3,0))</f>
        <v>0</v>
      </c>
      <c r="R1419" s="6">
        <f>IF(ISERROR(VLOOKUP(F1419,#REF!,4,0)),0,VLOOKUP(F1419,#REF!,4,0))</f>
        <v>0</v>
      </c>
      <c r="S1419" s="8">
        <f>IF(ISERROR(VLOOKUP(F1419,#REF!,4,0)),0,VLOOKUP(F1419,#REF!,10,0)/60*K1419)</f>
        <v>0</v>
      </c>
      <c r="T1419" s="3"/>
      <c r="U1419" s="3"/>
      <c r="V1419" s="4"/>
    </row>
    <row r="1420" spans="1:22" x14ac:dyDescent="0.3">
      <c r="A1420" s="5">
        <f t="shared" si="68"/>
        <v>0</v>
      </c>
      <c r="B1420" s="6">
        <f t="shared" si="69"/>
        <v>0</v>
      </c>
      <c r="K1420" s="18">
        <f t="shared" si="67"/>
        <v>0</v>
      </c>
      <c r="L1420" s="21">
        <f>IF(ISERROR(VLOOKUP($F1420,#REF!,6,0)*G1420/1000),0,VLOOKUP($F1420,#REF!,6,0)*G1420/1000)</f>
        <v>0</v>
      </c>
      <c r="M1420" s="21">
        <f>IF(ISERROR(VLOOKUP($F1420,#REF!,6,0)*H1420/1000),0,VLOOKUP($F1420,#REF!,6,0)*H1420/1000)</f>
        <v>0</v>
      </c>
      <c r="N1420" s="21">
        <f>IF(ISERROR(VLOOKUP($F1420,#REF!,6,0)*I1420/1000),0,VLOOKUP($F1420,#REF!,6,0)*I1420/1000)</f>
        <v>0</v>
      </c>
      <c r="O1420" s="21">
        <f>IF(ISERROR(VLOOKUP($F1420,#REF!,6,0)*J1420/1000),0,VLOOKUP($F1420,#REF!,6,0)*J1420/1000)</f>
        <v>0</v>
      </c>
      <c r="P1420" s="21">
        <f>IF(ISERROR(VLOOKUP(F1420,#REF!,6,0)*K1420/1000),0,VLOOKUP(F1420,#REF!,6,0)*K1420/1000)</f>
        <v>0</v>
      </c>
      <c r="Q1420" s="6">
        <f>IF(ISERROR(VLOOKUP(F1420,#REF!,3,0)),0,VLOOKUP(F1420,#REF!,3,0))</f>
        <v>0</v>
      </c>
      <c r="R1420" s="6">
        <f>IF(ISERROR(VLOOKUP(F1420,#REF!,4,0)),0,VLOOKUP(F1420,#REF!,4,0))</f>
        <v>0</v>
      </c>
      <c r="S1420" s="8">
        <f>IF(ISERROR(VLOOKUP(F1420,#REF!,4,0)),0,VLOOKUP(F1420,#REF!,10,0)/60*K1420)</f>
        <v>0</v>
      </c>
      <c r="T1420" s="3"/>
      <c r="U1420" s="3"/>
      <c r="V1420" s="4"/>
    </row>
    <row r="1421" spans="1:22" x14ac:dyDescent="0.3">
      <c r="A1421" s="5">
        <f t="shared" si="68"/>
        <v>0</v>
      </c>
      <c r="B1421" s="6">
        <f t="shared" si="69"/>
        <v>0</v>
      </c>
      <c r="K1421" s="18">
        <f t="shared" si="67"/>
        <v>0</v>
      </c>
      <c r="L1421" s="21">
        <f>IF(ISERROR(VLOOKUP($F1421,#REF!,6,0)*G1421/1000),0,VLOOKUP($F1421,#REF!,6,0)*G1421/1000)</f>
        <v>0</v>
      </c>
      <c r="M1421" s="21">
        <f>IF(ISERROR(VLOOKUP($F1421,#REF!,6,0)*H1421/1000),0,VLOOKUP($F1421,#REF!,6,0)*H1421/1000)</f>
        <v>0</v>
      </c>
      <c r="N1421" s="21">
        <f>IF(ISERROR(VLOOKUP($F1421,#REF!,6,0)*I1421/1000),0,VLOOKUP($F1421,#REF!,6,0)*I1421/1000)</f>
        <v>0</v>
      </c>
      <c r="O1421" s="21">
        <f>IF(ISERROR(VLOOKUP($F1421,#REF!,6,0)*J1421/1000),0,VLOOKUP($F1421,#REF!,6,0)*J1421/1000)</f>
        <v>0</v>
      </c>
      <c r="P1421" s="21">
        <f>IF(ISERROR(VLOOKUP(F1421,#REF!,6,0)*K1421/1000),0,VLOOKUP(F1421,#REF!,6,0)*K1421/1000)</f>
        <v>0</v>
      </c>
      <c r="Q1421" s="6">
        <f>IF(ISERROR(VLOOKUP(F1421,#REF!,3,0)),0,VLOOKUP(F1421,#REF!,3,0))</f>
        <v>0</v>
      </c>
      <c r="R1421" s="6">
        <f>IF(ISERROR(VLOOKUP(F1421,#REF!,4,0)),0,VLOOKUP(F1421,#REF!,4,0))</f>
        <v>0</v>
      </c>
      <c r="S1421" s="8">
        <f>IF(ISERROR(VLOOKUP(F1421,#REF!,4,0)),0,VLOOKUP(F1421,#REF!,10,0)/60*K1421)</f>
        <v>0</v>
      </c>
      <c r="T1421" s="3"/>
      <c r="U1421" s="3"/>
      <c r="V1421" s="4"/>
    </row>
    <row r="1422" spans="1:22" x14ac:dyDescent="0.3">
      <c r="A1422" s="5">
        <f t="shared" si="68"/>
        <v>0</v>
      </c>
      <c r="B1422" s="6">
        <f t="shared" si="69"/>
        <v>0</v>
      </c>
      <c r="K1422" s="18">
        <f t="shared" si="67"/>
        <v>0</v>
      </c>
      <c r="L1422" s="21">
        <f>IF(ISERROR(VLOOKUP($F1422,#REF!,6,0)*G1422/1000),0,VLOOKUP($F1422,#REF!,6,0)*G1422/1000)</f>
        <v>0</v>
      </c>
      <c r="M1422" s="21">
        <f>IF(ISERROR(VLOOKUP($F1422,#REF!,6,0)*H1422/1000),0,VLOOKUP($F1422,#REF!,6,0)*H1422/1000)</f>
        <v>0</v>
      </c>
      <c r="N1422" s="21">
        <f>IF(ISERROR(VLOOKUP($F1422,#REF!,6,0)*I1422/1000),0,VLOOKUP($F1422,#REF!,6,0)*I1422/1000)</f>
        <v>0</v>
      </c>
      <c r="O1422" s="21">
        <f>IF(ISERROR(VLOOKUP($F1422,#REF!,6,0)*J1422/1000),0,VLOOKUP($F1422,#REF!,6,0)*J1422/1000)</f>
        <v>0</v>
      </c>
      <c r="P1422" s="21">
        <f>IF(ISERROR(VLOOKUP(F1422,#REF!,6,0)*K1422/1000),0,VLOOKUP(F1422,#REF!,6,0)*K1422/1000)</f>
        <v>0</v>
      </c>
      <c r="Q1422" s="6">
        <f>IF(ISERROR(VLOOKUP(F1422,#REF!,3,0)),0,VLOOKUP(F1422,#REF!,3,0))</f>
        <v>0</v>
      </c>
      <c r="R1422" s="6">
        <f>IF(ISERROR(VLOOKUP(F1422,#REF!,4,0)),0,VLOOKUP(F1422,#REF!,4,0))</f>
        <v>0</v>
      </c>
      <c r="S1422" s="8">
        <f>IF(ISERROR(VLOOKUP(F1422,#REF!,4,0)),0,VLOOKUP(F1422,#REF!,10,0)/60*K1422)</f>
        <v>0</v>
      </c>
      <c r="T1422" s="3"/>
      <c r="U1422" s="3"/>
      <c r="V1422" s="4"/>
    </row>
    <row r="1423" spans="1:22" x14ac:dyDescent="0.3">
      <c r="A1423" s="5">
        <f t="shared" si="68"/>
        <v>0</v>
      </c>
      <c r="B1423" s="6">
        <f t="shared" si="69"/>
        <v>0</v>
      </c>
      <c r="K1423" s="18">
        <f t="shared" si="67"/>
        <v>0</v>
      </c>
      <c r="L1423" s="21">
        <f>IF(ISERROR(VLOOKUP($F1423,#REF!,6,0)*G1423/1000),0,VLOOKUP($F1423,#REF!,6,0)*G1423/1000)</f>
        <v>0</v>
      </c>
      <c r="M1423" s="21">
        <f>IF(ISERROR(VLOOKUP($F1423,#REF!,6,0)*H1423/1000),0,VLOOKUP($F1423,#REF!,6,0)*H1423/1000)</f>
        <v>0</v>
      </c>
      <c r="N1423" s="21">
        <f>IF(ISERROR(VLOOKUP($F1423,#REF!,6,0)*I1423/1000),0,VLOOKUP($F1423,#REF!,6,0)*I1423/1000)</f>
        <v>0</v>
      </c>
      <c r="O1423" s="21">
        <f>IF(ISERROR(VLOOKUP($F1423,#REF!,6,0)*J1423/1000),0,VLOOKUP($F1423,#REF!,6,0)*J1423/1000)</f>
        <v>0</v>
      </c>
      <c r="P1423" s="21">
        <f>IF(ISERROR(VLOOKUP(F1423,#REF!,6,0)*K1423/1000),0,VLOOKUP(F1423,#REF!,6,0)*K1423/1000)</f>
        <v>0</v>
      </c>
      <c r="Q1423" s="6">
        <f>IF(ISERROR(VLOOKUP(F1423,#REF!,3,0)),0,VLOOKUP(F1423,#REF!,3,0))</f>
        <v>0</v>
      </c>
      <c r="R1423" s="6">
        <f>IF(ISERROR(VLOOKUP(F1423,#REF!,4,0)),0,VLOOKUP(F1423,#REF!,4,0))</f>
        <v>0</v>
      </c>
      <c r="S1423" s="8">
        <f>IF(ISERROR(VLOOKUP(F1423,#REF!,4,0)),0,VLOOKUP(F1423,#REF!,10,0)/60*K1423)</f>
        <v>0</v>
      </c>
      <c r="T1423" s="3"/>
      <c r="U1423" s="3"/>
      <c r="V1423" s="4"/>
    </row>
    <row r="1424" spans="1:22" x14ac:dyDescent="0.3">
      <c r="A1424" s="5">
        <f t="shared" si="68"/>
        <v>0</v>
      </c>
      <c r="B1424" s="6">
        <f t="shared" si="69"/>
        <v>0</v>
      </c>
      <c r="K1424" s="18">
        <f t="shared" si="67"/>
        <v>0</v>
      </c>
      <c r="L1424" s="21">
        <f>IF(ISERROR(VLOOKUP($F1424,#REF!,6,0)*G1424/1000),0,VLOOKUP($F1424,#REF!,6,0)*G1424/1000)</f>
        <v>0</v>
      </c>
      <c r="M1424" s="21">
        <f>IF(ISERROR(VLOOKUP($F1424,#REF!,6,0)*H1424/1000),0,VLOOKUP($F1424,#REF!,6,0)*H1424/1000)</f>
        <v>0</v>
      </c>
      <c r="N1424" s="21">
        <f>IF(ISERROR(VLOOKUP($F1424,#REF!,6,0)*I1424/1000),0,VLOOKUP($F1424,#REF!,6,0)*I1424/1000)</f>
        <v>0</v>
      </c>
      <c r="O1424" s="21">
        <f>IF(ISERROR(VLOOKUP($F1424,#REF!,6,0)*J1424/1000),0,VLOOKUP($F1424,#REF!,6,0)*J1424/1000)</f>
        <v>0</v>
      </c>
      <c r="P1424" s="21">
        <f>IF(ISERROR(VLOOKUP(F1424,#REF!,6,0)*K1424/1000),0,VLOOKUP(F1424,#REF!,6,0)*K1424/1000)</f>
        <v>0</v>
      </c>
      <c r="Q1424" s="6">
        <f>IF(ISERROR(VLOOKUP(F1424,#REF!,3,0)),0,VLOOKUP(F1424,#REF!,3,0))</f>
        <v>0</v>
      </c>
      <c r="R1424" s="6">
        <f>IF(ISERROR(VLOOKUP(F1424,#REF!,4,0)),0,VLOOKUP(F1424,#REF!,4,0))</f>
        <v>0</v>
      </c>
      <c r="S1424" s="8">
        <f>IF(ISERROR(VLOOKUP(F1424,#REF!,4,0)),0,VLOOKUP(F1424,#REF!,10,0)/60*K1424)</f>
        <v>0</v>
      </c>
      <c r="T1424" s="3"/>
      <c r="U1424" s="3"/>
      <c r="V1424" s="4"/>
    </row>
    <row r="1425" spans="1:22" x14ac:dyDescent="0.3">
      <c r="A1425" s="5">
        <f t="shared" si="68"/>
        <v>0</v>
      </c>
      <c r="B1425" s="6">
        <f t="shared" si="69"/>
        <v>0</v>
      </c>
      <c r="K1425" s="18">
        <f t="shared" si="67"/>
        <v>0</v>
      </c>
      <c r="L1425" s="21">
        <f>IF(ISERROR(VLOOKUP($F1425,#REF!,6,0)*G1425/1000),0,VLOOKUP($F1425,#REF!,6,0)*G1425/1000)</f>
        <v>0</v>
      </c>
      <c r="M1425" s="21">
        <f>IF(ISERROR(VLOOKUP($F1425,#REF!,6,0)*H1425/1000),0,VLOOKUP($F1425,#REF!,6,0)*H1425/1000)</f>
        <v>0</v>
      </c>
      <c r="N1425" s="21">
        <f>IF(ISERROR(VLOOKUP($F1425,#REF!,6,0)*I1425/1000),0,VLOOKUP($F1425,#REF!,6,0)*I1425/1000)</f>
        <v>0</v>
      </c>
      <c r="O1425" s="21">
        <f>IF(ISERROR(VLOOKUP($F1425,#REF!,6,0)*J1425/1000),0,VLOOKUP($F1425,#REF!,6,0)*J1425/1000)</f>
        <v>0</v>
      </c>
      <c r="P1425" s="21">
        <f>IF(ISERROR(VLOOKUP(F1425,#REF!,6,0)*K1425/1000),0,VLOOKUP(F1425,#REF!,6,0)*K1425/1000)</f>
        <v>0</v>
      </c>
      <c r="Q1425" s="6">
        <f>IF(ISERROR(VLOOKUP(F1425,#REF!,3,0)),0,VLOOKUP(F1425,#REF!,3,0))</f>
        <v>0</v>
      </c>
      <c r="R1425" s="6">
        <f>IF(ISERROR(VLOOKUP(F1425,#REF!,4,0)),0,VLOOKUP(F1425,#REF!,4,0))</f>
        <v>0</v>
      </c>
      <c r="S1425" s="8">
        <f>IF(ISERROR(VLOOKUP(F1425,#REF!,4,0)),0,VLOOKUP(F1425,#REF!,10,0)/60*K1425)</f>
        <v>0</v>
      </c>
      <c r="T1425" s="3"/>
      <c r="U1425" s="3"/>
      <c r="V1425" s="4"/>
    </row>
    <row r="1426" spans="1:22" x14ac:dyDescent="0.3">
      <c r="A1426" s="5">
        <f t="shared" si="68"/>
        <v>0</v>
      </c>
      <c r="B1426" s="6">
        <f t="shared" si="69"/>
        <v>0</v>
      </c>
      <c r="K1426" s="18">
        <f t="shared" si="67"/>
        <v>0</v>
      </c>
      <c r="L1426" s="21">
        <f>IF(ISERROR(VLOOKUP($F1426,#REF!,6,0)*G1426/1000),0,VLOOKUP($F1426,#REF!,6,0)*G1426/1000)</f>
        <v>0</v>
      </c>
      <c r="M1426" s="21">
        <f>IF(ISERROR(VLOOKUP($F1426,#REF!,6,0)*H1426/1000),0,VLOOKUP($F1426,#REF!,6,0)*H1426/1000)</f>
        <v>0</v>
      </c>
      <c r="N1426" s="21">
        <f>IF(ISERROR(VLOOKUP($F1426,#REF!,6,0)*I1426/1000),0,VLOOKUP($F1426,#REF!,6,0)*I1426/1000)</f>
        <v>0</v>
      </c>
      <c r="O1426" s="21">
        <f>IF(ISERROR(VLOOKUP($F1426,#REF!,6,0)*J1426/1000),0,VLOOKUP($F1426,#REF!,6,0)*J1426/1000)</f>
        <v>0</v>
      </c>
      <c r="P1426" s="21">
        <f>IF(ISERROR(VLOOKUP(F1426,#REF!,6,0)*K1426/1000),0,VLOOKUP(F1426,#REF!,6,0)*K1426/1000)</f>
        <v>0</v>
      </c>
      <c r="Q1426" s="6">
        <f>IF(ISERROR(VLOOKUP(F1426,#REF!,3,0)),0,VLOOKUP(F1426,#REF!,3,0))</f>
        <v>0</v>
      </c>
      <c r="R1426" s="6">
        <f>IF(ISERROR(VLOOKUP(F1426,#REF!,4,0)),0,VLOOKUP(F1426,#REF!,4,0))</f>
        <v>0</v>
      </c>
      <c r="S1426" s="8">
        <f>IF(ISERROR(VLOOKUP(F1426,#REF!,4,0)),0,VLOOKUP(F1426,#REF!,10,0)/60*K1426)</f>
        <v>0</v>
      </c>
      <c r="T1426" s="3"/>
      <c r="U1426" s="3"/>
      <c r="V1426" s="4"/>
    </row>
    <row r="1427" spans="1:22" x14ac:dyDescent="0.3">
      <c r="A1427" s="5">
        <f t="shared" si="68"/>
        <v>0</v>
      </c>
      <c r="B1427" s="6">
        <f t="shared" si="69"/>
        <v>0</v>
      </c>
      <c r="K1427" s="18">
        <f t="shared" si="67"/>
        <v>0</v>
      </c>
      <c r="L1427" s="21">
        <f>IF(ISERROR(VLOOKUP($F1427,#REF!,6,0)*G1427/1000),0,VLOOKUP($F1427,#REF!,6,0)*G1427/1000)</f>
        <v>0</v>
      </c>
      <c r="M1427" s="21">
        <f>IF(ISERROR(VLOOKUP($F1427,#REF!,6,0)*H1427/1000),0,VLOOKUP($F1427,#REF!,6,0)*H1427/1000)</f>
        <v>0</v>
      </c>
      <c r="N1427" s="21">
        <f>IF(ISERROR(VLOOKUP($F1427,#REF!,6,0)*I1427/1000),0,VLOOKUP($F1427,#REF!,6,0)*I1427/1000)</f>
        <v>0</v>
      </c>
      <c r="O1427" s="21">
        <f>IF(ISERROR(VLOOKUP($F1427,#REF!,6,0)*J1427/1000),0,VLOOKUP($F1427,#REF!,6,0)*J1427/1000)</f>
        <v>0</v>
      </c>
      <c r="P1427" s="21">
        <f>IF(ISERROR(VLOOKUP(F1427,#REF!,6,0)*K1427/1000),0,VLOOKUP(F1427,#REF!,6,0)*K1427/1000)</f>
        <v>0</v>
      </c>
      <c r="Q1427" s="6">
        <f>IF(ISERROR(VLOOKUP(F1427,#REF!,3,0)),0,VLOOKUP(F1427,#REF!,3,0))</f>
        <v>0</v>
      </c>
      <c r="R1427" s="6">
        <f>IF(ISERROR(VLOOKUP(F1427,#REF!,4,0)),0,VLOOKUP(F1427,#REF!,4,0))</f>
        <v>0</v>
      </c>
      <c r="S1427" s="8">
        <f>IF(ISERROR(VLOOKUP(F1427,#REF!,4,0)),0,VLOOKUP(F1427,#REF!,10,0)/60*K1427)</f>
        <v>0</v>
      </c>
      <c r="T1427" s="3"/>
      <c r="U1427" s="3"/>
      <c r="V1427" s="4"/>
    </row>
    <row r="1428" spans="1:22" x14ac:dyDescent="0.3">
      <c r="A1428" s="5">
        <f t="shared" si="68"/>
        <v>0</v>
      </c>
      <c r="B1428" s="6">
        <f t="shared" si="69"/>
        <v>0</v>
      </c>
      <c r="K1428" s="18">
        <f t="shared" si="67"/>
        <v>0</v>
      </c>
      <c r="L1428" s="21">
        <f>IF(ISERROR(VLOOKUP($F1428,#REF!,6,0)*G1428/1000),0,VLOOKUP($F1428,#REF!,6,0)*G1428/1000)</f>
        <v>0</v>
      </c>
      <c r="M1428" s="21">
        <f>IF(ISERROR(VLOOKUP($F1428,#REF!,6,0)*H1428/1000),0,VLOOKUP($F1428,#REF!,6,0)*H1428/1000)</f>
        <v>0</v>
      </c>
      <c r="N1428" s="21">
        <f>IF(ISERROR(VLOOKUP($F1428,#REF!,6,0)*I1428/1000),0,VLOOKUP($F1428,#REF!,6,0)*I1428/1000)</f>
        <v>0</v>
      </c>
      <c r="O1428" s="21">
        <f>IF(ISERROR(VLOOKUP($F1428,#REF!,6,0)*J1428/1000),0,VLOOKUP($F1428,#REF!,6,0)*J1428/1000)</f>
        <v>0</v>
      </c>
      <c r="P1428" s="21">
        <f>IF(ISERROR(VLOOKUP(F1428,#REF!,6,0)*K1428/1000),0,VLOOKUP(F1428,#REF!,6,0)*K1428/1000)</f>
        <v>0</v>
      </c>
      <c r="Q1428" s="6">
        <f>IF(ISERROR(VLOOKUP(F1428,#REF!,3,0)),0,VLOOKUP(F1428,#REF!,3,0))</f>
        <v>0</v>
      </c>
      <c r="R1428" s="6">
        <f>IF(ISERROR(VLOOKUP(F1428,#REF!,4,0)),0,VLOOKUP(F1428,#REF!,4,0))</f>
        <v>0</v>
      </c>
      <c r="S1428" s="8">
        <f>IF(ISERROR(VLOOKUP(F1428,#REF!,4,0)),0,VLOOKUP(F1428,#REF!,10,0)/60*K1428)</f>
        <v>0</v>
      </c>
      <c r="T1428" s="3"/>
      <c r="U1428" s="3"/>
      <c r="V1428" s="4"/>
    </row>
    <row r="1429" spans="1:22" x14ac:dyDescent="0.3">
      <c r="A1429" s="5">
        <f t="shared" si="68"/>
        <v>0</v>
      </c>
      <c r="B1429" s="6">
        <f t="shared" si="69"/>
        <v>0</v>
      </c>
      <c r="K1429" s="18">
        <f t="shared" si="67"/>
        <v>0</v>
      </c>
      <c r="L1429" s="21">
        <f>IF(ISERROR(VLOOKUP($F1429,#REF!,6,0)*G1429/1000),0,VLOOKUP($F1429,#REF!,6,0)*G1429/1000)</f>
        <v>0</v>
      </c>
      <c r="M1429" s="21">
        <f>IF(ISERROR(VLOOKUP($F1429,#REF!,6,0)*H1429/1000),0,VLOOKUP($F1429,#REF!,6,0)*H1429/1000)</f>
        <v>0</v>
      </c>
      <c r="N1429" s="21">
        <f>IF(ISERROR(VLOOKUP($F1429,#REF!,6,0)*I1429/1000),0,VLOOKUP($F1429,#REF!,6,0)*I1429/1000)</f>
        <v>0</v>
      </c>
      <c r="O1429" s="21">
        <f>IF(ISERROR(VLOOKUP($F1429,#REF!,6,0)*J1429/1000),0,VLOOKUP($F1429,#REF!,6,0)*J1429/1000)</f>
        <v>0</v>
      </c>
      <c r="P1429" s="21">
        <f>IF(ISERROR(VLOOKUP(F1429,#REF!,6,0)*K1429/1000),0,VLOOKUP(F1429,#REF!,6,0)*K1429/1000)</f>
        <v>0</v>
      </c>
      <c r="Q1429" s="6">
        <f>IF(ISERROR(VLOOKUP(F1429,#REF!,3,0)),0,VLOOKUP(F1429,#REF!,3,0))</f>
        <v>0</v>
      </c>
      <c r="R1429" s="6">
        <f>IF(ISERROR(VLOOKUP(F1429,#REF!,4,0)),0,VLOOKUP(F1429,#REF!,4,0))</f>
        <v>0</v>
      </c>
      <c r="S1429" s="8">
        <f>IF(ISERROR(VLOOKUP(F1429,#REF!,4,0)),0,VLOOKUP(F1429,#REF!,10,0)/60*K1429)</f>
        <v>0</v>
      </c>
      <c r="T1429" s="3"/>
      <c r="U1429" s="3"/>
      <c r="V1429" s="4"/>
    </row>
    <row r="1430" spans="1:22" x14ac:dyDescent="0.3">
      <c r="A1430" s="5">
        <f t="shared" si="68"/>
        <v>0</v>
      </c>
      <c r="B1430" s="6">
        <f t="shared" si="69"/>
        <v>0</v>
      </c>
      <c r="K1430" s="18">
        <f t="shared" si="67"/>
        <v>0</v>
      </c>
      <c r="L1430" s="21">
        <f>IF(ISERROR(VLOOKUP($F1430,#REF!,6,0)*G1430/1000),0,VLOOKUP($F1430,#REF!,6,0)*G1430/1000)</f>
        <v>0</v>
      </c>
      <c r="M1430" s="21">
        <f>IF(ISERROR(VLOOKUP($F1430,#REF!,6,0)*H1430/1000),0,VLOOKUP($F1430,#REF!,6,0)*H1430/1000)</f>
        <v>0</v>
      </c>
      <c r="N1430" s="21">
        <f>IF(ISERROR(VLOOKUP($F1430,#REF!,6,0)*I1430/1000),0,VLOOKUP($F1430,#REF!,6,0)*I1430/1000)</f>
        <v>0</v>
      </c>
      <c r="O1430" s="21">
        <f>IF(ISERROR(VLOOKUP($F1430,#REF!,6,0)*J1430/1000),0,VLOOKUP($F1430,#REF!,6,0)*J1430/1000)</f>
        <v>0</v>
      </c>
      <c r="P1430" s="21">
        <f>IF(ISERROR(VLOOKUP(F1430,#REF!,6,0)*K1430/1000),0,VLOOKUP(F1430,#REF!,6,0)*K1430/1000)</f>
        <v>0</v>
      </c>
      <c r="Q1430" s="6">
        <f>IF(ISERROR(VLOOKUP(F1430,#REF!,3,0)),0,VLOOKUP(F1430,#REF!,3,0))</f>
        <v>0</v>
      </c>
      <c r="R1430" s="6">
        <f>IF(ISERROR(VLOOKUP(F1430,#REF!,4,0)),0,VLOOKUP(F1430,#REF!,4,0))</f>
        <v>0</v>
      </c>
      <c r="S1430" s="8">
        <f>IF(ISERROR(VLOOKUP(F1430,#REF!,4,0)),0,VLOOKUP(F1430,#REF!,10,0)/60*K1430)</f>
        <v>0</v>
      </c>
      <c r="T1430" s="3"/>
      <c r="U1430" s="3"/>
      <c r="V1430" s="4"/>
    </row>
    <row r="1431" spans="1:22" x14ac:dyDescent="0.3">
      <c r="A1431" s="5">
        <f t="shared" si="68"/>
        <v>0</v>
      </c>
      <c r="B1431" s="6">
        <f t="shared" si="69"/>
        <v>0</v>
      </c>
      <c r="K1431" s="18">
        <f t="shared" si="67"/>
        <v>0</v>
      </c>
      <c r="L1431" s="21">
        <f>IF(ISERROR(VLOOKUP($F1431,#REF!,6,0)*G1431/1000),0,VLOOKUP($F1431,#REF!,6,0)*G1431/1000)</f>
        <v>0</v>
      </c>
      <c r="M1431" s="21">
        <f>IF(ISERROR(VLOOKUP($F1431,#REF!,6,0)*H1431/1000),0,VLOOKUP($F1431,#REF!,6,0)*H1431/1000)</f>
        <v>0</v>
      </c>
      <c r="N1431" s="21">
        <f>IF(ISERROR(VLOOKUP($F1431,#REF!,6,0)*I1431/1000),0,VLOOKUP($F1431,#REF!,6,0)*I1431/1000)</f>
        <v>0</v>
      </c>
      <c r="O1431" s="21">
        <f>IF(ISERROR(VLOOKUP($F1431,#REF!,6,0)*J1431/1000),0,VLOOKUP($F1431,#REF!,6,0)*J1431/1000)</f>
        <v>0</v>
      </c>
      <c r="P1431" s="21">
        <f>IF(ISERROR(VLOOKUP(F1431,#REF!,6,0)*K1431/1000),0,VLOOKUP(F1431,#REF!,6,0)*K1431/1000)</f>
        <v>0</v>
      </c>
      <c r="Q1431" s="6">
        <f>IF(ISERROR(VLOOKUP(F1431,#REF!,3,0)),0,VLOOKUP(F1431,#REF!,3,0))</f>
        <v>0</v>
      </c>
      <c r="R1431" s="6">
        <f>IF(ISERROR(VLOOKUP(F1431,#REF!,4,0)),0,VLOOKUP(F1431,#REF!,4,0))</f>
        <v>0</v>
      </c>
      <c r="S1431" s="8">
        <f>IF(ISERROR(VLOOKUP(F1431,#REF!,4,0)),0,VLOOKUP(F1431,#REF!,10,0)/60*K1431)</f>
        <v>0</v>
      </c>
      <c r="T1431" s="3"/>
      <c r="U1431" s="3"/>
      <c r="V1431" s="4"/>
    </row>
    <row r="1432" spans="1:22" x14ac:dyDescent="0.3">
      <c r="A1432" s="5">
        <f t="shared" si="68"/>
        <v>0</v>
      </c>
      <c r="B1432" s="6">
        <f t="shared" si="69"/>
        <v>0</v>
      </c>
      <c r="K1432" s="18">
        <f t="shared" si="67"/>
        <v>0</v>
      </c>
      <c r="L1432" s="21">
        <f>IF(ISERROR(VLOOKUP($F1432,#REF!,6,0)*G1432/1000),0,VLOOKUP($F1432,#REF!,6,0)*G1432/1000)</f>
        <v>0</v>
      </c>
      <c r="M1432" s="21">
        <f>IF(ISERROR(VLOOKUP($F1432,#REF!,6,0)*H1432/1000),0,VLOOKUP($F1432,#REF!,6,0)*H1432/1000)</f>
        <v>0</v>
      </c>
      <c r="N1432" s="21">
        <f>IF(ISERROR(VLOOKUP($F1432,#REF!,6,0)*I1432/1000),0,VLOOKUP($F1432,#REF!,6,0)*I1432/1000)</f>
        <v>0</v>
      </c>
      <c r="O1432" s="21">
        <f>IF(ISERROR(VLOOKUP($F1432,#REF!,6,0)*J1432/1000),0,VLOOKUP($F1432,#REF!,6,0)*J1432/1000)</f>
        <v>0</v>
      </c>
      <c r="P1432" s="21">
        <f>IF(ISERROR(VLOOKUP(F1432,#REF!,6,0)*K1432/1000),0,VLOOKUP(F1432,#REF!,6,0)*K1432/1000)</f>
        <v>0</v>
      </c>
      <c r="Q1432" s="6">
        <f>IF(ISERROR(VLOOKUP(F1432,#REF!,3,0)),0,VLOOKUP(F1432,#REF!,3,0))</f>
        <v>0</v>
      </c>
      <c r="R1432" s="6">
        <f>IF(ISERROR(VLOOKUP(F1432,#REF!,4,0)),0,VLOOKUP(F1432,#REF!,4,0))</f>
        <v>0</v>
      </c>
      <c r="S1432" s="8">
        <f>IF(ISERROR(VLOOKUP(F1432,#REF!,4,0)),0,VLOOKUP(F1432,#REF!,10,0)/60*K1432)</f>
        <v>0</v>
      </c>
      <c r="T1432" s="3"/>
      <c r="U1432" s="3"/>
      <c r="V1432" s="4"/>
    </row>
    <row r="1433" spans="1:22" x14ac:dyDescent="0.3">
      <c r="A1433" s="5">
        <f t="shared" si="68"/>
        <v>0</v>
      </c>
      <c r="B1433" s="6">
        <f t="shared" si="69"/>
        <v>0</v>
      </c>
      <c r="K1433" s="18">
        <f t="shared" si="67"/>
        <v>0</v>
      </c>
      <c r="L1433" s="21">
        <f>IF(ISERROR(VLOOKUP($F1433,#REF!,6,0)*G1433/1000),0,VLOOKUP($F1433,#REF!,6,0)*G1433/1000)</f>
        <v>0</v>
      </c>
      <c r="M1433" s="21">
        <f>IF(ISERROR(VLOOKUP($F1433,#REF!,6,0)*H1433/1000),0,VLOOKUP($F1433,#REF!,6,0)*H1433/1000)</f>
        <v>0</v>
      </c>
      <c r="N1433" s="21">
        <f>IF(ISERROR(VLOOKUP($F1433,#REF!,6,0)*I1433/1000),0,VLOOKUP($F1433,#REF!,6,0)*I1433/1000)</f>
        <v>0</v>
      </c>
      <c r="O1433" s="21">
        <f>IF(ISERROR(VLOOKUP($F1433,#REF!,6,0)*J1433/1000),0,VLOOKUP($F1433,#REF!,6,0)*J1433/1000)</f>
        <v>0</v>
      </c>
      <c r="P1433" s="21">
        <f>IF(ISERROR(VLOOKUP(F1433,#REF!,6,0)*K1433/1000),0,VLOOKUP(F1433,#REF!,6,0)*K1433/1000)</f>
        <v>0</v>
      </c>
      <c r="Q1433" s="6">
        <f>IF(ISERROR(VLOOKUP(F1433,#REF!,3,0)),0,VLOOKUP(F1433,#REF!,3,0))</f>
        <v>0</v>
      </c>
      <c r="R1433" s="6">
        <f>IF(ISERROR(VLOOKUP(F1433,#REF!,4,0)),0,VLOOKUP(F1433,#REF!,4,0))</f>
        <v>0</v>
      </c>
      <c r="S1433" s="8">
        <f>IF(ISERROR(VLOOKUP(F1433,#REF!,4,0)),0,VLOOKUP(F1433,#REF!,10,0)/60*K1433)</f>
        <v>0</v>
      </c>
      <c r="T1433" s="3"/>
      <c r="U1433" s="3"/>
      <c r="V1433" s="4"/>
    </row>
    <row r="1434" spans="1:22" x14ac:dyDescent="0.3">
      <c r="A1434" s="5">
        <f t="shared" si="68"/>
        <v>0</v>
      </c>
      <c r="B1434" s="6">
        <f t="shared" si="69"/>
        <v>0</v>
      </c>
      <c r="K1434" s="18">
        <f t="shared" si="67"/>
        <v>0</v>
      </c>
      <c r="L1434" s="21">
        <f>IF(ISERROR(VLOOKUP($F1434,#REF!,6,0)*G1434/1000),0,VLOOKUP($F1434,#REF!,6,0)*G1434/1000)</f>
        <v>0</v>
      </c>
      <c r="M1434" s="21">
        <f>IF(ISERROR(VLOOKUP($F1434,#REF!,6,0)*H1434/1000),0,VLOOKUP($F1434,#REF!,6,0)*H1434/1000)</f>
        <v>0</v>
      </c>
      <c r="N1434" s="21">
        <f>IF(ISERROR(VLOOKUP($F1434,#REF!,6,0)*I1434/1000),0,VLOOKUP($F1434,#REF!,6,0)*I1434/1000)</f>
        <v>0</v>
      </c>
      <c r="O1434" s="21">
        <f>IF(ISERROR(VLOOKUP($F1434,#REF!,6,0)*J1434/1000),0,VLOOKUP($F1434,#REF!,6,0)*J1434/1000)</f>
        <v>0</v>
      </c>
      <c r="P1434" s="21">
        <f>IF(ISERROR(VLOOKUP(F1434,#REF!,6,0)*K1434/1000),0,VLOOKUP(F1434,#REF!,6,0)*K1434/1000)</f>
        <v>0</v>
      </c>
      <c r="Q1434" s="6">
        <f>IF(ISERROR(VLOOKUP(F1434,#REF!,3,0)),0,VLOOKUP(F1434,#REF!,3,0))</f>
        <v>0</v>
      </c>
      <c r="R1434" s="6">
        <f>IF(ISERROR(VLOOKUP(F1434,#REF!,4,0)),0,VLOOKUP(F1434,#REF!,4,0))</f>
        <v>0</v>
      </c>
      <c r="S1434" s="8">
        <f>IF(ISERROR(VLOOKUP(F1434,#REF!,4,0)),0,VLOOKUP(F1434,#REF!,10,0)/60*K1434)</f>
        <v>0</v>
      </c>
      <c r="T1434" s="3"/>
      <c r="U1434" s="3"/>
      <c r="V1434" s="4"/>
    </row>
    <row r="1435" spans="1:22" x14ac:dyDescent="0.3">
      <c r="A1435" s="5">
        <f t="shared" si="68"/>
        <v>0</v>
      </c>
      <c r="B1435" s="6">
        <f t="shared" si="69"/>
        <v>0</v>
      </c>
      <c r="K1435" s="18">
        <f t="shared" si="67"/>
        <v>0</v>
      </c>
      <c r="L1435" s="21">
        <f>IF(ISERROR(VLOOKUP($F1435,#REF!,6,0)*G1435/1000),0,VLOOKUP($F1435,#REF!,6,0)*G1435/1000)</f>
        <v>0</v>
      </c>
      <c r="M1435" s="21">
        <f>IF(ISERROR(VLOOKUP($F1435,#REF!,6,0)*H1435/1000),0,VLOOKUP($F1435,#REF!,6,0)*H1435/1000)</f>
        <v>0</v>
      </c>
      <c r="N1435" s="21">
        <f>IF(ISERROR(VLOOKUP($F1435,#REF!,6,0)*I1435/1000),0,VLOOKUP($F1435,#REF!,6,0)*I1435/1000)</f>
        <v>0</v>
      </c>
      <c r="O1435" s="21">
        <f>IF(ISERROR(VLOOKUP($F1435,#REF!,6,0)*J1435/1000),0,VLOOKUP($F1435,#REF!,6,0)*J1435/1000)</f>
        <v>0</v>
      </c>
      <c r="P1435" s="21">
        <f>IF(ISERROR(VLOOKUP(F1435,#REF!,6,0)*K1435/1000),0,VLOOKUP(F1435,#REF!,6,0)*K1435/1000)</f>
        <v>0</v>
      </c>
      <c r="Q1435" s="6">
        <f>IF(ISERROR(VLOOKUP(F1435,#REF!,3,0)),0,VLOOKUP(F1435,#REF!,3,0))</f>
        <v>0</v>
      </c>
      <c r="R1435" s="6">
        <f>IF(ISERROR(VLOOKUP(F1435,#REF!,4,0)),0,VLOOKUP(F1435,#REF!,4,0))</f>
        <v>0</v>
      </c>
      <c r="S1435" s="8">
        <f>IF(ISERROR(VLOOKUP(F1435,#REF!,4,0)),0,VLOOKUP(F1435,#REF!,10,0)/60*K1435)</f>
        <v>0</v>
      </c>
      <c r="T1435" s="3"/>
      <c r="U1435" s="3"/>
      <c r="V1435" s="4"/>
    </row>
    <row r="1436" spans="1:22" x14ac:dyDescent="0.3">
      <c r="A1436" s="5">
        <f t="shared" si="68"/>
        <v>0</v>
      </c>
      <c r="B1436" s="6">
        <f t="shared" si="69"/>
        <v>0</v>
      </c>
      <c r="K1436" s="18">
        <f t="shared" si="67"/>
        <v>0</v>
      </c>
      <c r="L1436" s="21">
        <f>IF(ISERROR(VLOOKUP($F1436,#REF!,6,0)*G1436/1000),0,VLOOKUP($F1436,#REF!,6,0)*G1436/1000)</f>
        <v>0</v>
      </c>
      <c r="M1436" s="21">
        <f>IF(ISERROR(VLOOKUP($F1436,#REF!,6,0)*H1436/1000),0,VLOOKUP($F1436,#REF!,6,0)*H1436/1000)</f>
        <v>0</v>
      </c>
      <c r="N1436" s="21">
        <f>IF(ISERROR(VLOOKUP($F1436,#REF!,6,0)*I1436/1000),0,VLOOKUP($F1436,#REF!,6,0)*I1436/1000)</f>
        <v>0</v>
      </c>
      <c r="O1436" s="21">
        <f>IF(ISERROR(VLOOKUP($F1436,#REF!,6,0)*J1436/1000),0,VLOOKUP($F1436,#REF!,6,0)*J1436/1000)</f>
        <v>0</v>
      </c>
      <c r="P1436" s="21">
        <f>IF(ISERROR(VLOOKUP(F1436,#REF!,6,0)*K1436/1000),0,VLOOKUP(F1436,#REF!,6,0)*K1436/1000)</f>
        <v>0</v>
      </c>
      <c r="Q1436" s="6">
        <f>IF(ISERROR(VLOOKUP(F1436,#REF!,3,0)),0,VLOOKUP(F1436,#REF!,3,0))</f>
        <v>0</v>
      </c>
      <c r="R1436" s="6">
        <f>IF(ISERROR(VLOOKUP(F1436,#REF!,4,0)),0,VLOOKUP(F1436,#REF!,4,0))</f>
        <v>0</v>
      </c>
      <c r="S1436" s="8">
        <f>IF(ISERROR(VLOOKUP(F1436,#REF!,4,0)),0,VLOOKUP(F1436,#REF!,10,0)/60*K1436)</f>
        <v>0</v>
      </c>
      <c r="T1436" s="3"/>
      <c r="U1436" s="3"/>
      <c r="V1436" s="4"/>
    </row>
    <row r="1437" spans="1:22" x14ac:dyDescent="0.3">
      <c r="A1437" s="5">
        <f t="shared" si="68"/>
        <v>0</v>
      </c>
      <c r="B1437" s="6">
        <f t="shared" si="69"/>
        <v>0</v>
      </c>
      <c r="K1437" s="18">
        <f t="shared" si="67"/>
        <v>0</v>
      </c>
      <c r="L1437" s="21">
        <f>IF(ISERROR(VLOOKUP($F1437,#REF!,6,0)*G1437/1000),0,VLOOKUP($F1437,#REF!,6,0)*G1437/1000)</f>
        <v>0</v>
      </c>
      <c r="M1437" s="21">
        <f>IF(ISERROR(VLOOKUP($F1437,#REF!,6,0)*H1437/1000),0,VLOOKUP($F1437,#REF!,6,0)*H1437/1000)</f>
        <v>0</v>
      </c>
      <c r="N1437" s="21">
        <f>IF(ISERROR(VLOOKUP($F1437,#REF!,6,0)*I1437/1000),0,VLOOKUP($F1437,#REF!,6,0)*I1437/1000)</f>
        <v>0</v>
      </c>
      <c r="O1437" s="21">
        <f>IF(ISERROR(VLOOKUP($F1437,#REF!,6,0)*J1437/1000),0,VLOOKUP($F1437,#REF!,6,0)*J1437/1000)</f>
        <v>0</v>
      </c>
      <c r="P1437" s="21">
        <f>IF(ISERROR(VLOOKUP(F1437,#REF!,6,0)*K1437/1000),0,VLOOKUP(F1437,#REF!,6,0)*K1437/1000)</f>
        <v>0</v>
      </c>
      <c r="Q1437" s="6">
        <f>IF(ISERROR(VLOOKUP(F1437,#REF!,3,0)),0,VLOOKUP(F1437,#REF!,3,0))</f>
        <v>0</v>
      </c>
      <c r="R1437" s="6">
        <f>IF(ISERROR(VLOOKUP(F1437,#REF!,4,0)),0,VLOOKUP(F1437,#REF!,4,0))</f>
        <v>0</v>
      </c>
      <c r="S1437" s="8">
        <f>IF(ISERROR(VLOOKUP(F1437,#REF!,4,0)),0,VLOOKUP(F1437,#REF!,10,0)/60*K1437)</f>
        <v>0</v>
      </c>
      <c r="T1437" s="3"/>
      <c r="U1437" s="3"/>
      <c r="V1437" s="4"/>
    </row>
    <row r="1438" spans="1:22" x14ac:dyDescent="0.3">
      <c r="A1438" s="5">
        <f t="shared" si="68"/>
        <v>0</v>
      </c>
      <c r="B1438" s="6">
        <f t="shared" si="69"/>
        <v>0</v>
      </c>
      <c r="K1438" s="18">
        <f t="shared" si="67"/>
        <v>0</v>
      </c>
      <c r="L1438" s="21">
        <f>IF(ISERROR(VLOOKUP($F1438,#REF!,6,0)*G1438/1000),0,VLOOKUP($F1438,#REF!,6,0)*G1438/1000)</f>
        <v>0</v>
      </c>
      <c r="M1438" s="21">
        <f>IF(ISERROR(VLOOKUP($F1438,#REF!,6,0)*H1438/1000),0,VLOOKUP($F1438,#REF!,6,0)*H1438/1000)</f>
        <v>0</v>
      </c>
      <c r="N1438" s="21">
        <f>IF(ISERROR(VLOOKUP($F1438,#REF!,6,0)*I1438/1000),0,VLOOKUP($F1438,#REF!,6,0)*I1438/1000)</f>
        <v>0</v>
      </c>
      <c r="O1438" s="21">
        <f>IF(ISERROR(VLOOKUP($F1438,#REF!,6,0)*J1438/1000),0,VLOOKUP($F1438,#REF!,6,0)*J1438/1000)</f>
        <v>0</v>
      </c>
      <c r="P1438" s="21">
        <f>IF(ISERROR(VLOOKUP(F1438,#REF!,6,0)*K1438/1000),0,VLOOKUP(F1438,#REF!,6,0)*K1438/1000)</f>
        <v>0</v>
      </c>
      <c r="Q1438" s="6">
        <f>IF(ISERROR(VLOOKUP(F1438,#REF!,3,0)),0,VLOOKUP(F1438,#REF!,3,0))</f>
        <v>0</v>
      </c>
      <c r="R1438" s="6">
        <f>IF(ISERROR(VLOOKUP(F1438,#REF!,4,0)),0,VLOOKUP(F1438,#REF!,4,0))</f>
        <v>0</v>
      </c>
      <c r="S1438" s="8">
        <f>IF(ISERROR(VLOOKUP(F1438,#REF!,4,0)),0,VLOOKUP(F1438,#REF!,10,0)/60*K1438)</f>
        <v>0</v>
      </c>
      <c r="T1438" s="3"/>
      <c r="U1438" s="3"/>
      <c r="V1438" s="4"/>
    </row>
    <row r="1439" spans="1:22" x14ac:dyDescent="0.3">
      <c r="A1439" s="5">
        <f t="shared" si="68"/>
        <v>0</v>
      </c>
      <c r="B1439" s="6">
        <f t="shared" si="69"/>
        <v>0</v>
      </c>
      <c r="K1439" s="18">
        <f t="shared" si="67"/>
        <v>0</v>
      </c>
      <c r="L1439" s="21">
        <f>IF(ISERROR(VLOOKUP($F1439,#REF!,6,0)*G1439/1000),0,VLOOKUP($F1439,#REF!,6,0)*G1439/1000)</f>
        <v>0</v>
      </c>
      <c r="M1439" s="21">
        <f>IF(ISERROR(VLOOKUP($F1439,#REF!,6,0)*H1439/1000),0,VLOOKUP($F1439,#REF!,6,0)*H1439/1000)</f>
        <v>0</v>
      </c>
      <c r="N1439" s="21">
        <f>IF(ISERROR(VLOOKUP($F1439,#REF!,6,0)*I1439/1000),0,VLOOKUP($F1439,#REF!,6,0)*I1439/1000)</f>
        <v>0</v>
      </c>
      <c r="O1439" s="21">
        <f>IF(ISERROR(VLOOKUP($F1439,#REF!,6,0)*J1439/1000),0,VLOOKUP($F1439,#REF!,6,0)*J1439/1000)</f>
        <v>0</v>
      </c>
      <c r="P1439" s="21">
        <f>IF(ISERROR(VLOOKUP(F1439,#REF!,6,0)*K1439/1000),0,VLOOKUP(F1439,#REF!,6,0)*K1439/1000)</f>
        <v>0</v>
      </c>
      <c r="Q1439" s="6">
        <f>IF(ISERROR(VLOOKUP(F1439,#REF!,3,0)),0,VLOOKUP(F1439,#REF!,3,0))</f>
        <v>0</v>
      </c>
      <c r="R1439" s="6">
        <f>IF(ISERROR(VLOOKUP(F1439,#REF!,4,0)),0,VLOOKUP(F1439,#REF!,4,0))</f>
        <v>0</v>
      </c>
      <c r="S1439" s="8">
        <f>IF(ISERROR(VLOOKUP(F1439,#REF!,4,0)),0,VLOOKUP(F1439,#REF!,10,0)/60*K1439)</f>
        <v>0</v>
      </c>
      <c r="T1439" s="3"/>
      <c r="U1439" s="3"/>
      <c r="V1439" s="4"/>
    </row>
    <row r="1440" spans="1:22" x14ac:dyDescent="0.3">
      <c r="A1440" s="5">
        <f t="shared" si="68"/>
        <v>0</v>
      </c>
      <c r="B1440" s="6">
        <f t="shared" si="69"/>
        <v>0</v>
      </c>
      <c r="K1440" s="18">
        <f t="shared" si="67"/>
        <v>0</v>
      </c>
      <c r="L1440" s="21">
        <f>IF(ISERROR(VLOOKUP($F1440,#REF!,6,0)*G1440/1000),0,VLOOKUP($F1440,#REF!,6,0)*G1440/1000)</f>
        <v>0</v>
      </c>
      <c r="M1440" s="21">
        <f>IF(ISERROR(VLOOKUP($F1440,#REF!,6,0)*H1440/1000),0,VLOOKUP($F1440,#REF!,6,0)*H1440/1000)</f>
        <v>0</v>
      </c>
      <c r="N1440" s="21">
        <f>IF(ISERROR(VLOOKUP($F1440,#REF!,6,0)*I1440/1000),0,VLOOKUP($F1440,#REF!,6,0)*I1440/1000)</f>
        <v>0</v>
      </c>
      <c r="O1440" s="21">
        <f>IF(ISERROR(VLOOKUP($F1440,#REF!,6,0)*J1440/1000),0,VLOOKUP($F1440,#REF!,6,0)*J1440/1000)</f>
        <v>0</v>
      </c>
      <c r="P1440" s="21">
        <f>IF(ISERROR(VLOOKUP(F1440,#REF!,6,0)*K1440/1000),0,VLOOKUP(F1440,#REF!,6,0)*K1440/1000)</f>
        <v>0</v>
      </c>
      <c r="Q1440" s="6">
        <f>IF(ISERROR(VLOOKUP(F1440,#REF!,3,0)),0,VLOOKUP(F1440,#REF!,3,0))</f>
        <v>0</v>
      </c>
      <c r="R1440" s="6">
        <f>IF(ISERROR(VLOOKUP(F1440,#REF!,4,0)),0,VLOOKUP(F1440,#REF!,4,0))</f>
        <v>0</v>
      </c>
      <c r="S1440" s="8">
        <f>IF(ISERROR(VLOOKUP(F1440,#REF!,4,0)),0,VLOOKUP(F1440,#REF!,10,0)/60*K1440)</f>
        <v>0</v>
      </c>
      <c r="T1440" s="3"/>
      <c r="U1440" s="3"/>
      <c r="V1440" s="4"/>
    </row>
    <row r="1441" spans="1:22" x14ac:dyDescent="0.3">
      <c r="A1441" s="5">
        <f t="shared" si="68"/>
        <v>0</v>
      </c>
      <c r="B1441" s="6">
        <f t="shared" si="69"/>
        <v>0</v>
      </c>
      <c r="K1441" s="18">
        <f t="shared" si="67"/>
        <v>0</v>
      </c>
      <c r="L1441" s="21">
        <f>IF(ISERROR(VLOOKUP($F1441,#REF!,6,0)*G1441/1000),0,VLOOKUP($F1441,#REF!,6,0)*G1441/1000)</f>
        <v>0</v>
      </c>
      <c r="M1441" s="21">
        <f>IF(ISERROR(VLOOKUP($F1441,#REF!,6,0)*H1441/1000),0,VLOOKUP($F1441,#REF!,6,0)*H1441/1000)</f>
        <v>0</v>
      </c>
      <c r="N1441" s="21">
        <f>IF(ISERROR(VLOOKUP($F1441,#REF!,6,0)*I1441/1000),0,VLOOKUP($F1441,#REF!,6,0)*I1441/1000)</f>
        <v>0</v>
      </c>
      <c r="O1441" s="21">
        <f>IF(ISERROR(VLOOKUP($F1441,#REF!,6,0)*J1441/1000),0,VLOOKUP($F1441,#REF!,6,0)*J1441/1000)</f>
        <v>0</v>
      </c>
      <c r="P1441" s="21">
        <f>IF(ISERROR(VLOOKUP(F1441,#REF!,6,0)*K1441/1000),0,VLOOKUP(F1441,#REF!,6,0)*K1441/1000)</f>
        <v>0</v>
      </c>
      <c r="Q1441" s="6">
        <f>IF(ISERROR(VLOOKUP(F1441,#REF!,3,0)),0,VLOOKUP(F1441,#REF!,3,0))</f>
        <v>0</v>
      </c>
      <c r="R1441" s="6">
        <f>IF(ISERROR(VLOOKUP(F1441,#REF!,4,0)),0,VLOOKUP(F1441,#REF!,4,0))</f>
        <v>0</v>
      </c>
      <c r="S1441" s="8">
        <f>IF(ISERROR(VLOOKUP(F1441,#REF!,4,0)),0,VLOOKUP(F1441,#REF!,10,0)/60*K1441)</f>
        <v>0</v>
      </c>
      <c r="T1441" s="3"/>
      <c r="U1441" s="3"/>
      <c r="V1441" s="4"/>
    </row>
    <row r="1442" spans="1:22" x14ac:dyDescent="0.3">
      <c r="A1442" s="5">
        <f t="shared" si="68"/>
        <v>0</v>
      </c>
      <c r="B1442" s="6">
        <f t="shared" si="69"/>
        <v>0</v>
      </c>
      <c r="K1442" s="18">
        <f t="shared" si="67"/>
        <v>0</v>
      </c>
      <c r="L1442" s="21">
        <f>IF(ISERROR(VLOOKUP($F1442,#REF!,6,0)*G1442/1000),0,VLOOKUP($F1442,#REF!,6,0)*G1442/1000)</f>
        <v>0</v>
      </c>
      <c r="M1442" s="21">
        <f>IF(ISERROR(VLOOKUP($F1442,#REF!,6,0)*H1442/1000),0,VLOOKUP($F1442,#REF!,6,0)*H1442/1000)</f>
        <v>0</v>
      </c>
      <c r="N1442" s="21">
        <f>IF(ISERROR(VLOOKUP($F1442,#REF!,6,0)*I1442/1000),0,VLOOKUP($F1442,#REF!,6,0)*I1442/1000)</f>
        <v>0</v>
      </c>
      <c r="O1442" s="21">
        <f>IF(ISERROR(VLOOKUP($F1442,#REF!,6,0)*J1442/1000),0,VLOOKUP($F1442,#REF!,6,0)*J1442/1000)</f>
        <v>0</v>
      </c>
      <c r="P1442" s="21">
        <f>IF(ISERROR(VLOOKUP(F1442,#REF!,6,0)*K1442/1000),0,VLOOKUP(F1442,#REF!,6,0)*K1442/1000)</f>
        <v>0</v>
      </c>
      <c r="Q1442" s="6">
        <f>IF(ISERROR(VLOOKUP(F1442,#REF!,3,0)),0,VLOOKUP(F1442,#REF!,3,0))</f>
        <v>0</v>
      </c>
      <c r="R1442" s="6">
        <f>IF(ISERROR(VLOOKUP(F1442,#REF!,4,0)),0,VLOOKUP(F1442,#REF!,4,0))</f>
        <v>0</v>
      </c>
      <c r="S1442" s="8">
        <f>IF(ISERROR(VLOOKUP(F1442,#REF!,4,0)),0,VLOOKUP(F1442,#REF!,10,0)/60*K1442)</f>
        <v>0</v>
      </c>
      <c r="T1442" s="3"/>
      <c r="U1442" s="3"/>
      <c r="V1442" s="4"/>
    </row>
    <row r="1443" spans="1:22" x14ac:dyDescent="0.3">
      <c r="A1443" s="5">
        <f t="shared" si="68"/>
        <v>0</v>
      </c>
      <c r="B1443" s="6">
        <f t="shared" si="69"/>
        <v>0</v>
      </c>
      <c r="K1443" s="18">
        <f t="shared" si="67"/>
        <v>0</v>
      </c>
      <c r="L1443" s="21">
        <f>IF(ISERROR(VLOOKUP($F1443,#REF!,6,0)*G1443/1000),0,VLOOKUP($F1443,#REF!,6,0)*G1443/1000)</f>
        <v>0</v>
      </c>
      <c r="M1443" s="21">
        <f>IF(ISERROR(VLOOKUP($F1443,#REF!,6,0)*H1443/1000),0,VLOOKUP($F1443,#REF!,6,0)*H1443/1000)</f>
        <v>0</v>
      </c>
      <c r="N1443" s="21">
        <f>IF(ISERROR(VLOOKUP($F1443,#REF!,6,0)*I1443/1000),0,VLOOKUP($F1443,#REF!,6,0)*I1443/1000)</f>
        <v>0</v>
      </c>
      <c r="O1443" s="21">
        <f>IF(ISERROR(VLOOKUP($F1443,#REF!,6,0)*J1443/1000),0,VLOOKUP($F1443,#REF!,6,0)*J1443/1000)</f>
        <v>0</v>
      </c>
      <c r="P1443" s="21">
        <f>IF(ISERROR(VLOOKUP(F1443,#REF!,6,0)*K1443/1000),0,VLOOKUP(F1443,#REF!,6,0)*K1443/1000)</f>
        <v>0</v>
      </c>
      <c r="Q1443" s="6">
        <f>IF(ISERROR(VLOOKUP(F1443,#REF!,3,0)),0,VLOOKUP(F1443,#REF!,3,0))</f>
        <v>0</v>
      </c>
      <c r="R1443" s="6">
        <f>IF(ISERROR(VLOOKUP(F1443,#REF!,4,0)),0,VLOOKUP(F1443,#REF!,4,0))</f>
        <v>0</v>
      </c>
      <c r="S1443" s="8">
        <f>IF(ISERROR(VLOOKUP(F1443,#REF!,4,0)),0,VLOOKUP(F1443,#REF!,10,0)/60*K1443)</f>
        <v>0</v>
      </c>
      <c r="T1443" s="3"/>
      <c r="U1443" s="3"/>
      <c r="V1443" s="4"/>
    </row>
    <row r="1444" spans="1:22" x14ac:dyDescent="0.3">
      <c r="A1444" s="5">
        <f t="shared" si="68"/>
        <v>0</v>
      </c>
      <c r="B1444" s="6">
        <f t="shared" si="69"/>
        <v>0</v>
      </c>
      <c r="K1444" s="18">
        <f t="shared" si="67"/>
        <v>0</v>
      </c>
      <c r="L1444" s="21">
        <f>IF(ISERROR(VLOOKUP($F1444,#REF!,6,0)*G1444/1000),0,VLOOKUP($F1444,#REF!,6,0)*G1444/1000)</f>
        <v>0</v>
      </c>
      <c r="M1444" s="21">
        <f>IF(ISERROR(VLOOKUP($F1444,#REF!,6,0)*H1444/1000),0,VLOOKUP($F1444,#REF!,6,0)*H1444/1000)</f>
        <v>0</v>
      </c>
      <c r="N1444" s="21">
        <f>IF(ISERROR(VLOOKUP($F1444,#REF!,6,0)*I1444/1000),0,VLOOKUP($F1444,#REF!,6,0)*I1444/1000)</f>
        <v>0</v>
      </c>
      <c r="O1444" s="21">
        <f>IF(ISERROR(VLOOKUP($F1444,#REF!,6,0)*J1444/1000),0,VLOOKUP($F1444,#REF!,6,0)*J1444/1000)</f>
        <v>0</v>
      </c>
      <c r="P1444" s="21">
        <f>IF(ISERROR(VLOOKUP(F1444,#REF!,6,0)*K1444/1000),0,VLOOKUP(F1444,#REF!,6,0)*K1444/1000)</f>
        <v>0</v>
      </c>
      <c r="Q1444" s="6">
        <f>IF(ISERROR(VLOOKUP(F1444,#REF!,3,0)),0,VLOOKUP(F1444,#REF!,3,0))</f>
        <v>0</v>
      </c>
      <c r="R1444" s="6">
        <f>IF(ISERROR(VLOOKUP(F1444,#REF!,4,0)),0,VLOOKUP(F1444,#REF!,4,0))</f>
        <v>0</v>
      </c>
      <c r="S1444" s="8">
        <f>IF(ISERROR(VLOOKUP(F1444,#REF!,4,0)),0,VLOOKUP(F1444,#REF!,10,0)/60*K1444)</f>
        <v>0</v>
      </c>
      <c r="T1444" s="3"/>
      <c r="U1444" s="3"/>
      <c r="V1444" s="4"/>
    </row>
    <row r="1445" spans="1:22" x14ac:dyDescent="0.3">
      <c r="A1445" s="5">
        <f t="shared" si="68"/>
        <v>0</v>
      </c>
      <c r="B1445" s="6">
        <f t="shared" si="69"/>
        <v>0</v>
      </c>
      <c r="K1445" s="18">
        <f t="shared" si="67"/>
        <v>0</v>
      </c>
      <c r="L1445" s="21">
        <f>IF(ISERROR(VLOOKUP($F1445,#REF!,6,0)*G1445/1000),0,VLOOKUP($F1445,#REF!,6,0)*G1445/1000)</f>
        <v>0</v>
      </c>
      <c r="M1445" s="21">
        <f>IF(ISERROR(VLOOKUP($F1445,#REF!,6,0)*H1445/1000),0,VLOOKUP($F1445,#REF!,6,0)*H1445/1000)</f>
        <v>0</v>
      </c>
      <c r="N1445" s="21">
        <f>IF(ISERROR(VLOOKUP($F1445,#REF!,6,0)*I1445/1000),0,VLOOKUP($F1445,#REF!,6,0)*I1445/1000)</f>
        <v>0</v>
      </c>
      <c r="O1445" s="21">
        <f>IF(ISERROR(VLOOKUP($F1445,#REF!,6,0)*J1445/1000),0,VLOOKUP($F1445,#REF!,6,0)*J1445/1000)</f>
        <v>0</v>
      </c>
      <c r="P1445" s="21">
        <f>IF(ISERROR(VLOOKUP(F1445,#REF!,6,0)*K1445/1000),0,VLOOKUP(F1445,#REF!,6,0)*K1445/1000)</f>
        <v>0</v>
      </c>
      <c r="Q1445" s="6">
        <f>IF(ISERROR(VLOOKUP(F1445,#REF!,3,0)),0,VLOOKUP(F1445,#REF!,3,0))</f>
        <v>0</v>
      </c>
      <c r="R1445" s="6">
        <f>IF(ISERROR(VLOOKUP(F1445,#REF!,4,0)),0,VLOOKUP(F1445,#REF!,4,0))</f>
        <v>0</v>
      </c>
      <c r="S1445" s="8">
        <f>IF(ISERROR(VLOOKUP(F1445,#REF!,4,0)),0,VLOOKUP(F1445,#REF!,10,0)/60*K1445)</f>
        <v>0</v>
      </c>
      <c r="T1445" s="3"/>
      <c r="U1445" s="3"/>
      <c r="V1445" s="4"/>
    </row>
    <row r="1446" spans="1:22" x14ac:dyDescent="0.3">
      <c r="A1446" s="5">
        <f t="shared" si="68"/>
        <v>0</v>
      </c>
      <c r="B1446" s="6">
        <f t="shared" si="69"/>
        <v>0</v>
      </c>
      <c r="K1446" s="18">
        <f t="shared" si="67"/>
        <v>0</v>
      </c>
      <c r="L1446" s="21">
        <f>IF(ISERROR(VLOOKUP($F1446,#REF!,6,0)*G1446/1000),0,VLOOKUP($F1446,#REF!,6,0)*G1446/1000)</f>
        <v>0</v>
      </c>
      <c r="M1446" s="21">
        <f>IF(ISERROR(VLOOKUP($F1446,#REF!,6,0)*H1446/1000),0,VLOOKUP($F1446,#REF!,6,0)*H1446/1000)</f>
        <v>0</v>
      </c>
      <c r="N1446" s="21">
        <f>IF(ISERROR(VLOOKUP($F1446,#REF!,6,0)*I1446/1000),0,VLOOKUP($F1446,#REF!,6,0)*I1446/1000)</f>
        <v>0</v>
      </c>
      <c r="O1446" s="21">
        <f>IF(ISERROR(VLOOKUP($F1446,#REF!,6,0)*J1446/1000),0,VLOOKUP($F1446,#REF!,6,0)*J1446/1000)</f>
        <v>0</v>
      </c>
      <c r="P1446" s="21">
        <f>IF(ISERROR(VLOOKUP(F1446,#REF!,6,0)*K1446/1000),0,VLOOKUP(F1446,#REF!,6,0)*K1446/1000)</f>
        <v>0</v>
      </c>
      <c r="Q1446" s="6">
        <f>IF(ISERROR(VLOOKUP(F1446,#REF!,3,0)),0,VLOOKUP(F1446,#REF!,3,0))</f>
        <v>0</v>
      </c>
      <c r="R1446" s="6">
        <f>IF(ISERROR(VLOOKUP(F1446,#REF!,4,0)),0,VLOOKUP(F1446,#REF!,4,0))</f>
        <v>0</v>
      </c>
      <c r="S1446" s="8">
        <f>IF(ISERROR(VLOOKUP(F1446,#REF!,4,0)),0,VLOOKUP(F1446,#REF!,10,0)/60*K1446)</f>
        <v>0</v>
      </c>
      <c r="T1446" s="3"/>
      <c r="U1446" s="3"/>
      <c r="V1446" s="4"/>
    </row>
    <row r="1447" spans="1:22" x14ac:dyDescent="0.3">
      <c r="A1447" s="5">
        <f t="shared" si="68"/>
        <v>0</v>
      </c>
      <c r="B1447" s="6">
        <f t="shared" si="69"/>
        <v>0</v>
      </c>
      <c r="K1447" s="18">
        <f t="shared" si="67"/>
        <v>0</v>
      </c>
      <c r="L1447" s="21">
        <f>IF(ISERROR(VLOOKUP($F1447,#REF!,6,0)*G1447/1000),0,VLOOKUP($F1447,#REF!,6,0)*G1447/1000)</f>
        <v>0</v>
      </c>
      <c r="M1447" s="21">
        <f>IF(ISERROR(VLOOKUP($F1447,#REF!,6,0)*H1447/1000),0,VLOOKUP($F1447,#REF!,6,0)*H1447/1000)</f>
        <v>0</v>
      </c>
      <c r="N1447" s="21">
        <f>IF(ISERROR(VLOOKUP($F1447,#REF!,6,0)*I1447/1000),0,VLOOKUP($F1447,#REF!,6,0)*I1447/1000)</f>
        <v>0</v>
      </c>
      <c r="O1447" s="21">
        <f>IF(ISERROR(VLOOKUP($F1447,#REF!,6,0)*J1447/1000),0,VLOOKUP($F1447,#REF!,6,0)*J1447/1000)</f>
        <v>0</v>
      </c>
      <c r="P1447" s="21">
        <f>IF(ISERROR(VLOOKUP(F1447,#REF!,6,0)*K1447/1000),0,VLOOKUP(F1447,#REF!,6,0)*K1447/1000)</f>
        <v>0</v>
      </c>
      <c r="Q1447" s="6">
        <f>IF(ISERROR(VLOOKUP(F1447,#REF!,3,0)),0,VLOOKUP(F1447,#REF!,3,0))</f>
        <v>0</v>
      </c>
      <c r="R1447" s="6">
        <f>IF(ISERROR(VLOOKUP(F1447,#REF!,4,0)),0,VLOOKUP(F1447,#REF!,4,0))</f>
        <v>0</v>
      </c>
      <c r="S1447" s="8">
        <f>IF(ISERROR(VLOOKUP(F1447,#REF!,4,0)),0,VLOOKUP(F1447,#REF!,10,0)/60*K1447)</f>
        <v>0</v>
      </c>
      <c r="T1447" s="3"/>
      <c r="U1447" s="3"/>
      <c r="V1447" s="4"/>
    </row>
    <row r="1448" spans="1:22" x14ac:dyDescent="0.3">
      <c r="A1448" s="5">
        <f t="shared" si="68"/>
        <v>0</v>
      </c>
      <c r="B1448" s="6">
        <f t="shared" si="69"/>
        <v>0</v>
      </c>
      <c r="K1448" s="18">
        <f t="shared" si="67"/>
        <v>0</v>
      </c>
      <c r="L1448" s="21">
        <f>IF(ISERROR(VLOOKUP($F1448,#REF!,6,0)*G1448/1000),0,VLOOKUP($F1448,#REF!,6,0)*G1448/1000)</f>
        <v>0</v>
      </c>
      <c r="M1448" s="21">
        <f>IF(ISERROR(VLOOKUP($F1448,#REF!,6,0)*H1448/1000),0,VLOOKUP($F1448,#REF!,6,0)*H1448/1000)</f>
        <v>0</v>
      </c>
      <c r="N1448" s="21">
        <f>IF(ISERROR(VLOOKUP($F1448,#REF!,6,0)*I1448/1000),0,VLOOKUP($F1448,#REF!,6,0)*I1448/1000)</f>
        <v>0</v>
      </c>
      <c r="O1448" s="21">
        <f>IF(ISERROR(VLOOKUP($F1448,#REF!,6,0)*J1448/1000),0,VLOOKUP($F1448,#REF!,6,0)*J1448/1000)</f>
        <v>0</v>
      </c>
      <c r="P1448" s="21">
        <f>IF(ISERROR(VLOOKUP(F1448,#REF!,6,0)*K1448/1000),0,VLOOKUP(F1448,#REF!,6,0)*K1448/1000)</f>
        <v>0</v>
      </c>
      <c r="Q1448" s="6">
        <f>IF(ISERROR(VLOOKUP(F1448,#REF!,3,0)),0,VLOOKUP(F1448,#REF!,3,0))</f>
        <v>0</v>
      </c>
      <c r="R1448" s="6">
        <f>IF(ISERROR(VLOOKUP(F1448,#REF!,4,0)),0,VLOOKUP(F1448,#REF!,4,0))</f>
        <v>0</v>
      </c>
      <c r="S1448" s="8">
        <f>IF(ISERROR(VLOOKUP(F1448,#REF!,4,0)),0,VLOOKUP(F1448,#REF!,10,0)/60*K1448)</f>
        <v>0</v>
      </c>
      <c r="T1448" s="3"/>
      <c r="U1448" s="3"/>
      <c r="V1448" s="4"/>
    </row>
    <row r="1449" spans="1:22" x14ac:dyDescent="0.3">
      <c r="A1449" s="5">
        <f t="shared" si="68"/>
        <v>0</v>
      </c>
      <c r="B1449" s="6">
        <f t="shared" si="69"/>
        <v>0</v>
      </c>
      <c r="K1449" s="18">
        <f t="shared" si="67"/>
        <v>0</v>
      </c>
      <c r="L1449" s="21">
        <f>IF(ISERROR(VLOOKUP($F1449,#REF!,6,0)*G1449/1000),0,VLOOKUP($F1449,#REF!,6,0)*G1449/1000)</f>
        <v>0</v>
      </c>
      <c r="M1449" s="21">
        <f>IF(ISERROR(VLOOKUP($F1449,#REF!,6,0)*H1449/1000),0,VLOOKUP($F1449,#REF!,6,0)*H1449/1000)</f>
        <v>0</v>
      </c>
      <c r="N1449" s="21">
        <f>IF(ISERROR(VLOOKUP($F1449,#REF!,6,0)*I1449/1000),0,VLOOKUP($F1449,#REF!,6,0)*I1449/1000)</f>
        <v>0</v>
      </c>
      <c r="O1449" s="21">
        <f>IF(ISERROR(VLOOKUP($F1449,#REF!,6,0)*J1449/1000),0,VLOOKUP($F1449,#REF!,6,0)*J1449/1000)</f>
        <v>0</v>
      </c>
      <c r="P1449" s="21">
        <f>IF(ISERROR(VLOOKUP(F1449,#REF!,6,0)*K1449/1000),0,VLOOKUP(F1449,#REF!,6,0)*K1449/1000)</f>
        <v>0</v>
      </c>
      <c r="Q1449" s="6">
        <f>IF(ISERROR(VLOOKUP(F1449,#REF!,3,0)),0,VLOOKUP(F1449,#REF!,3,0))</f>
        <v>0</v>
      </c>
      <c r="R1449" s="6">
        <f>IF(ISERROR(VLOOKUP(F1449,#REF!,4,0)),0,VLOOKUP(F1449,#REF!,4,0))</f>
        <v>0</v>
      </c>
      <c r="S1449" s="8">
        <f>IF(ISERROR(VLOOKUP(F1449,#REF!,4,0)),0,VLOOKUP(F1449,#REF!,10,0)/60*K1449)</f>
        <v>0</v>
      </c>
      <c r="T1449" s="3"/>
      <c r="U1449" s="3"/>
      <c r="V1449" s="4"/>
    </row>
    <row r="1450" spans="1:22" x14ac:dyDescent="0.3">
      <c r="A1450" s="5">
        <f t="shared" si="68"/>
        <v>0</v>
      </c>
      <c r="B1450" s="6">
        <f t="shared" si="69"/>
        <v>0</v>
      </c>
      <c r="K1450" s="18">
        <f t="shared" si="67"/>
        <v>0</v>
      </c>
      <c r="L1450" s="21">
        <f>IF(ISERROR(VLOOKUP($F1450,#REF!,6,0)*G1450/1000),0,VLOOKUP($F1450,#REF!,6,0)*G1450/1000)</f>
        <v>0</v>
      </c>
      <c r="M1450" s="21">
        <f>IF(ISERROR(VLOOKUP($F1450,#REF!,6,0)*H1450/1000),0,VLOOKUP($F1450,#REF!,6,0)*H1450/1000)</f>
        <v>0</v>
      </c>
      <c r="N1450" s="21">
        <f>IF(ISERROR(VLOOKUP($F1450,#REF!,6,0)*I1450/1000),0,VLOOKUP($F1450,#REF!,6,0)*I1450/1000)</f>
        <v>0</v>
      </c>
      <c r="O1450" s="21">
        <f>IF(ISERROR(VLOOKUP($F1450,#REF!,6,0)*J1450/1000),0,VLOOKUP($F1450,#REF!,6,0)*J1450/1000)</f>
        <v>0</v>
      </c>
      <c r="P1450" s="21">
        <f>IF(ISERROR(VLOOKUP(F1450,#REF!,6,0)*K1450/1000),0,VLOOKUP(F1450,#REF!,6,0)*K1450/1000)</f>
        <v>0</v>
      </c>
      <c r="Q1450" s="6">
        <f>IF(ISERROR(VLOOKUP(F1450,#REF!,3,0)),0,VLOOKUP(F1450,#REF!,3,0))</f>
        <v>0</v>
      </c>
      <c r="R1450" s="6">
        <f>IF(ISERROR(VLOOKUP(F1450,#REF!,4,0)),0,VLOOKUP(F1450,#REF!,4,0))</f>
        <v>0</v>
      </c>
      <c r="S1450" s="8">
        <f>IF(ISERROR(VLOOKUP(F1450,#REF!,4,0)),0,VLOOKUP(F1450,#REF!,10,0)/60*K1450)</f>
        <v>0</v>
      </c>
      <c r="T1450" s="3"/>
      <c r="U1450" s="3"/>
      <c r="V1450" s="4"/>
    </row>
    <row r="1451" spans="1:22" x14ac:dyDescent="0.3">
      <c r="A1451" s="5">
        <f t="shared" si="68"/>
        <v>0</v>
      </c>
      <c r="B1451" s="6">
        <f t="shared" si="69"/>
        <v>0</v>
      </c>
      <c r="K1451" s="18">
        <f t="shared" si="67"/>
        <v>0</v>
      </c>
      <c r="L1451" s="21">
        <f>IF(ISERROR(VLOOKUP($F1451,#REF!,6,0)*G1451/1000),0,VLOOKUP($F1451,#REF!,6,0)*G1451/1000)</f>
        <v>0</v>
      </c>
      <c r="M1451" s="21">
        <f>IF(ISERROR(VLOOKUP($F1451,#REF!,6,0)*H1451/1000),0,VLOOKUP($F1451,#REF!,6,0)*H1451/1000)</f>
        <v>0</v>
      </c>
      <c r="N1451" s="21">
        <f>IF(ISERROR(VLOOKUP($F1451,#REF!,6,0)*I1451/1000),0,VLOOKUP($F1451,#REF!,6,0)*I1451/1000)</f>
        <v>0</v>
      </c>
      <c r="O1451" s="21">
        <f>IF(ISERROR(VLOOKUP($F1451,#REF!,6,0)*J1451/1000),0,VLOOKUP($F1451,#REF!,6,0)*J1451/1000)</f>
        <v>0</v>
      </c>
      <c r="P1451" s="21">
        <f>IF(ISERROR(VLOOKUP(F1451,#REF!,6,0)*K1451/1000),0,VLOOKUP(F1451,#REF!,6,0)*K1451/1000)</f>
        <v>0</v>
      </c>
      <c r="Q1451" s="6">
        <f>IF(ISERROR(VLOOKUP(F1451,#REF!,3,0)),0,VLOOKUP(F1451,#REF!,3,0))</f>
        <v>0</v>
      </c>
      <c r="R1451" s="6">
        <f>IF(ISERROR(VLOOKUP(F1451,#REF!,4,0)),0,VLOOKUP(F1451,#REF!,4,0))</f>
        <v>0</v>
      </c>
      <c r="S1451" s="8">
        <f>IF(ISERROR(VLOOKUP(F1451,#REF!,4,0)),0,VLOOKUP(F1451,#REF!,10,0)/60*K1451)</f>
        <v>0</v>
      </c>
      <c r="T1451" s="3"/>
      <c r="U1451" s="3"/>
      <c r="V1451" s="4"/>
    </row>
    <row r="1452" spans="1:22" x14ac:dyDescent="0.3">
      <c r="A1452" s="5">
        <f t="shared" si="68"/>
        <v>0</v>
      </c>
      <c r="B1452" s="6">
        <f t="shared" si="69"/>
        <v>0</v>
      </c>
      <c r="K1452" s="18">
        <f t="shared" si="67"/>
        <v>0</v>
      </c>
      <c r="L1452" s="21">
        <f>IF(ISERROR(VLOOKUP($F1452,#REF!,6,0)*G1452/1000),0,VLOOKUP($F1452,#REF!,6,0)*G1452/1000)</f>
        <v>0</v>
      </c>
      <c r="M1452" s="21">
        <f>IF(ISERROR(VLOOKUP($F1452,#REF!,6,0)*H1452/1000),0,VLOOKUP($F1452,#REF!,6,0)*H1452/1000)</f>
        <v>0</v>
      </c>
      <c r="N1452" s="21">
        <f>IF(ISERROR(VLOOKUP($F1452,#REF!,6,0)*I1452/1000),0,VLOOKUP($F1452,#REF!,6,0)*I1452/1000)</f>
        <v>0</v>
      </c>
      <c r="O1452" s="21">
        <f>IF(ISERROR(VLOOKUP($F1452,#REF!,6,0)*J1452/1000),0,VLOOKUP($F1452,#REF!,6,0)*J1452/1000)</f>
        <v>0</v>
      </c>
      <c r="P1452" s="21">
        <f>IF(ISERROR(VLOOKUP(F1452,#REF!,6,0)*K1452/1000),0,VLOOKUP(F1452,#REF!,6,0)*K1452/1000)</f>
        <v>0</v>
      </c>
      <c r="Q1452" s="6">
        <f>IF(ISERROR(VLOOKUP(F1452,#REF!,3,0)),0,VLOOKUP(F1452,#REF!,3,0))</f>
        <v>0</v>
      </c>
      <c r="R1452" s="6">
        <f>IF(ISERROR(VLOOKUP(F1452,#REF!,4,0)),0,VLOOKUP(F1452,#REF!,4,0))</f>
        <v>0</v>
      </c>
      <c r="S1452" s="8">
        <f>IF(ISERROR(VLOOKUP(F1452,#REF!,4,0)),0,VLOOKUP(F1452,#REF!,10,0)/60*K1452)</f>
        <v>0</v>
      </c>
      <c r="T1452" s="3"/>
      <c r="U1452" s="3"/>
      <c r="V1452" s="4"/>
    </row>
    <row r="1453" spans="1:22" x14ac:dyDescent="0.3">
      <c r="A1453" s="5">
        <f t="shared" si="68"/>
        <v>0</v>
      </c>
      <c r="B1453" s="6">
        <f t="shared" si="69"/>
        <v>0</v>
      </c>
      <c r="K1453" s="18">
        <f t="shared" si="67"/>
        <v>0</v>
      </c>
      <c r="L1453" s="21">
        <f>IF(ISERROR(VLOOKUP($F1453,#REF!,6,0)*G1453/1000),0,VLOOKUP($F1453,#REF!,6,0)*G1453/1000)</f>
        <v>0</v>
      </c>
      <c r="M1453" s="21">
        <f>IF(ISERROR(VLOOKUP($F1453,#REF!,6,0)*H1453/1000),0,VLOOKUP($F1453,#REF!,6,0)*H1453/1000)</f>
        <v>0</v>
      </c>
      <c r="N1453" s="21">
        <f>IF(ISERROR(VLOOKUP($F1453,#REF!,6,0)*I1453/1000),0,VLOOKUP($F1453,#REF!,6,0)*I1453/1000)</f>
        <v>0</v>
      </c>
      <c r="O1453" s="21">
        <f>IF(ISERROR(VLOOKUP($F1453,#REF!,6,0)*J1453/1000),0,VLOOKUP($F1453,#REF!,6,0)*J1453/1000)</f>
        <v>0</v>
      </c>
      <c r="P1453" s="21">
        <f>IF(ISERROR(VLOOKUP(F1453,#REF!,6,0)*K1453/1000),0,VLOOKUP(F1453,#REF!,6,0)*K1453/1000)</f>
        <v>0</v>
      </c>
      <c r="Q1453" s="6">
        <f>IF(ISERROR(VLOOKUP(F1453,#REF!,3,0)),0,VLOOKUP(F1453,#REF!,3,0))</f>
        <v>0</v>
      </c>
      <c r="R1453" s="6">
        <f>IF(ISERROR(VLOOKUP(F1453,#REF!,4,0)),0,VLOOKUP(F1453,#REF!,4,0))</f>
        <v>0</v>
      </c>
      <c r="S1453" s="8">
        <f>IF(ISERROR(VLOOKUP(F1453,#REF!,4,0)),0,VLOOKUP(F1453,#REF!,10,0)/60*K1453)</f>
        <v>0</v>
      </c>
      <c r="T1453" s="3"/>
      <c r="U1453" s="3"/>
      <c r="V1453" s="4"/>
    </row>
    <row r="1454" spans="1:22" x14ac:dyDescent="0.3">
      <c r="A1454" s="5">
        <f t="shared" si="68"/>
        <v>0</v>
      </c>
      <c r="B1454" s="6">
        <f t="shared" si="69"/>
        <v>0</v>
      </c>
      <c r="K1454" s="18">
        <f t="shared" si="67"/>
        <v>0</v>
      </c>
      <c r="L1454" s="21">
        <f>IF(ISERROR(VLOOKUP($F1454,#REF!,6,0)*G1454/1000),0,VLOOKUP($F1454,#REF!,6,0)*G1454/1000)</f>
        <v>0</v>
      </c>
      <c r="M1454" s="21">
        <f>IF(ISERROR(VLOOKUP($F1454,#REF!,6,0)*H1454/1000),0,VLOOKUP($F1454,#REF!,6,0)*H1454/1000)</f>
        <v>0</v>
      </c>
      <c r="N1454" s="21">
        <f>IF(ISERROR(VLOOKUP($F1454,#REF!,6,0)*I1454/1000),0,VLOOKUP($F1454,#REF!,6,0)*I1454/1000)</f>
        <v>0</v>
      </c>
      <c r="O1454" s="21">
        <f>IF(ISERROR(VLOOKUP($F1454,#REF!,6,0)*J1454/1000),0,VLOOKUP($F1454,#REF!,6,0)*J1454/1000)</f>
        <v>0</v>
      </c>
      <c r="P1454" s="21">
        <f>IF(ISERROR(VLOOKUP(F1454,#REF!,6,0)*K1454/1000),0,VLOOKUP(F1454,#REF!,6,0)*K1454/1000)</f>
        <v>0</v>
      </c>
      <c r="Q1454" s="6">
        <f>IF(ISERROR(VLOOKUP(F1454,#REF!,3,0)),0,VLOOKUP(F1454,#REF!,3,0))</f>
        <v>0</v>
      </c>
      <c r="R1454" s="6">
        <f>IF(ISERROR(VLOOKUP(F1454,#REF!,4,0)),0,VLOOKUP(F1454,#REF!,4,0))</f>
        <v>0</v>
      </c>
      <c r="S1454" s="8">
        <f>IF(ISERROR(VLOOKUP(F1454,#REF!,4,0)),0,VLOOKUP(F1454,#REF!,10,0)/60*K1454)</f>
        <v>0</v>
      </c>
    </row>
    <row r="1455" spans="1:22" x14ac:dyDescent="0.3">
      <c r="A1455" s="5">
        <f t="shared" si="68"/>
        <v>0</v>
      </c>
      <c r="B1455" s="6">
        <f t="shared" si="69"/>
        <v>0</v>
      </c>
      <c r="K1455" s="18">
        <f t="shared" si="67"/>
        <v>0</v>
      </c>
      <c r="L1455" s="21">
        <f>IF(ISERROR(VLOOKUP($F1455,#REF!,6,0)*G1455/1000),0,VLOOKUP($F1455,#REF!,6,0)*G1455/1000)</f>
        <v>0</v>
      </c>
      <c r="M1455" s="21">
        <f>IF(ISERROR(VLOOKUP($F1455,#REF!,6,0)*H1455/1000),0,VLOOKUP($F1455,#REF!,6,0)*H1455/1000)</f>
        <v>0</v>
      </c>
      <c r="N1455" s="21">
        <f>IF(ISERROR(VLOOKUP($F1455,#REF!,6,0)*I1455/1000),0,VLOOKUP($F1455,#REF!,6,0)*I1455/1000)</f>
        <v>0</v>
      </c>
      <c r="O1455" s="21">
        <f>IF(ISERROR(VLOOKUP($F1455,#REF!,6,0)*J1455/1000),0,VLOOKUP($F1455,#REF!,6,0)*J1455/1000)</f>
        <v>0</v>
      </c>
      <c r="P1455" s="21">
        <f>IF(ISERROR(VLOOKUP(F1455,#REF!,6,0)*K1455/1000),0,VLOOKUP(F1455,#REF!,6,0)*K1455/1000)</f>
        <v>0</v>
      </c>
      <c r="Q1455" s="6">
        <f>IF(ISERROR(VLOOKUP(F1455,#REF!,3,0)),0,VLOOKUP(F1455,#REF!,3,0))</f>
        <v>0</v>
      </c>
      <c r="R1455" s="6">
        <f>IF(ISERROR(VLOOKUP(F1455,#REF!,4,0)),0,VLOOKUP(F1455,#REF!,4,0))</f>
        <v>0</v>
      </c>
      <c r="S1455" s="8">
        <f>IF(ISERROR(VLOOKUP(F1455,#REF!,4,0)),0,VLOOKUP(F1455,#REF!,10,0)/60*K1455)</f>
        <v>0</v>
      </c>
    </row>
    <row r="1456" spans="1:22" x14ac:dyDescent="0.3">
      <c r="A1456" s="5">
        <f t="shared" si="68"/>
        <v>0</v>
      </c>
      <c r="B1456" s="6">
        <f t="shared" si="69"/>
        <v>0</v>
      </c>
      <c r="K1456" s="18">
        <f t="shared" si="67"/>
        <v>0</v>
      </c>
      <c r="L1456" s="21">
        <f>IF(ISERROR(VLOOKUP($F1456,#REF!,6,0)*G1456/1000),0,VLOOKUP($F1456,#REF!,6,0)*G1456/1000)</f>
        <v>0</v>
      </c>
      <c r="M1456" s="21">
        <f>IF(ISERROR(VLOOKUP($F1456,#REF!,6,0)*H1456/1000),0,VLOOKUP($F1456,#REF!,6,0)*H1456/1000)</f>
        <v>0</v>
      </c>
      <c r="N1456" s="21">
        <f>IF(ISERROR(VLOOKUP($F1456,#REF!,6,0)*I1456/1000),0,VLOOKUP($F1456,#REF!,6,0)*I1456/1000)</f>
        <v>0</v>
      </c>
      <c r="O1456" s="21">
        <f>IF(ISERROR(VLOOKUP($F1456,#REF!,6,0)*J1456/1000),0,VLOOKUP($F1456,#REF!,6,0)*J1456/1000)</f>
        <v>0</v>
      </c>
      <c r="P1456" s="21">
        <f>IF(ISERROR(VLOOKUP(F1456,#REF!,6,0)*K1456/1000),0,VLOOKUP(F1456,#REF!,6,0)*K1456/1000)</f>
        <v>0</v>
      </c>
      <c r="Q1456" s="6">
        <f>IF(ISERROR(VLOOKUP(F1456,#REF!,3,0)),0,VLOOKUP(F1456,#REF!,3,0))</f>
        <v>0</v>
      </c>
      <c r="R1456" s="6">
        <f>IF(ISERROR(VLOOKUP(F1456,#REF!,4,0)),0,VLOOKUP(F1456,#REF!,4,0))</f>
        <v>0</v>
      </c>
      <c r="S1456" s="8">
        <f>IF(ISERROR(VLOOKUP(F1456,#REF!,4,0)),0,VLOOKUP(F1456,#REF!,10,0)/60*K1456)</f>
        <v>0</v>
      </c>
    </row>
    <row r="1457" spans="1:19" x14ac:dyDescent="0.3">
      <c r="A1457" s="5">
        <f t="shared" si="68"/>
        <v>0</v>
      </c>
      <c r="B1457" s="6">
        <f t="shared" si="69"/>
        <v>0</v>
      </c>
      <c r="K1457" s="18">
        <f t="shared" si="67"/>
        <v>0</v>
      </c>
      <c r="L1457" s="21">
        <f>IF(ISERROR(VLOOKUP($F1457,#REF!,6,0)*G1457/1000),0,VLOOKUP($F1457,#REF!,6,0)*G1457/1000)</f>
        <v>0</v>
      </c>
      <c r="M1457" s="21">
        <f>IF(ISERROR(VLOOKUP($F1457,#REF!,6,0)*H1457/1000),0,VLOOKUP($F1457,#REF!,6,0)*H1457/1000)</f>
        <v>0</v>
      </c>
      <c r="N1457" s="21">
        <f>IF(ISERROR(VLOOKUP($F1457,#REF!,6,0)*I1457/1000),0,VLOOKUP($F1457,#REF!,6,0)*I1457/1000)</f>
        <v>0</v>
      </c>
      <c r="O1457" s="21">
        <f>IF(ISERROR(VLOOKUP($F1457,#REF!,6,0)*J1457/1000),0,VLOOKUP($F1457,#REF!,6,0)*J1457/1000)</f>
        <v>0</v>
      </c>
      <c r="P1457" s="21">
        <f>IF(ISERROR(VLOOKUP(F1457,#REF!,6,0)*K1457/1000),0,VLOOKUP(F1457,#REF!,6,0)*K1457/1000)</f>
        <v>0</v>
      </c>
      <c r="Q1457" s="6">
        <f>IF(ISERROR(VLOOKUP(F1457,#REF!,3,0)),0,VLOOKUP(F1457,#REF!,3,0))</f>
        <v>0</v>
      </c>
      <c r="R1457" s="6">
        <f>IF(ISERROR(VLOOKUP(F1457,#REF!,4,0)),0,VLOOKUP(F1457,#REF!,4,0))</f>
        <v>0</v>
      </c>
      <c r="S1457" s="8">
        <f>IF(ISERROR(VLOOKUP(F1457,#REF!,4,0)),0,VLOOKUP(F1457,#REF!,10,0)/60*K1457)</f>
        <v>0</v>
      </c>
    </row>
    <row r="1458" spans="1:19" x14ac:dyDescent="0.3">
      <c r="A1458" s="5">
        <f t="shared" si="68"/>
        <v>0</v>
      </c>
      <c r="B1458" s="6">
        <f t="shared" si="69"/>
        <v>0</v>
      </c>
      <c r="K1458" s="18">
        <f t="shared" si="67"/>
        <v>0</v>
      </c>
      <c r="L1458" s="21">
        <f>IF(ISERROR(VLOOKUP($F1458,#REF!,6,0)*G1458/1000),0,VLOOKUP($F1458,#REF!,6,0)*G1458/1000)</f>
        <v>0</v>
      </c>
      <c r="M1458" s="21">
        <f>IF(ISERROR(VLOOKUP($F1458,#REF!,6,0)*H1458/1000),0,VLOOKUP($F1458,#REF!,6,0)*H1458/1000)</f>
        <v>0</v>
      </c>
      <c r="N1458" s="21">
        <f>IF(ISERROR(VLOOKUP($F1458,#REF!,6,0)*I1458/1000),0,VLOOKUP($F1458,#REF!,6,0)*I1458/1000)</f>
        <v>0</v>
      </c>
      <c r="O1458" s="21">
        <f>IF(ISERROR(VLOOKUP($F1458,#REF!,6,0)*J1458/1000),0,VLOOKUP($F1458,#REF!,6,0)*J1458/1000)</f>
        <v>0</v>
      </c>
      <c r="P1458" s="21">
        <f>IF(ISERROR(VLOOKUP(F1458,#REF!,6,0)*K1458/1000),0,VLOOKUP(F1458,#REF!,6,0)*K1458/1000)</f>
        <v>0</v>
      </c>
      <c r="Q1458" s="6">
        <f>IF(ISERROR(VLOOKUP(F1458,#REF!,3,0)),0,VLOOKUP(F1458,#REF!,3,0))</f>
        <v>0</v>
      </c>
      <c r="R1458" s="6">
        <f>IF(ISERROR(VLOOKUP(F1458,#REF!,4,0)),0,VLOOKUP(F1458,#REF!,4,0))</f>
        <v>0</v>
      </c>
      <c r="S1458" s="8">
        <f>IF(ISERROR(VLOOKUP(F1458,#REF!,4,0)),0,VLOOKUP(F1458,#REF!,10,0)/60*K1458)</f>
        <v>0</v>
      </c>
    </row>
    <row r="1459" spans="1:19" x14ac:dyDescent="0.3">
      <c r="A1459" s="5">
        <f t="shared" si="68"/>
        <v>0</v>
      </c>
      <c r="B1459" s="6">
        <f t="shared" si="69"/>
        <v>0</v>
      </c>
      <c r="K1459" s="18">
        <f t="shared" si="67"/>
        <v>0</v>
      </c>
      <c r="L1459" s="21">
        <f>IF(ISERROR(VLOOKUP($F1459,#REF!,6,0)*G1459/1000),0,VLOOKUP($F1459,#REF!,6,0)*G1459/1000)</f>
        <v>0</v>
      </c>
      <c r="M1459" s="21">
        <f>IF(ISERROR(VLOOKUP($F1459,#REF!,6,0)*H1459/1000),0,VLOOKUP($F1459,#REF!,6,0)*H1459/1000)</f>
        <v>0</v>
      </c>
      <c r="N1459" s="21">
        <f>IF(ISERROR(VLOOKUP($F1459,#REF!,6,0)*I1459/1000),0,VLOOKUP($F1459,#REF!,6,0)*I1459/1000)</f>
        <v>0</v>
      </c>
      <c r="O1459" s="21">
        <f>IF(ISERROR(VLOOKUP($F1459,#REF!,6,0)*J1459/1000),0,VLOOKUP($F1459,#REF!,6,0)*J1459/1000)</f>
        <v>0</v>
      </c>
      <c r="P1459" s="21">
        <f>IF(ISERROR(VLOOKUP(F1459,#REF!,6,0)*K1459/1000),0,VLOOKUP(F1459,#REF!,6,0)*K1459/1000)</f>
        <v>0</v>
      </c>
      <c r="Q1459" s="6">
        <f>IF(ISERROR(VLOOKUP(F1459,#REF!,3,0)),0,VLOOKUP(F1459,#REF!,3,0))</f>
        <v>0</v>
      </c>
      <c r="R1459" s="6">
        <f>IF(ISERROR(VLOOKUP(F1459,#REF!,4,0)),0,VLOOKUP(F1459,#REF!,4,0))</f>
        <v>0</v>
      </c>
      <c r="S1459" s="8">
        <f>IF(ISERROR(VLOOKUP(F1459,#REF!,4,0)),0,VLOOKUP(F1459,#REF!,10,0)/60*K1459)</f>
        <v>0</v>
      </c>
    </row>
    <row r="1460" spans="1:19" x14ac:dyDescent="0.3">
      <c r="A1460" s="5">
        <f t="shared" si="68"/>
        <v>0</v>
      </c>
      <c r="B1460" s="6">
        <f t="shared" si="69"/>
        <v>0</v>
      </c>
      <c r="K1460" s="18">
        <f t="shared" si="67"/>
        <v>0</v>
      </c>
      <c r="L1460" s="21">
        <f>IF(ISERROR(VLOOKUP($F1460,#REF!,6,0)*G1460/1000),0,VLOOKUP($F1460,#REF!,6,0)*G1460/1000)</f>
        <v>0</v>
      </c>
      <c r="M1460" s="21">
        <f>IF(ISERROR(VLOOKUP($F1460,#REF!,6,0)*H1460/1000),0,VLOOKUP($F1460,#REF!,6,0)*H1460/1000)</f>
        <v>0</v>
      </c>
      <c r="N1460" s="21">
        <f>IF(ISERROR(VLOOKUP($F1460,#REF!,6,0)*I1460/1000),0,VLOOKUP($F1460,#REF!,6,0)*I1460/1000)</f>
        <v>0</v>
      </c>
      <c r="O1460" s="21">
        <f>IF(ISERROR(VLOOKUP($F1460,#REF!,6,0)*J1460/1000),0,VLOOKUP($F1460,#REF!,6,0)*J1460/1000)</f>
        <v>0</v>
      </c>
      <c r="P1460" s="21">
        <f>IF(ISERROR(VLOOKUP(F1460,#REF!,6,0)*K1460/1000),0,VLOOKUP(F1460,#REF!,6,0)*K1460/1000)</f>
        <v>0</v>
      </c>
      <c r="Q1460" s="6">
        <f>IF(ISERROR(VLOOKUP(F1460,#REF!,3,0)),0,VLOOKUP(F1460,#REF!,3,0))</f>
        <v>0</v>
      </c>
      <c r="R1460" s="6">
        <f>IF(ISERROR(VLOOKUP(F1460,#REF!,4,0)),0,VLOOKUP(F1460,#REF!,4,0))</f>
        <v>0</v>
      </c>
      <c r="S1460" s="8">
        <f>IF(ISERROR(VLOOKUP(F1460,#REF!,4,0)),0,VLOOKUP(F1460,#REF!,10,0)/60*K1460)</f>
        <v>0</v>
      </c>
    </row>
    <row r="1461" spans="1:19" x14ac:dyDescent="0.3">
      <c r="A1461" s="5">
        <f t="shared" si="68"/>
        <v>0</v>
      </c>
      <c r="B1461" s="6">
        <f t="shared" si="69"/>
        <v>0</v>
      </c>
      <c r="K1461" s="18">
        <f t="shared" si="67"/>
        <v>0</v>
      </c>
      <c r="L1461" s="21">
        <f>IF(ISERROR(VLOOKUP($F1461,#REF!,6,0)*G1461/1000),0,VLOOKUP($F1461,#REF!,6,0)*G1461/1000)</f>
        <v>0</v>
      </c>
      <c r="M1461" s="21">
        <f>IF(ISERROR(VLOOKUP($F1461,#REF!,6,0)*H1461/1000),0,VLOOKUP($F1461,#REF!,6,0)*H1461/1000)</f>
        <v>0</v>
      </c>
      <c r="N1461" s="21">
        <f>IF(ISERROR(VLOOKUP($F1461,#REF!,6,0)*I1461/1000),0,VLOOKUP($F1461,#REF!,6,0)*I1461/1000)</f>
        <v>0</v>
      </c>
      <c r="O1461" s="21">
        <f>IF(ISERROR(VLOOKUP($F1461,#REF!,6,0)*J1461/1000),0,VLOOKUP($F1461,#REF!,6,0)*J1461/1000)</f>
        <v>0</v>
      </c>
      <c r="P1461" s="21">
        <f>IF(ISERROR(VLOOKUP(F1461,#REF!,6,0)*K1461/1000),0,VLOOKUP(F1461,#REF!,6,0)*K1461/1000)</f>
        <v>0</v>
      </c>
      <c r="Q1461" s="6">
        <f>IF(ISERROR(VLOOKUP(F1461,#REF!,3,0)),0,VLOOKUP(F1461,#REF!,3,0))</f>
        <v>0</v>
      </c>
      <c r="R1461" s="6">
        <f>IF(ISERROR(VLOOKUP(F1461,#REF!,4,0)),0,VLOOKUP(F1461,#REF!,4,0))</f>
        <v>0</v>
      </c>
      <c r="S1461" s="8">
        <f>IF(ISERROR(VLOOKUP(F1461,#REF!,4,0)),0,VLOOKUP(F1461,#REF!,10,0)/60*K1461)</f>
        <v>0</v>
      </c>
    </row>
    <row r="1462" spans="1:19" x14ac:dyDescent="0.3">
      <c r="A1462" s="5">
        <f t="shared" si="68"/>
        <v>0</v>
      </c>
      <c r="B1462" s="6">
        <f t="shared" si="69"/>
        <v>0</v>
      </c>
      <c r="K1462" s="18">
        <f t="shared" si="67"/>
        <v>0</v>
      </c>
      <c r="L1462" s="21">
        <f>IF(ISERROR(VLOOKUP($F1462,#REF!,6,0)*G1462/1000),0,VLOOKUP($F1462,#REF!,6,0)*G1462/1000)</f>
        <v>0</v>
      </c>
      <c r="M1462" s="21">
        <f>IF(ISERROR(VLOOKUP($F1462,#REF!,6,0)*H1462/1000),0,VLOOKUP($F1462,#REF!,6,0)*H1462/1000)</f>
        <v>0</v>
      </c>
      <c r="N1462" s="21">
        <f>IF(ISERROR(VLOOKUP($F1462,#REF!,6,0)*I1462/1000),0,VLOOKUP($F1462,#REF!,6,0)*I1462/1000)</f>
        <v>0</v>
      </c>
      <c r="O1462" s="21">
        <f>IF(ISERROR(VLOOKUP($F1462,#REF!,6,0)*J1462/1000),0,VLOOKUP($F1462,#REF!,6,0)*J1462/1000)</f>
        <v>0</v>
      </c>
      <c r="P1462" s="21">
        <f>IF(ISERROR(VLOOKUP(F1462,#REF!,6,0)*K1462/1000),0,VLOOKUP(F1462,#REF!,6,0)*K1462/1000)</f>
        <v>0</v>
      </c>
      <c r="Q1462" s="6">
        <f>IF(ISERROR(VLOOKUP(F1462,#REF!,3,0)),0,VLOOKUP(F1462,#REF!,3,0))</f>
        <v>0</v>
      </c>
      <c r="R1462" s="6">
        <f>IF(ISERROR(VLOOKUP(F1462,#REF!,4,0)),0,VLOOKUP(F1462,#REF!,4,0))</f>
        <v>0</v>
      </c>
      <c r="S1462" s="8">
        <f>IF(ISERROR(VLOOKUP(F1462,#REF!,4,0)),0,VLOOKUP(F1462,#REF!,10,0)/60*K1462)</f>
        <v>0</v>
      </c>
    </row>
    <row r="1463" spans="1:19" x14ac:dyDescent="0.3">
      <c r="A1463" s="5">
        <f t="shared" si="68"/>
        <v>0</v>
      </c>
      <c r="B1463" s="6">
        <f t="shared" si="69"/>
        <v>0</v>
      </c>
      <c r="K1463" s="18">
        <f t="shared" si="67"/>
        <v>0</v>
      </c>
      <c r="L1463" s="21">
        <f>IF(ISERROR(VLOOKUP($F1463,#REF!,6,0)*G1463/1000),0,VLOOKUP($F1463,#REF!,6,0)*G1463/1000)</f>
        <v>0</v>
      </c>
      <c r="M1463" s="21">
        <f>IF(ISERROR(VLOOKUP($F1463,#REF!,6,0)*H1463/1000),0,VLOOKUP($F1463,#REF!,6,0)*H1463/1000)</f>
        <v>0</v>
      </c>
      <c r="N1463" s="21">
        <f>IF(ISERROR(VLOOKUP($F1463,#REF!,6,0)*I1463/1000),0,VLOOKUP($F1463,#REF!,6,0)*I1463/1000)</f>
        <v>0</v>
      </c>
      <c r="O1463" s="21">
        <f>IF(ISERROR(VLOOKUP($F1463,#REF!,6,0)*J1463/1000),0,VLOOKUP($F1463,#REF!,6,0)*J1463/1000)</f>
        <v>0</v>
      </c>
      <c r="P1463" s="21">
        <f>IF(ISERROR(VLOOKUP(F1463,#REF!,6,0)*K1463/1000),0,VLOOKUP(F1463,#REF!,6,0)*K1463/1000)</f>
        <v>0</v>
      </c>
      <c r="Q1463" s="6">
        <f>IF(ISERROR(VLOOKUP(F1463,#REF!,3,0)),0,VLOOKUP(F1463,#REF!,3,0))</f>
        <v>0</v>
      </c>
      <c r="R1463" s="6">
        <f>IF(ISERROR(VLOOKUP(F1463,#REF!,4,0)),0,VLOOKUP(F1463,#REF!,4,0))</f>
        <v>0</v>
      </c>
      <c r="S1463" s="8">
        <f>IF(ISERROR(VLOOKUP(F1463,#REF!,4,0)),0,VLOOKUP(F1463,#REF!,10,0)/60*K1463)</f>
        <v>0</v>
      </c>
    </row>
    <row r="1464" spans="1:19" x14ac:dyDescent="0.3">
      <c r="A1464" s="5">
        <f t="shared" si="68"/>
        <v>0</v>
      </c>
      <c r="B1464" s="6">
        <f t="shared" si="69"/>
        <v>0</v>
      </c>
      <c r="K1464" s="18">
        <f t="shared" si="67"/>
        <v>0</v>
      </c>
      <c r="L1464" s="21">
        <f>IF(ISERROR(VLOOKUP($F1464,#REF!,6,0)*G1464/1000),0,VLOOKUP($F1464,#REF!,6,0)*G1464/1000)</f>
        <v>0</v>
      </c>
      <c r="M1464" s="21">
        <f>IF(ISERROR(VLOOKUP($F1464,#REF!,6,0)*H1464/1000),0,VLOOKUP($F1464,#REF!,6,0)*H1464/1000)</f>
        <v>0</v>
      </c>
      <c r="N1464" s="21">
        <f>IF(ISERROR(VLOOKUP($F1464,#REF!,6,0)*I1464/1000),0,VLOOKUP($F1464,#REF!,6,0)*I1464/1000)</f>
        <v>0</v>
      </c>
      <c r="O1464" s="21">
        <f>IF(ISERROR(VLOOKUP($F1464,#REF!,6,0)*J1464/1000),0,VLOOKUP($F1464,#REF!,6,0)*J1464/1000)</f>
        <v>0</v>
      </c>
      <c r="P1464" s="21">
        <f>IF(ISERROR(VLOOKUP(F1464,#REF!,6,0)*K1464/1000),0,VLOOKUP(F1464,#REF!,6,0)*K1464/1000)</f>
        <v>0</v>
      </c>
      <c r="Q1464" s="6">
        <f>IF(ISERROR(VLOOKUP(F1464,#REF!,3,0)),0,VLOOKUP(F1464,#REF!,3,0))</f>
        <v>0</v>
      </c>
      <c r="R1464" s="6">
        <f>IF(ISERROR(VLOOKUP(F1464,#REF!,4,0)),0,VLOOKUP(F1464,#REF!,4,0))</f>
        <v>0</v>
      </c>
      <c r="S1464" s="8">
        <f>IF(ISERROR(VLOOKUP(F1464,#REF!,4,0)),0,VLOOKUP(F1464,#REF!,10,0)/60*K1464)</f>
        <v>0</v>
      </c>
    </row>
    <row r="1465" spans="1:19" x14ac:dyDescent="0.3">
      <c r="A1465" s="5">
        <f t="shared" si="68"/>
        <v>0</v>
      </c>
      <c r="B1465" s="6">
        <f t="shared" si="69"/>
        <v>0</v>
      </c>
      <c r="K1465" s="18">
        <f t="shared" si="67"/>
        <v>0</v>
      </c>
      <c r="L1465" s="21">
        <f>IF(ISERROR(VLOOKUP($F1465,#REF!,6,0)*G1465/1000),0,VLOOKUP($F1465,#REF!,6,0)*G1465/1000)</f>
        <v>0</v>
      </c>
      <c r="M1465" s="21">
        <f>IF(ISERROR(VLOOKUP($F1465,#REF!,6,0)*H1465/1000),0,VLOOKUP($F1465,#REF!,6,0)*H1465/1000)</f>
        <v>0</v>
      </c>
      <c r="N1465" s="21">
        <f>IF(ISERROR(VLOOKUP($F1465,#REF!,6,0)*I1465/1000),0,VLOOKUP($F1465,#REF!,6,0)*I1465/1000)</f>
        <v>0</v>
      </c>
      <c r="O1465" s="21">
        <f>IF(ISERROR(VLOOKUP($F1465,#REF!,6,0)*J1465/1000),0,VLOOKUP($F1465,#REF!,6,0)*J1465/1000)</f>
        <v>0</v>
      </c>
      <c r="P1465" s="21">
        <f>IF(ISERROR(VLOOKUP(F1465,#REF!,6,0)*K1465/1000),0,VLOOKUP(F1465,#REF!,6,0)*K1465/1000)</f>
        <v>0</v>
      </c>
      <c r="Q1465" s="6">
        <f>IF(ISERROR(VLOOKUP(F1465,#REF!,3,0)),0,VLOOKUP(F1465,#REF!,3,0))</f>
        <v>0</v>
      </c>
      <c r="R1465" s="6">
        <f>IF(ISERROR(VLOOKUP(F1465,#REF!,4,0)),0,VLOOKUP(F1465,#REF!,4,0))</f>
        <v>0</v>
      </c>
      <c r="S1465" s="8">
        <f>IF(ISERROR(VLOOKUP(F1465,#REF!,4,0)),0,VLOOKUP(F1465,#REF!,10,0)/60*K1465)</f>
        <v>0</v>
      </c>
    </row>
    <row r="1466" spans="1:19" x14ac:dyDescent="0.3">
      <c r="A1466" s="5">
        <f t="shared" si="68"/>
        <v>0</v>
      </c>
      <c r="B1466" s="6">
        <f t="shared" si="69"/>
        <v>0</v>
      </c>
      <c r="K1466" s="18">
        <f t="shared" si="67"/>
        <v>0</v>
      </c>
      <c r="L1466" s="21">
        <f>IF(ISERROR(VLOOKUP($F1466,#REF!,6,0)*G1466/1000),0,VLOOKUP($F1466,#REF!,6,0)*G1466/1000)</f>
        <v>0</v>
      </c>
      <c r="M1466" s="21">
        <f>IF(ISERROR(VLOOKUP($F1466,#REF!,6,0)*H1466/1000),0,VLOOKUP($F1466,#REF!,6,0)*H1466/1000)</f>
        <v>0</v>
      </c>
      <c r="N1466" s="21">
        <f>IF(ISERROR(VLOOKUP($F1466,#REF!,6,0)*I1466/1000),0,VLOOKUP($F1466,#REF!,6,0)*I1466/1000)</f>
        <v>0</v>
      </c>
      <c r="O1466" s="21">
        <f>IF(ISERROR(VLOOKUP($F1466,#REF!,6,0)*J1466/1000),0,VLOOKUP($F1466,#REF!,6,0)*J1466/1000)</f>
        <v>0</v>
      </c>
      <c r="P1466" s="21">
        <f>IF(ISERROR(VLOOKUP(F1466,#REF!,6,0)*K1466/1000),0,VLOOKUP(F1466,#REF!,6,0)*K1466/1000)</f>
        <v>0</v>
      </c>
      <c r="Q1466" s="6">
        <f>IF(ISERROR(VLOOKUP(F1466,#REF!,3,0)),0,VLOOKUP(F1466,#REF!,3,0))</f>
        <v>0</v>
      </c>
      <c r="R1466" s="6">
        <f>IF(ISERROR(VLOOKUP(F1466,#REF!,4,0)),0,VLOOKUP(F1466,#REF!,4,0))</f>
        <v>0</v>
      </c>
      <c r="S1466" s="8">
        <f>IF(ISERROR(VLOOKUP(F1466,#REF!,4,0)),0,VLOOKUP(F1466,#REF!,10,0)/60*K1466)</f>
        <v>0</v>
      </c>
    </row>
    <row r="1467" spans="1:19" x14ac:dyDescent="0.3">
      <c r="A1467" s="5">
        <f t="shared" si="68"/>
        <v>0</v>
      </c>
      <c r="B1467" s="6">
        <f t="shared" si="69"/>
        <v>0</v>
      </c>
      <c r="K1467" s="18">
        <f t="shared" si="67"/>
        <v>0</v>
      </c>
      <c r="L1467" s="21">
        <f>IF(ISERROR(VLOOKUP($F1467,#REF!,6,0)*G1467/1000),0,VLOOKUP($F1467,#REF!,6,0)*G1467/1000)</f>
        <v>0</v>
      </c>
      <c r="M1467" s="21">
        <f>IF(ISERROR(VLOOKUP($F1467,#REF!,6,0)*H1467/1000),0,VLOOKUP($F1467,#REF!,6,0)*H1467/1000)</f>
        <v>0</v>
      </c>
      <c r="N1467" s="21">
        <f>IF(ISERROR(VLOOKUP($F1467,#REF!,6,0)*I1467/1000),0,VLOOKUP($F1467,#REF!,6,0)*I1467/1000)</f>
        <v>0</v>
      </c>
      <c r="O1467" s="21">
        <f>IF(ISERROR(VLOOKUP($F1467,#REF!,6,0)*J1467/1000),0,VLOOKUP($F1467,#REF!,6,0)*J1467/1000)</f>
        <v>0</v>
      </c>
      <c r="P1467" s="21">
        <f>IF(ISERROR(VLOOKUP(F1467,#REF!,6,0)*K1467/1000),0,VLOOKUP(F1467,#REF!,6,0)*K1467/1000)</f>
        <v>0</v>
      </c>
      <c r="Q1467" s="6">
        <f>IF(ISERROR(VLOOKUP(F1467,#REF!,3,0)),0,VLOOKUP(F1467,#REF!,3,0))</f>
        <v>0</v>
      </c>
      <c r="R1467" s="6">
        <f>IF(ISERROR(VLOOKUP(F1467,#REF!,4,0)),0,VLOOKUP(F1467,#REF!,4,0))</f>
        <v>0</v>
      </c>
      <c r="S1467" s="8">
        <f>IF(ISERROR(VLOOKUP(F1467,#REF!,4,0)),0,VLOOKUP(F1467,#REF!,10,0)/60*K1467)</f>
        <v>0</v>
      </c>
    </row>
    <row r="1468" spans="1:19" x14ac:dyDescent="0.3">
      <c r="A1468" s="5">
        <f t="shared" si="68"/>
        <v>0</v>
      </c>
      <c r="B1468" s="6">
        <f t="shared" si="69"/>
        <v>0</v>
      </c>
      <c r="K1468" s="18">
        <f t="shared" si="67"/>
        <v>0</v>
      </c>
      <c r="L1468" s="21">
        <f>IF(ISERROR(VLOOKUP($F1468,#REF!,6,0)*G1468/1000),0,VLOOKUP($F1468,#REF!,6,0)*G1468/1000)</f>
        <v>0</v>
      </c>
      <c r="M1468" s="21">
        <f>IF(ISERROR(VLOOKUP($F1468,#REF!,6,0)*H1468/1000),0,VLOOKUP($F1468,#REF!,6,0)*H1468/1000)</f>
        <v>0</v>
      </c>
      <c r="N1468" s="21">
        <f>IF(ISERROR(VLOOKUP($F1468,#REF!,6,0)*I1468/1000),0,VLOOKUP($F1468,#REF!,6,0)*I1468/1000)</f>
        <v>0</v>
      </c>
      <c r="O1468" s="21">
        <f>IF(ISERROR(VLOOKUP($F1468,#REF!,6,0)*J1468/1000),0,VLOOKUP($F1468,#REF!,6,0)*J1468/1000)</f>
        <v>0</v>
      </c>
      <c r="P1468" s="21">
        <f>IF(ISERROR(VLOOKUP(F1468,#REF!,6,0)*K1468/1000),0,VLOOKUP(F1468,#REF!,6,0)*K1468/1000)</f>
        <v>0</v>
      </c>
      <c r="Q1468" s="6">
        <f>IF(ISERROR(VLOOKUP(F1468,#REF!,3,0)),0,VLOOKUP(F1468,#REF!,3,0))</f>
        <v>0</v>
      </c>
      <c r="R1468" s="6">
        <f>IF(ISERROR(VLOOKUP(F1468,#REF!,4,0)),0,VLOOKUP(F1468,#REF!,4,0))</f>
        <v>0</v>
      </c>
      <c r="S1468" s="8">
        <f>IF(ISERROR(VLOOKUP(F1468,#REF!,4,0)),0,VLOOKUP(F1468,#REF!,10,0)/60*K1468)</f>
        <v>0</v>
      </c>
    </row>
    <row r="1469" spans="1:19" x14ac:dyDescent="0.3">
      <c r="A1469" s="5">
        <f t="shared" si="68"/>
        <v>0</v>
      </c>
      <c r="B1469" s="6">
        <f t="shared" si="69"/>
        <v>0</v>
      </c>
      <c r="K1469" s="18">
        <f t="shared" si="67"/>
        <v>0</v>
      </c>
      <c r="L1469" s="21">
        <f>IF(ISERROR(VLOOKUP($F1469,#REF!,6,0)*G1469/1000),0,VLOOKUP($F1469,#REF!,6,0)*G1469/1000)</f>
        <v>0</v>
      </c>
      <c r="M1469" s="21">
        <f>IF(ISERROR(VLOOKUP($F1469,#REF!,6,0)*H1469/1000),0,VLOOKUP($F1469,#REF!,6,0)*H1469/1000)</f>
        <v>0</v>
      </c>
      <c r="N1469" s="21">
        <f>IF(ISERROR(VLOOKUP($F1469,#REF!,6,0)*I1469/1000),0,VLOOKUP($F1469,#REF!,6,0)*I1469/1000)</f>
        <v>0</v>
      </c>
      <c r="O1469" s="21">
        <f>IF(ISERROR(VLOOKUP($F1469,#REF!,6,0)*J1469/1000),0,VLOOKUP($F1469,#REF!,6,0)*J1469/1000)</f>
        <v>0</v>
      </c>
      <c r="P1469" s="21">
        <f>IF(ISERROR(VLOOKUP(F1469,#REF!,6,0)*K1469/1000),0,VLOOKUP(F1469,#REF!,6,0)*K1469/1000)</f>
        <v>0</v>
      </c>
      <c r="Q1469" s="6">
        <f>IF(ISERROR(VLOOKUP(F1469,#REF!,3,0)),0,VLOOKUP(F1469,#REF!,3,0))</f>
        <v>0</v>
      </c>
      <c r="R1469" s="6">
        <f>IF(ISERROR(VLOOKUP(F1469,#REF!,4,0)),0,VLOOKUP(F1469,#REF!,4,0))</f>
        <v>0</v>
      </c>
      <c r="S1469" s="8">
        <f>IF(ISERROR(VLOOKUP(F1469,#REF!,4,0)),0,VLOOKUP(F1469,#REF!,10,0)/60*K1469)</f>
        <v>0</v>
      </c>
    </row>
    <row r="1470" spans="1:19" x14ac:dyDescent="0.3">
      <c r="A1470" s="5">
        <f t="shared" si="68"/>
        <v>0</v>
      </c>
      <c r="B1470" s="6">
        <f t="shared" si="69"/>
        <v>0</v>
      </c>
      <c r="K1470" s="18">
        <f t="shared" si="67"/>
        <v>0</v>
      </c>
      <c r="L1470" s="21">
        <f>IF(ISERROR(VLOOKUP($F1470,#REF!,6,0)*G1470/1000),0,VLOOKUP($F1470,#REF!,6,0)*G1470/1000)</f>
        <v>0</v>
      </c>
      <c r="M1470" s="21">
        <f>IF(ISERROR(VLOOKUP($F1470,#REF!,6,0)*H1470/1000),0,VLOOKUP($F1470,#REF!,6,0)*H1470/1000)</f>
        <v>0</v>
      </c>
      <c r="N1470" s="21">
        <f>IF(ISERROR(VLOOKUP($F1470,#REF!,6,0)*I1470/1000),0,VLOOKUP($F1470,#REF!,6,0)*I1470/1000)</f>
        <v>0</v>
      </c>
      <c r="O1470" s="21">
        <f>IF(ISERROR(VLOOKUP($F1470,#REF!,6,0)*J1470/1000),0,VLOOKUP($F1470,#REF!,6,0)*J1470/1000)</f>
        <v>0</v>
      </c>
      <c r="P1470" s="21">
        <f>IF(ISERROR(VLOOKUP(F1470,#REF!,6,0)*K1470/1000),0,VLOOKUP(F1470,#REF!,6,0)*K1470/1000)</f>
        <v>0</v>
      </c>
      <c r="Q1470" s="6">
        <f>IF(ISERROR(VLOOKUP(F1470,#REF!,3,0)),0,VLOOKUP(F1470,#REF!,3,0))</f>
        <v>0</v>
      </c>
      <c r="R1470" s="6">
        <f>IF(ISERROR(VLOOKUP(F1470,#REF!,4,0)),0,VLOOKUP(F1470,#REF!,4,0))</f>
        <v>0</v>
      </c>
      <c r="S1470" s="8">
        <f>IF(ISERROR(VLOOKUP(F1470,#REF!,4,0)),0,VLOOKUP(F1470,#REF!,10,0)/60*K1470)</f>
        <v>0</v>
      </c>
    </row>
    <row r="1471" spans="1:19" x14ac:dyDescent="0.3">
      <c r="A1471" s="5">
        <f t="shared" si="68"/>
        <v>0</v>
      </c>
      <c r="B1471" s="6">
        <f t="shared" si="69"/>
        <v>0</v>
      </c>
      <c r="K1471" s="18">
        <f t="shared" si="67"/>
        <v>0</v>
      </c>
      <c r="L1471" s="21">
        <f>IF(ISERROR(VLOOKUP($F1471,#REF!,6,0)*G1471/1000),0,VLOOKUP($F1471,#REF!,6,0)*G1471/1000)</f>
        <v>0</v>
      </c>
      <c r="M1471" s="21">
        <f>IF(ISERROR(VLOOKUP($F1471,#REF!,6,0)*H1471/1000),0,VLOOKUP($F1471,#REF!,6,0)*H1471/1000)</f>
        <v>0</v>
      </c>
      <c r="N1471" s="21">
        <f>IF(ISERROR(VLOOKUP($F1471,#REF!,6,0)*I1471/1000),0,VLOOKUP($F1471,#REF!,6,0)*I1471/1000)</f>
        <v>0</v>
      </c>
      <c r="O1471" s="21">
        <f>IF(ISERROR(VLOOKUP($F1471,#REF!,6,0)*J1471/1000),0,VLOOKUP($F1471,#REF!,6,0)*J1471/1000)</f>
        <v>0</v>
      </c>
      <c r="P1471" s="21">
        <f>IF(ISERROR(VLOOKUP(F1471,#REF!,6,0)*K1471/1000),0,VLOOKUP(F1471,#REF!,6,0)*K1471/1000)</f>
        <v>0</v>
      </c>
      <c r="Q1471" s="6">
        <f>IF(ISERROR(VLOOKUP(F1471,#REF!,3,0)),0,VLOOKUP(F1471,#REF!,3,0))</f>
        <v>0</v>
      </c>
      <c r="R1471" s="6">
        <f>IF(ISERROR(VLOOKUP(F1471,#REF!,4,0)),0,VLOOKUP(F1471,#REF!,4,0))</f>
        <v>0</v>
      </c>
      <c r="S1471" s="8">
        <f>IF(ISERROR(VLOOKUP(F1471,#REF!,4,0)),0,VLOOKUP(F1471,#REF!,10,0)/60*K1471)</f>
        <v>0</v>
      </c>
    </row>
  </sheetData>
  <sheetProtection password="C629" sheet="1" objects="1" scenarios="1" autoFilter="0" pivotTables="0"/>
  <autoFilter ref="A3:AK1427" xr:uid="{00000000-0009-0000-0000-000001000000}"/>
  <mergeCells count="3">
    <mergeCell ref="A1:S1"/>
    <mergeCell ref="A2:F2"/>
    <mergeCell ref="G2:K2"/>
  </mergeCells>
  <conditionalFormatting sqref="A4:S1048576">
    <cfRule type="cellIs" dxfId="4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4"/>
  <dimension ref="A1:AH718"/>
  <sheetViews>
    <sheetView showGridLines="0" topLeftCell="B1" zoomScale="85" zoomScaleNormal="85" workbookViewId="0">
      <pane ySplit="3" topLeftCell="A31" activePane="bottomLeft" state="frozen"/>
      <selection pane="bottomLeft" activeCell="D68" sqref="D68"/>
    </sheetView>
  </sheetViews>
  <sheetFormatPr defaultColWidth="9.140625" defaultRowHeight="15" x14ac:dyDescent="0.25"/>
  <cols>
    <col min="1" max="2" width="16.85546875" style="56" customWidth="1"/>
    <col min="3" max="3" width="19.7109375" style="56" customWidth="1"/>
    <col min="4" max="4" width="16.85546875" style="56" customWidth="1"/>
    <col min="5" max="11" width="12.5703125" style="1" customWidth="1"/>
    <col min="12" max="12" width="9.5703125" style="1" customWidth="1"/>
    <col min="13" max="13" width="3.28515625" style="1" customWidth="1"/>
    <col min="14" max="14" width="12.140625" style="1" customWidth="1"/>
    <col min="15" max="19" width="9.5703125" style="1" customWidth="1"/>
    <col min="20" max="20" width="13" style="94" customWidth="1"/>
    <col min="21" max="21" width="15.85546875" style="95" customWidth="1"/>
    <col min="22" max="22" width="1.7109375" customWidth="1"/>
    <col min="23" max="34" width="9.140625" customWidth="1"/>
  </cols>
  <sheetData>
    <row r="1" spans="1:34" ht="20.25" customHeight="1" thickBot="1" x14ac:dyDescent="0.3">
      <c r="E1" s="214" t="s">
        <v>53</v>
      </c>
      <c r="F1" s="214"/>
      <c r="G1" s="214"/>
      <c r="H1" s="214"/>
      <c r="I1" s="214"/>
      <c r="J1" s="214"/>
      <c r="K1" s="214"/>
      <c r="L1" s="57"/>
      <c r="N1" s="140" t="s">
        <v>65</v>
      </c>
      <c r="O1" s="140"/>
      <c r="P1" s="140"/>
      <c r="Q1" s="140"/>
      <c r="R1" s="140"/>
      <c r="S1" s="140"/>
      <c r="T1" s="141"/>
      <c r="U1" s="142"/>
      <c r="AB1" s="213"/>
      <c r="AC1" s="213"/>
    </row>
    <row r="2" spans="1:34" s="55" customFormat="1" ht="51" customHeight="1" thickBot="1" x14ac:dyDescent="0.3">
      <c r="A2" s="208" t="s">
        <v>34</v>
      </c>
      <c r="B2" s="67" t="s">
        <v>35</v>
      </c>
      <c r="C2" s="67" t="s">
        <v>36</v>
      </c>
      <c r="D2" s="206" t="s">
        <v>27</v>
      </c>
      <c r="E2" s="210" t="s">
        <v>56</v>
      </c>
      <c r="F2" s="210"/>
      <c r="G2" s="211"/>
      <c r="H2" s="68"/>
      <c r="I2" s="212" t="s">
        <v>57</v>
      </c>
      <c r="J2" s="210"/>
      <c r="K2" s="211"/>
      <c r="L2" s="215" t="s">
        <v>21</v>
      </c>
      <c r="M2" s="54"/>
      <c r="N2" s="137" t="s">
        <v>62</v>
      </c>
      <c r="O2" s="138"/>
      <c r="P2" s="139"/>
      <c r="Q2" s="137" t="s">
        <v>63</v>
      </c>
      <c r="R2" s="138"/>
      <c r="S2" s="139"/>
      <c r="T2" s="217" t="s">
        <v>21</v>
      </c>
      <c r="U2" s="219" t="s">
        <v>64</v>
      </c>
      <c r="AE2" s="55">
        <v>1</v>
      </c>
      <c r="AF2" s="55" t="s">
        <v>43</v>
      </c>
      <c r="AG2" s="55">
        <v>1</v>
      </c>
      <c r="AH2" s="55" t="s">
        <v>5</v>
      </c>
    </row>
    <row r="3" spans="1:34" s="55" customFormat="1" ht="15.75" thickBot="1" x14ac:dyDescent="0.3">
      <c r="A3" s="209"/>
      <c r="B3" s="69"/>
      <c r="C3" s="69"/>
      <c r="D3" s="207"/>
      <c r="E3" s="82" t="s">
        <v>59</v>
      </c>
      <c r="F3" s="83" t="s">
        <v>60</v>
      </c>
      <c r="G3" s="84" t="s">
        <v>61</v>
      </c>
      <c r="H3" s="70"/>
      <c r="I3" s="82" t="s">
        <v>59</v>
      </c>
      <c r="J3" s="83" t="s">
        <v>60</v>
      </c>
      <c r="K3" s="84" t="s">
        <v>61</v>
      </c>
      <c r="L3" s="216"/>
      <c r="M3" s="54"/>
      <c r="N3" s="82" t="s">
        <v>59</v>
      </c>
      <c r="O3" s="83" t="s">
        <v>60</v>
      </c>
      <c r="P3" s="84" t="s">
        <v>61</v>
      </c>
      <c r="Q3" s="82" t="s">
        <v>59</v>
      </c>
      <c r="R3" s="83" t="s">
        <v>60</v>
      </c>
      <c r="S3" s="84" t="s">
        <v>61</v>
      </c>
      <c r="T3" s="218"/>
      <c r="U3" s="220"/>
      <c r="AE3" s="55">
        <v>2</v>
      </c>
      <c r="AF3" s="55" t="s">
        <v>42</v>
      </c>
      <c r="AG3" s="55">
        <v>2</v>
      </c>
      <c r="AH3" s="55" t="s">
        <v>6</v>
      </c>
    </row>
    <row r="4" spans="1:34" s="55" customFormat="1" ht="15.75" thickBot="1" x14ac:dyDescent="0.3">
      <c r="A4" s="100"/>
      <c r="B4" s="69"/>
      <c r="C4" s="69"/>
      <c r="D4" s="85"/>
      <c r="E4" s="101"/>
      <c r="F4" s="102"/>
      <c r="G4" s="103"/>
      <c r="H4" s="70"/>
      <c r="I4" s="104"/>
      <c r="J4" s="105"/>
      <c r="K4" s="106"/>
      <c r="L4" s="107"/>
      <c r="M4" s="54"/>
      <c r="N4" s="104"/>
      <c r="O4" s="105"/>
      <c r="P4" s="106"/>
      <c r="Q4" s="104"/>
      <c r="R4" s="105"/>
      <c r="S4" s="106"/>
      <c r="T4" s="108"/>
      <c r="U4" s="109"/>
    </row>
    <row r="5" spans="1:34" x14ac:dyDescent="0.25">
      <c r="A5" s="71">
        <f>YEAR(D5)</f>
        <v>2022</v>
      </c>
      <c r="B5" s="72"/>
      <c r="C5" s="73" t="str">
        <f t="shared" ref="C5:C68" si="0">VLOOKUP(WEEKDAY(D5),$AE$2:$AF$9,2,0)</f>
        <v>QUARTA</v>
      </c>
      <c r="D5" s="74">
        <v>44853</v>
      </c>
      <c r="E5" s="86">
        <f>IF(WEEKDAY($D5)&lt;2,0,IF(WEEKDAY($D5)&gt;6,0,7))</f>
        <v>7</v>
      </c>
      <c r="F5" s="87">
        <f>IF(WEEKDAY($D5)&lt;2,0,IF(WEEKDAY($D5)&gt;7,0,7))</f>
        <v>7</v>
      </c>
      <c r="G5" s="88"/>
      <c r="H5" s="76">
        <f>SUM(E5:G5)</f>
        <v>14</v>
      </c>
      <c r="I5" s="89">
        <f>IF(WEEKDAY($D5)&lt;2,0,IF(WEEKDAY($D5)&gt;6,0,8))</f>
        <v>8</v>
      </c>
      <c r="J5" s="90">
        <f>IF(WEEKDAY($D5)&lt;2,0,IF(WEEKDAY($D5)&gt;7,0,8))</f>
        <v>8</v>
      </c>
      <c r="K5" s="91">
        <f>IF(WEEKDAY($D5)&lt;2,0,IF(WEEKDAY($D5)&gt;6,0,8))</f>
        <v>8</v>
      </c>
      <c r="L5" s="76">
        <f>SUM(I5:K5)</f>
        <v>24</v>
      </c>
      <c r="N5" s="79">
        <f>E5*7.48</f>
        <v>52.36</v>
      </c>
      <c r="O5" s="80">
        <f>F5*6</f>
        <v>42</v>
      </c>
      <c r="P5" s="81">
        <f>G5*8.5</f>
        <v>0</v>
      </c>
      <c r="Q5" s="79">
        <f>I5*7.48</f>
        <v>59.84</v>
      </c>
      <c r="R5" s="80">
        <f>J5*6</f>
        <v>48</v>
      </c>
      <c r="S5" s="81">
        <f>K5*8.5</f>
        <v>68</v>
      </c>
      <c r="T5" s="92">
        <f>SUM(N5:S5)</f>
        <v>270.2</v>
      </c>
      <c r="U5" s="93">
        <f>T5*0.8</f>
        <v>216.16</v>
      </c>
      <c r="AE5" s="55">
        <v>3</v>
      </c>
      <c r="AF5" s="55" t="s">
        <v>37</v>
      </c>
      <c r="AG5" s="55">
        <v>3</v>
      </c>
      <c r="AH5" s="55" t="s">
        <v>7</v>
      </c>
    </row>
    <row r="6" spans="1:34" x14ac:dyDescent="0.25">
      <c r="A6" s="71">
        <f t="shared" ref="A6:A69" si="1">YEAR(D6)</f>
        <v>2022</v>
      </c>
      <c r="B6" s="72"/>
      <c r="C6" s="73" t="str">
        <f t="shared" si="0"/>
        <v>QUINTA</v>
      </c>
      <c r="D6" s="74">
        <v>44854</v>
      </c>
      <c r="E6" s="89">
        <f t="shared" ref="E6:E69" si="2">IF(WEEKDAY($D6)&lt;2,0,IF(WEEKDAY($D6)&gt;6,0,7))</f>
        <v>7</v>
      </c>
      <c r="F6" s="90">
        <f t="shared" ref="F6:F69" si="3">IF(WEEKDAY($D6)&lt;2,0,IF(WEEKDAY($D6)&gt;7,0,7))</f>
        <v>7</v>
      </c>
      <c r="G6" s="91"/>
      <c r="H6" s="76">
        <f t="shared" ref="H6:H69" si="4">SUM(E6:G6)</f>
        <v>14</v>
      </c>
      <c r="I6" s="89">
        <f>IF(WEEKDAY($D6)&lt;2,0,IF(WEEKDAY($D6)&gt;6,0,8))</f>
        <v>8</v>
      </c>
      <c r="J6" s="90">
        <f>IF(WEEKDAY($D6)&lt;2,0,IF(WEEKDAY($D6)&gt;7,0,8))</f>
        <v>8</v>
      </c>
      <c r="K6" s="91">
        <f>IF(WEEKDAY($D6)&lt;2,0,IF(WEEKDAY($D6)&gt;6,0,8))</f>
        <v>8</v>
      </c>
      <c r="L6" s="76">
        <f>SUM(I6:K6)</f>
        <v>24</v>
      </c>
      <c r="N6" s="79">
        <f>E6*7.48</f>
        <v>52.36</v>
      </c>
      <c r="O6" s="80">
        <f>F6*6</f>
        <v>42</v>
      </c>
      <c r="P6" s="81">
        <f>G6*8.5</f>
        <v>0</v>
      </c>
      <c r="Q6" s="79">
        <f>I6*7.48</f>
        <v>59.84</v>
      </c>
      <c r="R6" s="80">
        <f>J6*6</f>
        <v>48</v>
      </c>
      <c r="S6" s="81">
        <f>K6*8.5</f>
        <v>68</v>
      </c>
      <c r="T6" s="92">
        <f>SUM(N6:S6)</f>
        <v>270.2</v>
      </c>
      <c r="U6" s="93">
        <f>T6*0.8</f>
        <v>216.16</v>
      </c>
      <c r="AE6" s="55">
        <v>4</v>
      </c>
      <c r="AF6" t="s">
        <v>38</v>
      </c>
      <c r="AG6" s="55">
        <v>4</v>
      </c>
      <c r="AH6" s="55" t="s">
        <v>8</v>
      </c>
    </row>
    <row r="7" spans="1:34" x14ac:dyDescent="0.25">
      <c r="A7" s="71">
        <f t="shared" si="1"/>
        <v>2022</v>
      </c>
      <c r="B7" s="72"/>
      <c r="C7" s="73" t="str">
        <f t="shared" si="0"/>
        <v>SEXTA</v>
      </c>
      <c r="D7" s="74">
        <v>44855</v>
      </c>
      <c r="E7" s="89">
        <f t="shared" si="2"/>
        <v>7</v>
      </c>
      <c r="F7" s="90">
        <f t="shared" si="3"/>
        <v>7</v>
      </c>
      <c r="G7" s="91"/>
      <c r="H7" s="76">
        <f t="shared" si="4"/>
        <v>14</v>
      </c>
      <c r="I7" s="89">
        <f t="shared" ref="I7:I70" si="5">IF(WEEKDAY($D7)&lt;2,0,IF(WEEKDAY($D7)&gt;6,0,8))</f>
        <v>8</v>
      </c>
      <c r="J7" s="90">
        <f t="shared" ref="J7:J70" si="6">IF(WEEKDAY($D7)&lt;2,0,IF(WEEKDAY($D7)&gt;7,0,8))</f>
        <v>8</v>
      </c>
      <c r="K7" s="91">
        <f t="shared" ref="K7:K70" si="7">IF(WEEKDAY($D7)&lt;2,0,IF(WEEKDAY($D7)&gt;6,0,8))</f>
        <v>8</v>
      </c>
      <c r="L7" s="76">
        <f t="shared" ref="L7:L70" si="8">SUM(I7:K7)</f>
        <v>24</v>
      </c>
      <c r="N7" s="79">
        <f t="shared" ref="N7:N27" si="9">E7*7.48</f>
        <v>52.36</v>
      </c>
      <c r="O7" s="80">
        <f t="shared" ref="O7:O27" si="10">F7*6</f>
        <v>42</v>
      </c>
      <c r="P7" s="81">
        <f t="shared" ref="P7:P27" si="11">G7*8.5</f>
        <v>0</v>
      </c>
      <c r="Q7" s="79">
        <f t="shared" ref="Q7:Q27" si="12">I7*7.48</f>
        <v>59.84</v>
      </c>
      <c r="R7" s="80">
        <f t="shared" ref="R7:R27" si="13">J7*6</f>
        <v>48</v>
      </c>
      <c r="S7" s="81">
        <f t="shared" ref="S7:S27" si="14">K7*8.5</f>
        <v>68</v>
      </c>
      <c r="T7" s="92">
        <f t="shared" ref="T7:T12" si="15">SUM(N7:S7)</f>
        <v>270.2</v>
      </c>
      <c r="U7" s="93">
        <f t="shared" ref="U7:U70" si="16">T7*0.8</f>
        <v>216.16</v>
      </c>
      <c r="AE7" s="55">
        <v>5</v>
      </c>
      <c r="AF7" t="s">
        <v>39</v>
      </c>
      <c r="AG7" s="55">
        <v>5</v>
      </c>
      <c r="AH7" s="55" t="s">
        <v>9</v>
      </c>
    </row>
    <row r="8" spans="1:34" x14ac:dyDescent="0.25">
      <c r="A8" s="71">
        <f t="shared" si="1"/>
        <v>2022</v>
      </c>
      <c r="B8" s="72"/>
      <c r="C8" s="73" t="str">
        <f t="shared" si="0"/>
        <v>SÁBADO</v>
      </c>
      <c r="D8" s="74">
        <v>44856</v>
      </c>
      <c r="E8" s="89">
        <f t="shared" si="2"/>
        <v>0</v>
      </c>
      <c r="F8" s="90">
        <f t="shared" si="3"/>
        <v>7</v>
      </c>
      <c r="G8" s="91"/>
      <c r="H8" s="76">
        <f t="shared" si="4"/>
        <v>7</v>
      </c>
      <c r="I8" s="89">
        <f t="shared" si="5"/>
        <v>0</v>
      </c>
      <c r="J8" s="90">
        <f t="shared" si="6"/>
        <v>8</v>
      </c>
      <c r="K8" s="91">
        <f t="shared" si="7"/>
        <v>0</v>
      </c>
      <c r="L8" s="76">
        <f t="shared" si="8"/>
        <v>8</v>
      </c>
      <c r="N8" s="79">
        <f t="shared" si="9"/>
        <v>0</v>
      </c>
      <c r="O8" s="80">
        <f t="shared" si="10"/>
        <v>42</v>
      </c>
      <c r="P8" s="81">
        <f t="shared" si="11"/>
        <v>0</v>
      </c>
      <c r="Q8" s="79">
        <f t="shared" si="12"/>
        <v>0</v>
      </c>
      <c r="R8" s="80">
        <f t="shared" si="13"/>
        <v>48</v>
      </c>
      <c r="S8" s="81">
        <f t="shared" si="14"/>
        <v>0</v>
      </c>
      <c r="T8" s="92">
        <f t="shared" si="15"/>
        <v>90</v>
      </c>
      <c r="U8" s="93">
        <f t="shared" si="16"/>
        <v>72</v>
      </c>
      <c r="AE8" s="55">
        <v>6</v>
      </c>
      <c r="AF8" t="s">
        <v>40</v>
      </c>
      <c r="AG8" s="55">
        <v>6</v>
      </c>
      <c r="AH8" s="55" t="s">
        <v>10</v>
      </c>
    </row>
    <row r="9" spans="1:34" x14ac:dyDescent="0.25">
      <c r="A9" s="71">
        <f t="shared" si="1"/>
        <v>2022</v>
      </c>
      <c r="B9" s="72"/>
      <c r="C9" s="73" t="str">
        <f t="shared" si="0"/>
        <v>DOMINGO</v>
      </c>
      <c r="D9" s="74">
        <v>44857</v>
      </c>
      <c r="E9" s="89">
        <f t="shared" si="2"/>
        <v>0</v>
      </c>
      <c r="F9" s="90">
        <f t="shared" si="3"/>
        <v>0</v>
      </c>
      <c r="G9" s="91"/>
      <c r="H9" s="76">
        <f t="shared" si="4"/>
        <v>0</v>
      </c>
      <c r="I9" s="89">
        <f t="shared" si="5"/>
        <v>0</v>
      </c>
      <c r="J9" s="90">
        <f t="shared" si="6"/>
        <v>0</v>
      </c>
      <c r="K9" s="91">
        <f t="shared" si="7"/>
        <v>0</v>
      </c>
      <c r="L9" s="76">
        <f t="shared" si="8"/>
        <v>0</v>
      </c>
      <c r="N9" s="79">
        <f t="shared" si="9"/>
        <v>0</v>
      </c>
      <c r="O9" s="80">
        <f t="shared" si="10"/>
        <v>0</v>
      </c>
      <c r="P9" s="81">
        <f t="shared" si="11"/>
        <v>0</v>
      </c>
      <c r="Q9" s="79">
        <f t="shared" si="12"/>
        <v>0</v>
      </c>
      <c r="R9" s="80">
        <f t="shared" si="13"/>
        <v>0</v>
      </c>
      <c r="S9" s="81">
        <f t="shared" si="14"/>
        <v>0</v>
      </c>
      <c r="T9" s="92">
        <f t="shared" si="15"/>
        <v>0</v>
      </c>
      <c r="U9" s="93">
        <f t="shared" si="16"/>
        <v>0</v>
      </c>
      <c r="AE9" s="55">
        <v>7</v>
      </c>
      <c r="AF9" t="s">
        <v>41</v>
      </c>
      <c r="AG9" s="55">
        <v>7</v>
      </c>
      <c r="AH9" s="55" t="s">
        <v>11</v>
      </c>
    </row>
    <row r="10" spans="1:34" x14ac:dyDescent="0.25">
      <c r="A10" s="71">
        <f t="shared" si="1"/>
        <v>2022</v>
      </c>
      <c r="B10" s="72"/>
      <c r="C10" s="73" t="str">
        <f t="shared" si="0"/>
        <v>SEGUNDA</v>
      </c>
      <c r="D10" s="74">
        <v>44858</v>
      </c>
      <c r="E10" s="89">
        <f t="shared" si="2"/>
        <v>7</v>
      </c>
      <c r="F10" s="90">
        <f t="shared" si="3"/>
        <v>7</v>
      </c>
      <c r="G10" s="91"/>
      <c r="H10" s="76">
        <f t="shared" si="4"/>
        <v>14</v>
      </c>
      <c r="I10" s="89">
        <f t="shared" si="5"/>
        <v>8</v>
      </c>
      <c r="J10" s="90">
        <f t="shared" si="6"/>
        <v>8</v>
      </c>
      <c r="K10" s="91">
        <f t="shared" si="7"/>
        <v>8</v>
      </c>
      <c r="L10" s="76">
        <f t="shared" si="8"/>
        <v>24</v>
      </c>
      <c r="N10" s="79">
        <f t="shared" si="9"/>
        <v>52.36</v>
      </c>
      <c r="O10" s="80">
        <f t="shared" si="10"/>
        <v>42</v>
      </c>
      <c r="P10" s="81">
        <f t="shared" si="11"/>
        <v>0</v>
      </c>
      <c r="Q10" s="79">
        <f t="shared" si="12"/>
        <v>59.84</v>
      </c>
      <c r="R10" s="80">
        <f t="shared" si="13"/>
        <v>48</v>
      </c>
      <c r="S10" s="81">
        <f t="shared" si="14"/>
        <v>68</v>
      </c>
      <c r="T10" s="92">
        <f t="shared" si="15"/>
        <v>270.2</v>
      </c>
      <c r="U10" s="93">
        <f t="shared" si="16"/>
        <v>216.16</v>
      </c>
      <c r="AG10" s="55">
        <v>8</v>
      </c>
      <c r="AH10" s="55" t="s">
        <v>12</v>
      </c>
    </row>
    <row r="11" spans="1:34" x14ac:dyDescent="0.25">
      <c r="A11" s="71">
        <f t="shared" si="1"/>
        <v>2022</v>
      </c>
      <c r="B11" s="72"/>
      <c r="C11" s="73" t="str">
        <f t="shared" si="0"/>
        <v>TERÇA</v>
      </c>
      <c r="D11" s="74">
        <v>44859</v>
      </c>
      <c r="E11" s="89">
        <f t="shared" si="2"/>
        <v>7</v>
      </c>
      <c r="F11" s="90">
        <f t="shared" si="3"/>
        <v>7</v>
      </c>
      <c r="G11" s="91"/>
      <c r="H11" s="76">
        <f t="shared" si="4"/>
        <v>14</v>
      </c>
      <c r="I11" s="89">
        <f t="shared" si="5"/>
        <v>8</v>
      </c>
      <c r="J11" s="90">
        <f t="shared" si="6"/>
        <v>8</v>
      </c>
      <c r="K11" s="91">
        <f t="shared" si="7"/>
        <v>8</v>
      </c>
      <c r="L11" s="76">
        <f t="shared" si="8"/>
        <v>24</v>
      </c>
      <c r="N11" s="79">
        <f t="shared" si="9"/>
        <v>52.36</v>
      </c>
      <c r="O11" s="80">
        <f t="shared" si="10"/>
        <v>42</v>
      </c>
      <c r="P11" s="81">
        <f t="shared" si="11"/>
        <v>0</v>
      </c>
      <c r="Q11" s="79">
        <f>I11*7.48</f>
        <v>59.84</v>
      </c>
      <c r="R11" s="80">
        <f t="shared" si="13"/>
        <v>48</v>
      </c>
      <c r="S11" s="81">
        <f t="shared" si="14"/>
        <v>68</v>
      </c>
      <c r="T11" s="92">
        <f t="shared" si="15"/>
        <v>270.2</v>
      </c>
      <c r="U11" s="93">
        <f t="shared" si="16"/>
        <v>216.16</v>
      </c>
      <c r="AG11" s="55">
        <v>9</v>
      </c>
      <c r="AH11" s="55" t="s">
        <v>13</v>
      </c>
    </row>
    <row r="12" spans="1:34" x14ac:dyDescent="0.25">
      <c r="A12" s="71">
        <f t="shared" si="1"/>
        <v>2022</v>
      </c>
      <c r="B12" s="72"/>
      <c r="C12" s="73" t="str">
        <f t="shared" si="0"/>
        <v>QUARTA</v>
      </c>
      <c r="D12" s="74">
        <v>44860</v>
      </c>
      <c r="E12" s="89">
        <f t="shared" si="2"/>
        <v>7</v>
      </c>
      <c r="F12" s="90">
        <f t="shared" si="3"/>
        <v>7</v>
      </c>
      <c r="G12" s="91"/>
      <c r="H12" s="76">
        <f t="shared" si="4"/>
        <v>14</v>
      </c>
      <c r="I12" s="89">
        <f t="shared" si="5"/>
        <v>8</v>
      </c>
      <c r="J12" s="90">
        <f t="shared" si="6"/>
        <v>8</v>
      </c>
      <c r="K12" s="91">
        <f t="shared" si="7"/>
        <v>8</v>
      </c>
      <c r="L12" s="76">
        <f t="shared" si="8"/>
        <v>24</v>
      </c>
      <c r="N12" s="79">
        <f t="shared" si="9"/>
        <v>52.36</v>
      </c>
      <c r="O12" s="80">
        <f t="shared" si="10"/>
        <v>42</v>
      </c>
      <c r="P12" s="81">
        <f t="shared" si="11"/>
        <v>0</v>
      </c>
      <c r="Q12" s="79">
        <f t="shared" si="12"/>
        <v>59.84</v>
      </c>
      <c r="R12" s="80">
        <f t="shared" si="13"/>
        <v>48</v>
      </c>
      <c r="S12" s="81">
        <f t="shared" si="14"/>
        <v>68</v>
      </c>
      <c r="T12" s="92">
        <f t="shared" si="15"/>
        <v>270.2</v>
      </c>
      <c r="U12" s="93">
        <f t="shared" si="16"/>
        <v>216.16</v>
      </c>
      <c r="AG12" s="55">
        <v>10</v>
      </c>
      <c r="AH12" s="55" t="s">
        <v>14</v>
      </c>
    </row>
    <row r="13" spans="1:34" x14ac:dyDescent="0.25">
      <c r="A13" s="71">
        <f t="shared" si="1"/>
        <v>2022</v>
      </c>
      <c r="B13" s="72"/>
      <c r="C13" s="73" t="str">
        <f t="shared" si="0"/>
        <v>QUINTA</v>
      </c>
      <c r="D13" s="74">
        <v>44861</v>
      </c>
      <c r="E13" s="89">
        <f t="shared" si="2"/>
        <v>7</v>
      </c>
      <c r="F13" s="90">
        <f t="shared" si="3"/>
        <v>7</v>
      </c>
      <c r="G13" s="91"/>
      <c r="H13" s="76">
        <f t="shared" si="4"/>
        <v>14</v>
      </c>
      <c r="I13" s="89">
        <f t="shared" si="5"/>
        <v>8</v>
      </c>
      <c r="J13" s="90">
        <f t="shared" si="6"/>
        <v>8</v>
      </c>
      <c r="K13" s="91">
        <f t="shared" si="7"/>
        <v>8</v>
      </c>
      <c r="L13" s="76">
        <f t="shared" si="8"/>
        <v>24</v>
      </c>
      <c r="N13" s="79">
        <f t="shared" si="9"/>
        <v>52.36</v>
      </c>
      <c r="O13" s="80">
        <f t="shared" si="10"/>
        <v>42</v>
      </c>
      <c r="P13" s="81">
        <f t="shared" si="11"/>
        <v>0</v>
      </c>
      <c r="Q13" s="79">
        <f t="shared" si="12"/>
        <v>59.84</v>
      </c>
      <c r="R13" s="80">
        <f t="shared" si="13"/>
        <v>48</v>
      </c>
      <c r="S13" s="81">
        <f t="shared" si="14"/>
        <v>68</v>
      </c>
      <c r="T13" s="92">
        <f>SUM(N13:S13)</f>
        <v>270.2</v>
      </c>
      <c r="U13" s="93">
        <f t="shared" si="16"/>
        <v>216.16</v>
      </c>
      <c r="AG13" s="55">
        <v>11</v>
      </c>
      <c r="AH13" s="55" t="s">
        <v>15</v>
      </c>
    </row>
    <row r="14" spans="1:34" x14ac:dyDescent="0.25">
      <c r="A14" s="71">
        <f t="shared" si="1"/>
        <v>2022</v>
      </c>
      <c r="B14" s="72"/>
      <c r="C14" s="73" t="str">
        <f t="shared" si="0"/>
        <v>SEXTA</v>
      </c>
      <c r="D14" s="74">
        <v>44862</v>
      </c>
      <c r="E14" s="89">
        <f t="shared" si="2"/>
        <v>7</v>
      </c>
      <c r="F14" s="90">
        <f t="shared" si="3"/>
        <v>7</v>
      </c>
      <c r="G14" s="91"/>
      <c r="H14" s="76">
        <f t="shared" si="4"/>
        <v>14</v>
      </c>
      <c r="I14" s="89">
        <f t="shared" si="5"/>
        <v>8</v>
      </c>
      <c r="J14" s="90">
        <f t="shared" si="6"/>
        <v>8</v>
      </c>
      <c r="K14" s="91">
        <f t="shared" si="7"/>
        <v>8</v>
      </c>
      <c r="L14" s="76">
        <f t="shared" si="8"/>
        <v>24</v>
      </c>
      <c r="N14" s="79">
        <f t="shared" si="9"/>
        <v>52.36</v>
      </c>
      <c r="O14" s="80">
        <f t="shared" si="10"/>
        <v>42</v>
      </c>
      <c r="P14" s="81">
        <f t="shared" si="11"/>
        <v>0</v>
      </c>
      <c r="Q14" s="79">
        <f t="shared" si="12"/>
        <v>59.84</v>
      </c>
      <c r="R14" s="80">
        <f t="shared" si="13"/>
        <v>48</v>
      </c>
      <c r="S14" s="81">
        <f t="shared" si="14"/>
        <v>68</v>
      </c>
      <c r="T14" s="92">
        <f t="shared" ref="T14:T27" si="17">SUM(N14:S14)</f>
        <v>270.2</v>
      </c>
      <c r="U14" s="93">
        <f t="shared" si="16"/>
        <v>216.16</v>
      </c>
      <c r="AG14" s="55">
        <v>12</v>
      </c>
      <c r="AH14" s="55" t="s">
        <v>16</v>
      </c>
    </row>
    <row r="15" spans="1:34" x14ac:dyDescent="0.25">
      <c r="A15" s="71">
        <f t="shared" si="1"/>
        <v>2022</v>
      </c>
      <c r="B15" s="72"/>
      <c r="C15" s="73" t="str">
        <f t="shared" si="0"/>
        <v>SÁBADO</v>
      </c>
      <c r="D15" s="74">
        <v>44863</v>
      </c>
      <c r="E15" s="89">
        <f t="shared" si="2"/>
        <v>0</v>
      </c>
      <c r="F15" s="90">
        <f t="shared" si="3"/>
        <v>7</v>
      </c>
      <c r="G15" s="91"/>
      <c r="H15" s="76">
        <f t="shared" si="4"/>
        <v>7</v>
      </c>
      <c r="I15" s="89">
        <f t="shared" si="5"/>
        <v>0</v>
      </c>
      <c r="J15" s="90">
        <f t="shared" si="6"/>
        <v>8</v>
      </c>
      <c r="K15" s="91">
        <f t="shared" si="7"/>
        <v>0</v>
      </c>
      <c r="L15" s="76">
        <f t="shared" si="8"/>
        <v>8</v>
      </c>
      <c r="N15" s="79">
        <f t="shared" si="9"/>
        <v>0</v>
      </c>
      <c r="O15" s="80">
        <f t="shared" si="10"/>
        <v>42</v>
      </c>
      <c r="P15" s="81">
        <f t="shared" si="11"/>
        <v>0</v>
      </c>
      <c r="Q15" s="79">
        <f t="shared" si="12"/>
        <v>0</v>
      </c>
      <c r="R15" s="80">
        <f t="shared" si="13"/>
        <v>48</v>
      </c>
      <c r="S15" s="81">
        <f t="shared" si="14"/>
        <v>0</v>
      </c>
      <c r="T15" s="92">
        <f t="shared" si="17"/>
        <v>90</v>
      </c>
      <c r="U15" s="93">
        <f t="shared" si="16"/>
        <v>72</v>
      </c>
    </row>
    <row r="16" spans="1:34" x14ac:dyDescent="0.25">
      <c r="A16" s="71">
        <f t="shared" si="1"/>
        <v>2022</v>
      </c>
      <c r="B16" s="72"/>
      <c r="C16" s="73" t="str">
        <f t="shared" si="0"/>
        <v>DOMINGO</v>
      </c>
      <c r="D16" s="74">
        <v>44864</v>
      </c>
      <c r="E16" s="89">
        <f t="shared" si="2"/>
        <v>0</v>
      </c>
      <c r="F16" s="90">
        <f t="shared" si="3"/>
        <v>0</v>
      </c>
      <c r="G16" s="91"/>
      <c r="H16" s="76">
        <f t="shared" si="4"/>
        <v>0</v>
      </c>
      <c r="I16" s="89">
        <f t="shared" si="5"/>
        <v>0</v>
      </c>
      <c r="J16" s="90">
        <f t="shared" si="6"/>
        <v>0</v>
      </c>
      <c r="K16" s="91">
        <f t="shared" si="7"/>
        <v>0</v>
      </c>
      <c r="L16" s="76">
        <f t="shared" si="8"/>
        <v>0</v>
      </c>
      <c r="N16" s="79">
        <f t="shared" si="9"/>
        <v>0</v>
      </c>
      <c r="O16" s="80">
        <f t="shared" si="10"/>
        <v>0</v>
      </c>
      <c r="P16" s="81">
        <f t="shared" si="11"/>
        <v>0</v>
      </c>
      <c r="Q16" s="79">
        <f t="shared" si="12"/>
        <v>0</v>
      </c>
      <c r="R16" s="80">
        <f t="shared" si="13"/>
        <v>0</v>
      </c>
      <c r="S16" s="81">
        <f t="shared" si="14"/>
        <v>0</v>
      </c>
      <c r="T16" s="92">
        <f t="shared" si="17"/>
        <v>0</v>
      </c>
      <c r="U16" s="93">
        <f t="shared" si="16"/>
        <v>0</v>
      </c>
    </row>
    <row r="17" spans="1:21" x14ac:dyDescent="0.25">
      <c r="A17" s="71">
        <f t="shared" si="1"/>
        <v>2022</v>
      </c>
      <c r="B17" s="72"/>
      <c r="C17" s="73" t="str">
        <f t="shared" si="0"/>
        <v>SEGUNDA</v>
      </c>
      <c r="D17" s="74">
        <v>44865</v>
      </c>
      <c r="E17" s="89">
        <f t="shared" si="2"/>
        <v>7</v>
      </c>
      <c r="F17" s="90">
        <f t="shared" si="3"/>
        <v>7</v>
      </c>
      <c r="G17" s="91"/>
      <c r="H17" s="76">
        <f t="shared" si="4"/>
        <v>14</v>
      </c>
      <c r="I17" s="89">
        <f t="shared" si="5"/>
        <v>8</v>
      </c>
      <c r="J17" s="90">
        <f t="shared" si="6"/>
        <v>8</v>
      </c>
      <c r="K17" s="91">
        <f t="shared" si="7"/>
        <v>8</v>
      </c>
      <c r="L17" s="76">
        <f t="shared" si="8"/>
        <v>24</v>
      </c>
      <c r="N17" s="79">
        <f t="shared" si="9"/>
        <v>52.36</v>
      </c>
      <c r="O17" s="80">
        <f t="shared" si="10"/>
        <v>42</v>
      </c>
      <c r="P17" s="81">
        <f t="shared" si="11"/>
        <v>0</v>
      </c>
      <c r="Q17" s="79">
        <f t="shared" si="12"/>
        <v>59.84</v>
      </c>
      <c r="R17" s="80">
        <f t="shared" si="13"/>
        <v>48</v>
      </c>
      <c r="S17" s="81">
        <f t="shared" si="14"/>
        <v>68</v>
      </c>
      <c r="T17" s="92">
        <f t="shared" si="17"/>
        <v>270.2</v>
      </c>
      <c r="U17" s="93">
        <f t="shared" si="16"/>
        <v>216.16</v>
      </c>
    </row>
    <row r="18" spans="1:21" x14ac:dyDescent="0.25">
      <c r="A18" s="71">
        <f t="shared" si="1"/>
        <v>2022</v>
      </c>
      <c r="B18" s="72"/>
      <c r="C18" s="73" t="str">
        <f t="shared" si="0"/>
        <v>TERÇA</v>
      </c>
      <c r="D18" s="74">
        <v>44866</v>
      </c>
      <c r="E18" s="89">
        <f t="shared" si="2"/>
        <v>7</v>
      </c>
      <c r="F18" s="90">
        <f t="shared" si="3"/>
        <v>7</v>
      </c>
      <c r="G18" s="91"/>
      <c r="H18" s="76">
        <f t="shared" si="4"/>
        <v>14</v>
      </c>
      <c r="I18" s="89">
        <f t="shared" si="5"/>
        <v>8</v>
      </c>
      <c r="J18" s="90">
        <f t="shared" si="6"/>
        <v>8</v>
      </c>
      <c r="K18" s="91">
        <f t="shared" si="7"/>
        <v>8</v>
      </c>
      <c r="L18" s="76">
        <f t="shared" si="8"/>
        <v>24</v>
      </c>
      <c r="N18" s="79">
        <f t="shared" si="9"/>
        <v>52.36</v>
      </c>
      <c r="O18" s="80">
        <f t="shared" si="10"/>
        <v>42</v>
      </c>
      <c r="P18" s="81">
        <f t="shared" si="11"/>
        <v>0</v>
      </c>
      <c r="Q18" s="79">
        <f t="shared" si="12"/>
        <v>59.84</v>
      </c>
      <c r="R18" s="80">
        <f t="shared" si="13"/>
        <v>48</v>
      </c>
      <c r="S18" s="81">
        <f t="shared" si="14"/>
        <v>68</v>
      </c>
      <c r="T18" s="92">
        <f t="shared" si="17"/>
        <v>270.2</v>
      </c>
      <c r="U18" s="93">
        <f t="shared" si="16"/>
        <v>216.16</v>
      </c>
    </row>
    <row r="19" spans="1:21" x14ac:dyDescent="0.25">
      <c r="A19" s="71">
        <f t="shared" si="1"/>
        <v>2022</v>
      </c>
      <c r="B19" s="72"/>
      <c r="C19" s="73" t="str">
        <f t="shared" si="0"/>
        <v>QUARTA</v>
      </c>
      <c r="D19" s="74">
        <v>44867</v>
      </c>
      <c r="E19" s="89">
        <f t="shared" si="2"/>
        <v>7</v>
      </c>
      <c r="F19" s="90">
        <f t="shared" si="3"/>
        <v>7</v>
      </c>
      <c r="G19" s="91"/>
      <c r="H19" s="76">
        <f t="shared" si="4"/>
        <v>14</v>
      </c>
      <c r="I19" s="89">
        <f t="shared" si="5"/>
        <v>8</v>
      </c>
      <c r="J19" s="90">
        <f t="shared" si="6"/>
        <v>8</v>
      </c>
      <c r="K19" s="91">
        <f t="shared" si="7"/>
        <v>8</v>
      </c>
      <c r="L19" s="76">
        <f t="shared" si="8"/>
        <v>24</v>
      </c>
      <c r="N19" s="79">
        <f t="shared" si="9"/>
        <v>52.36</v>
      </c>
      <c r="O19" s="80">
        <f t="shared" si="10"/>
        <v>42</v>
      </c>
      <c r="P19" s="81">
        <f t="shared" si="11"/>
        <v>0</v>
      </c>
      <c r="Q19" s="79">
        <f t="shared" si="12"/>
        <v>59.84</v>
      </c>
      <c r="R19" s="80">
        <f t="shared" si="13"/>
        <v>48</v>
      </c>
      <c r="S19" s="81">
        <f t="shared" si="14"/>
        <v>68</v>
      </c>
      <c r="T19" s="92">
        <f t="shared" si="17"/>
        <v>270.2</v>
      </c>
      <c r="U19" s="93">
        <f t="shared" si="16"/>
        <v>216.16</v>
      </c>
    </row>
    <row r="20" spans="1:21" x14ac:dyDescent="0.25">
      <c r="A20" s="71">
        <f t="shared" si="1"/>
        <v>2022</v>
      </c>
      <c r="B20" s="72"/>
      <c r="C20" s="73" t="str">
        <f t="shared" si="0"/>
        <v>QUINTA</v>
      </c>
      <c r="D20" s="74">
        <v>44868</v>
      </c>
      <c r="E20" s="89">
        <f t="shared" si="2"/>
        <v>7</v>
      </c>
      <c r="F20" s="90">
        <f t="shared" si="3"/>
        <v>7</v>
      </c>
      <c r="G20" s="91"/>
      <c r="H20" s="76">
        <f t="shared" si="4"/>
        <v>14</v>
      </c>
      <c r="I20" s="89">
        <f t="shared" si="5"/>
        <v>8</v>
      </c>
      <c r="J20" s="90">
        <f t="shared" si="6"/>
        <v>8</v>
      </c>
      <c r="K20" s="91">
        <f t="shared" si="7"/>
        <v>8</v>
      </c>
      <c r="L20" s="76">
        <f t="shared" si="8"/>
        <v>24</v>
      </c>
      <c r="N20" s="79">
        <f t="shared" si="9"/>
        <v>52.36</v>
      </c>
      <c r="O20" s="80">
        <f t="shared" si="10"/>
        <v>42</v>
      </c>
      <c r="P20" s="81">
        <f t="shared" si="11"/>
        <v>0</v>
      </c>
      <c r="Q20" s="79">
        <f t="shared" si="12"/>
        <v>59.84</v>
      </c>
      <c r="R20" s="80">
        <f t="shared" si="13"/>
        <v>48</v>
      </c>
      <c r="S20" s="81">
        <f t="shared" si="14"/>
        <v>68</v>
      </c>
      <c r="T20" s="92">
        <f t="shared" si="17"/>
        <v>270.2</v>
      </c>
      <c r="U20" s="93">
        <f t="shared" si="16"/>
        <v>216.16</v>
      </c>
    </row>
    <row r="21" spans="1:21" x14ac:dyDescent="0.25">
      <c r="A21" s="71">
        <f t="shared" si="1"/>
        <v>2022</v>
      </c>
      <c r="B21" s="72"/>
      <c r="C21" s="73" t="str">
        <f t="shared" si="0"/>
        <v>SEXTA</v>
      </c>
      <c r="D21" s="74">
        <v>44869</v>
      </c>
      <c r="E21" s="89">
        <f t="shared" si="2"/>
        <v>7</v>
      </c>
      <c r="F21" s="90">
        <f t="shared" si="3"/>
        <v>7</v>
      </c>
      <c r="G21" s="91"/>
      <c r="H21" s="76">
        <f t="shared" si="4"/>
        <v>14</v>
      </c>
      <c r="I21" s="89">
        <f t="shared" si="5"/>
        <v>8</v>
      </c>
      <c r="J21" s="90">
        <f t="shared" si="6"/>
        <v>8</v>
      </c>
      <c r="K21" s="91">
        <f t="shared" si="7"/>
        <v>8</v>
      </c>
      <c r="L21" s="76">
        <f t="shared" si="8"/>
        <v>24</v>
      </c>
      <c r="N21" s="79">
        <f t="shared" si="9"/>
        <v>52.36</v>
      </c>
      <c r="O21" s="80">
        <f t="shared" si="10"/>
        <v>42</v>
      </c>
      <c r="P21" s="81">
        <f t="shared" si="11"/>
        <v>0</v>
      </c>
      <c r="Q21" s="79">
        <f t="shared" si="12"/>
        <v>59.84</v>
      </c>
      <c r="R21" s="80">
        <f t="shared" si="13"/>
        <v>48</v>
      </c>
      <c r="S21" s="81">
        <f t="shared" si="14"/>
        <v>68</v>
      </c>
      <c r="T21" s="92">
        <f t="shared" si="17"/>
        <v>270.2</v>
      </c>
      <c r="U21" s="93">
        <f t="shared" si="16"/>
        <v>216.16</v>
      </c>
    </row>
    <row r="22" spans="1:21" x14ac:dyDescent="0.25">
      <c r="A22" s="71">
        <f t="shared" si="1"/>
        <v>2022</v>
      </c>
      <c r="B22" s="72"/>
      <c r="C22" s="73" t="str">
        <f t="shared" si="0"/>
        <v>SÁBADO</v>
      </c>
      <c r="D22" s="74">
        <v>44870</v>
      </c>
      <c r="E22" s="89">
        <f t="shared" si="2"/>
        <v>0</v>
      </c>
      <c r="F22" s="90">
        <f t="shared" si="3"/>
        <v>7</v>
      </c>
      <c r="G22" s="91"/>
      <c r="H22" s="76">
        <f t="shared" si="4"/>
        <v>7</v>
      </c>
      <c r="I22" s="89">
        <f t="shared" si="5"/>
        <v>0</v>
      </c>
      <c r="J22" s="90">
        <f t="shared" si="6"/>
        <v>8</v>
      </c>
      <c r="K22" s="91">
        <f t="shared" si="7"/>
        <v>0</v>
      </c>
      <c r="L22" s="76">
        <f t="shared" si="8"/>
        <v>8</v>
      </c>
      <c r="N22" s="79">
        <f t="shared" si="9"/>
        <v>0</v>
      </c>
      <c r="O22" s="80">
        <f t="shared" si="10"/>
        <v>42</v>
      </c>
      <c r="P22" s="81">
        <f t="shared" si="11"/>
        <v>0</v>
      </c>
      <c r="Q22" s="79">
        <f t="shared" si="12"/>
        <v>0</v>
      </c>
      <c r="R22" s="80">
        <f t="shared" si="13"/>
        <v>48</v>
      </c>
      <c r="S22" s="81">
        <f t="shared" si="14"/>
        <v>0</v>
      </c>
      <c r="T22" s="92">
        <f t="shared" si="17"/>
        <v>90</v>
      </c>
      <c r="U22" s="93">
        <f t="shared" si="16"/>
        <v>72</v>
      </c>
    </row>
    <row r="23" spans="1:21" x14ac:dyDescent="0.25">
      <c r="A23" s="71">
        <f t="shared" si="1"/>
        <v>2022</v>
      </c>
      <c r="B23" s="72"/>
      <c r="C23" s="73" t="str">
        <f t="shared" si="0"/>
        <v>DOMINGO</v>
      </c>
      <c r="D23" s="74">
        <v>44871</v>
      </c>
      <c r="E23" s="89">
        <f t="shared" si="2"/>
        <v>0</v>
      </c>
      <c r="F23" s="90">
        <f t="shared" si="3"/>
        <v>0</v>
      </c>
      <c r="G23" s="91"/>
      <c r="H23" s="76">
        <f t="shared" si="4"/>
        <v>0</v>
      </c>
      <c r="I23" s="89">
        <f t="shared" si="5"/>
        <v>0</v>
      </c>
      <c r="J23" s="90">
        <f t="shared" si="6"/>
        <v>0</v>
      </c>
      <c r="K23" s="91">
        <f t="shared" si="7"/>
        <v>0</v>
      </c>
      <c r="L23" s="76">
        <f t="shared" si="8"/>
        <v>0</v>
      </c>
      <c r="N23" s="79">
        <f t="shared" si="9"/>
        <v>0</v>
      </c>
      <c r="O23" s="80">
        <f t="shared" si="10"/>
        <v>0</v>
      </c>
      <c r="P23" s="81">
        <f t="shared" si="11"/>
        <v>0</v>
      </c>
      <c r="Q23" s="79">
        <f t="shared" si="12"/>
        <v>0</v>
      </c>
      <c r="R23" s="80">
        <f t="shared" si="13"/>
        <v>0</v>
      </c>
      <c r="S23" s="81">
        <f t="shared" si="14"/>
        <v>0</v>
      </c>
      <c r="T23" s="92">
        <f t="shared" si="17"/>
        <v>0</v>
      </c>
      <c r="U23" s="93">
        <f t="shared" si="16"/>
        <v>0</v>
      </c>
    </row>
    <row r="24" spans="1:21" x14ac:dyDescent="0.25">
      <c r="A24" s="71">
        <f t="shared" si="1"/>
        <v>2022</v>
      </c>
      <c r="B24" s="72"/>
      <c r="C24" s="73" t="str">
        <f t="shared" si="0"/>
        <v>SEGUNDA</v>
      </c>
      <c r="D24" s="74">
        <v>44872</v>
      </c>
      <c r="E24" s="89">
        <f t="shared" si="2"/>
        <v>7</v>
      </c>
      <c r="F24" s="90">
        <f t="shared" si="3"/>
        <v>7</v>
      </c>
      <c r="G24" s="91"/>
      <c r="H24" s="76">
        <f t="shared" si="4"/>
        <v>14</v>
      </c>
      <c r="I24" s="89">
        <f t="shared" si="5"/>
        <v>8</v>
      </c>
      <c r="J24" s="90">
        <f t="shared" si="6"/>
        <v>8</v>
      </c>
      <c r="K24" s="91">
        <f t="shared" si="7"/>
        <v>8</v>
      </c>
      <c r="L24" s="76">
        <f t="shared" si="8"/>
        <v>24</v>
      </c>
      <c r="N24" s="79">
        <f t="shared" si="9"/>
        <v>52.36</v>
      </c>
      <c r="O24" s="80">
        <f t="shared" si="10"/>
        <v>42</v>
      </c>
      <c r="P24" s="81">
        <f t="shared" si="11"/>
        <v>0</v>
      </c>
      <c r="Q24" s="79">
        <f t="shared" si="12"/>
        <v>59.84</v>
      </c>
      <c r="R24" s="80">
        <f t="shared" si="13"/>
        <v>48</v>
      </c>
      <c r="S24" s="81">
        <f t="shared" si="14"/>
        <v>68</v>
      </c>
      <c r="T24" s="92">
        <f t="shared" si="17"/>
        <v>270.2</v>
      </c>
      <c r="U24" s="93">
        <f t="shared" si="16"/>
        <v>216.16</v>
      </c>
    </row>
    <row r="25" spans="1:21" x14ac:dyDescent="0.25">
      <c r="A25" s="71">
        <f t="shared" si="1"/>
        <v>2022</v>
      </c>
      <c r="B25" s="72"/>
      <c r="C25" s="73" t="str">
        <f t="shared" si="0"/>
        <v>TERÇA</v>
      </c>
      <c r="D25" s="74">
        <v>44873</v>
      </c>
      <c r="E25" s="89">
        <f t="shared" si="2"/>
        <v>7</v>
      </c>
      <c r="F25" s="90">
        <f t="shared" si="3"/>
        <v>7</v>
      </c>
      <c r="G25" s="91"/>
      <c r="H25" s="76">
        <f t="shared" si="4"/>
        <v>14</v>
      </c>
      <c r="I25" s="89">
        <f t="shared" si="5"/>
        <v>8</v>
      </c>
      <c r="J25" s="90">
        <f t="shared" si="6"/>
        <v>8</v>
      </c>
      <c r="K25" s="91">
        <f t="shared" si="7"/>
        <v>8</v>
      </c>
      <c r="L25" s="76">
        <f t="shared" si="8"/>
        <v>24</v>
      </c>
      <c r="N25" s="79">
        <f t="shared" si="9"/>
        <v>52.36</v>
      </c>
      <c r="O25" s="80">
        <f t="shared" si="10"/>
        <v>42</v>
      </c>
      <c r="P25" s="81">
        <f t="shared" si="11"/>
        <v>0</v>
      </c>
      <c r="Q25" s="79">
        <f t="shared" si="12"/>
        <v>59.84</v>
      </c>
      <c r="R25" s="80">
        <f t="shared" si="13"/>
        <v>48</v>
      </c>
      <c r="S25" s="81">
        <f t="shared" si="14"/>
        <v>68</v>
      </c>
      <c r="T25" s="92">
        <f t="shared" si="17"/>
        <v>270.2</v>
      </c>
      <c r="U25" s="93">
        <f t="shared" si="16"/>
        <v>216.16</v>
      </c>
    </row>
    <row r="26" spans="1:21" x14ac:dyDescent="0.25">
      <c r="A26" s="71">
        <f t="shared" si="1"/>
        <v>2022</v>
      </c>
      <c r="B26" s="72"/>
      <c r="C26" s="73" t="str">
        <f t="shared" si="0"/>
        <v>QUARTA</v>
      </c>
      <c r="D26" s="74">
        <v>44874</v>
      </c>
      <c r="E26" s="89">
        <f t="shared" si="2"/>
        <v>7</v>
      </c>
      <c r="F26" s="90">
        <f t="shared" si="3"/>
        <v>7</v>
      </c>
      <c r="G26" s="91"/>
      <c r="H26" s="76">
        <f t="shared" si="4"/>
        <v>14</v>
      </c>
      <c r="I26" s="89">
        <f t="shared" si="5"/>
        <v>8</v>
      </c>
      <c r="J26" s="90">
        <f t="shared" si="6"/>
        <v>8</v>
      </c>
      <c r="K26" s="91">
        <f t="shared" si="7"/>
        <v>8</v>
      </c>
      <c r="L26" s="76">
        <f t="shared" si="8"/>
        <v>24</v>
      </c>
      <c r="N26" s="79">
        <f t="shared" si="9"/>
        <v>52.36</v>
      </c>
      <c r="O26" s="80">
        <f t="shared" si="10"/>
        <v>42</v>
      </c>
      <c r="P26" s="81">
        <f t="shared" si="11"/>
        <v>0</v>
      </c>
      <c r="Q26" s="79">
        <f t="shared" si="12"/>
        <v>59.84</v>
      </c>
      <c r="R26" s="80">
        <f t="shared" si="13"/>
        <v>48</v>
      </c>
      <c r="S26" s="81">
        <f t="shared" si="14"/>
        <v>68</v>
      </c>
      <c r="T26" s="92">
        <f t="shared" si="17"/>
        <v>270.2</v>
      </c>
      <c r="U26" s="93">
        <f t="shared" si="16"/>
        <v>216.16</v>
      </c>
    </row>
    <row r="27" spans="1:21" x14ac:dyDescent="0.25">
      <c r="A27" s="71">
        <f t="shared" si="1"/>
        <v>2022</v>
      </c>
      <c r="B27" s="72"/>
      <c r="C27" s="73" t="str">
        <f t="shared" si="0"/>
        <v>QUINTA</v>
      </c>
      <c r="D27" s="74">
        <v>44875</v>
      </c>
      <c r="E27" s="89">
        <f t="shared" si="2"/>
        <v>7</v>
      </c>
      <c r="F27" s="90">
        <f t="shared" si="3"/>
        <v>7</v>
      </c>
      <c r="G27" s="91"/>
      <c r="H27" s="76">
        <f t="shared" si="4"/>
        <v>14</v>
      </c>
      <c r="I27" s="89">
        <f t="shared" si="5"/>
        <v>8</v>
      </c>
      <c r="J27" s="90">
        <f t="shared" si="6"/>
        <v>8</v>
      </c>
      <c r="K27" s="91">
        <f t="shared" si="7"/>
        <v>8</v>
      </c>
      <c r="L27" s="76">
        <f t="shared" si="8"/>
        <v>24</v>
      </c>
      <c r="N27" s="79">
        <f t="shared" si="9"/>
        <v>52.36</v>
      </c>
      <c r="O27" s="80">
        <f t="shared" si="10"/>
        <v>42</v>
      </c>
      <c r="P27" s="81">
        <f t="shared" si="11"/>
        <v>0</v>
      </c>
      <c r="Q27" s="79">
        <f t="shared" si="12"/>
        <v>59.84</v>
      </c>
      <c r="R27" s="80">
        <f t="shared" si="13"/>
        <v>48</v>
      </c>
      <c r="S27" s="81">
        <f t="shared" si="14"/>
        <v>68</v>
      </c>
      <c r="T27" s="92">
        <f t="shared" si="17"/>
        <v>270.2</v>
      </c>
      <c r="U27" s="93">
        <f t="shared" si="16"/>
        <v>216.16</v>
      </c>
    </row>
    <row r="28" spans="1:21" x14ac:dyDescent="0.25">
      <c r="A28" s="71">
        <f t="shared" si="1"/>
        <v>2022</v>
      </c>
      <c r="B28" s="72"/>
      <c r="C28" s="73" t="str">
        <f t="shared" si="0"/>
        <v>SEXTA</v>
      </c>
      <c r="D28" s="74">
        <v>44876</v>
      </c>
      <c r="E28" s="89">
        <f t="shared" si="2"/>
        <v>7</v>
      </c>
      <c r="F28" s="90">
        <f t="shared" si="3"/>
        <v>7</v>
      </c>
      <c r="G28" s="91"/>
      <c r="H28" s="76">
        <f t="shared" si="4"/>
        <v>14</v>
      </c>
      <c r="I28" s="89">
        <f t="shared" si="5"/>
        <v>8</v>
      </c>
      <c r="J28" s="90">
        <f t="shared" si="6"/>
        <v>8</v>
      </c>
      <c r="K28" s="91">
        <f t="shared" si="7"/>
        <v>8</v>
      </c>
      <c r="L28" s="76">
        <f t="shared" si="8"/>
        <v>24</v>
      </c>
      <c r="N28" s="79">
        <f t="shared" ref="N28:N91" si="18">E28*7.48</f>
        <v>52.36</v>
      </c>
      <c r="O28" s="80">
        <f t="shared" ref="O28:O91" si="19">F28*6</f>
        <v>42</v>
      </c>
      <c r="P28" s="81">
        <f t="shared" ref="P28:P91" si="20">G28*8.5</f>
        <v>0</v>
      </c>
      <c r="Q28" s="79">
        <f t="shared" ref="Q28:Q91" si="21">I28*7.48</f>
        <v>59.84</v>
      </c>
      <c r="R28" s="80">
        <f t="shared" ref="R28:R91" si="22">J28*6</f>
        <v>48</v>
      </c>
      <c r="S28" s="81">
        <f t="shared" ref="S28:S91" si="23">K28*8.5</f>
        <v>68</v>
      </c>
      <c r="T28" s="92">
        <f t="shared" ref="T28:T91" si="24">SUM(N28:S28)</f>
        <v>270.2</v>
      </c>
      <c r="U28" s="93">
        <f t="shared" si="16"/>
        <v>216.16</v>
      </c>
    </row>
    <row r="29" spans="1:21" x14ac:dyDescent="0.25">
      <c r="A29" s="71">
        <f t="shared" si="1"/>
        <v>2022</v>
      </c>
      <c r="B29" s="72"/>
      <c r="C29" s="73" t="str">
        <f t="shared" si="0"/>
        <v>SÁBADO</v>
      </c>
      <c r="D29" s="74">
        <v>44877</v>
      </c>
      <c r="E29" s="89">
        <f t="shared" si="2"/>
        <v>0</v>
      </c>
      <c r="F29" s="90">
        <f t="shared" si="3"/>
        <v>7</v>
      </c>
      <c r="G29" s="91"/>
      <c r="H29" s="76">
        <f t="shared" si="4"/>
        <v>7</v>
      </c>
      <c r="I29" s="89">
        <f t="shared" si="5"/>
        <v>0</v>
      </c>
      <c r="J29" s="90">
        <f t="shared" si="6"/>
        <v>8</v>
      </c>
      <c r="K29" s="91">
        <f t="shared" si="7"/>
        <v>0</v>
      </c>
      <c r="L29" s="76">
        <f t="shared" si="8"/>
        <v>8</v>
      </c>
      <c r="N29" s="79">
        <f t="shared" si="18"/>
        <v>0</v>
      </c>
      <c r="O29" s="80">
        <f t="shared" si="19"/>
        <v>42</v>
      </c>
      <c r="P29" s="81">
        <f t="shared" si="20"/>
        <v>0</v>
      </c>
      <c r="Q29" s="79">
        <f t="shared" si="21"/>
        <v>0</v>
      </c>
      <c r="R29" s="80">
        <f t="shared" si="22"/>
        <v>48</v>
      </c>
      <c r="S29" s="81">
        <f t="shared" si="23"/>
        <v>0</v>
      </c>
      <c r="T29" s="92">
        <f t="shared" si="24"/>
        <v>90</v>
      </c>
      <c r="U29" s="93">
        <f t="shared" si="16"/>
        <v>72</v>
      </c>
    </row>
    <row r="30" spans="1:21" x14ac:dyDescent="0.25">
      <c r="A30" s="71">
        <f t="shared" si="1"/>
        <v>2022</v>
      </c>
      <c r="B30" s="72"/>
      <c r="C30" s="73" t="str">
        <f t="shared" si="0"/>
        <v>DOMINGO</v>
      </c>
      <c r="D30" s="74">
        <v>44878</v>
      </c>
      <c r="E30" s="89">
        <f t="shared" si="2"/>
        <v>0</v>
      </c>
      <c r="F30" s="90">
        <f t="shared" si="3"/>
        <v>0</v>
      </c>
      <c r="G30" s="91"/>
      <c r="H30" s="76">
        <f t="shared" si="4"/>
        <v>0</v>
      </c>
      <c r="I30" s="89">
        <f t="shared" si="5"/>
        <v>0</v>
      </c>
      <c r="J30" s="90">
        <f t="shared" si="6"/>
        <v>0</v>
      </c>
      <c r="K30" s="91">
        <f t="shared" si="7"/>
        <v>0</v>
      </c>
      <c r="L30" s="76">
        <f t="shared" si="8"/>
        <v>0</v>
      </c>
      <c r="N30" s="79">
        <f t="shared" si="18"/>
        <v>0</v>
      </c>
      <c r="O30" s="80">
        <f t="shared" si="19"/>
        <v>0</v>
      </c>
      <c r="P30" s="81">
        <f t="shared" si="20"/>
        <v>0</v>
      </c>
      <c r="Q30" s="79">
        <f t="shared" si="21"/>
        <v>0</v>
      </c>
      <c r="R30" s="80">
        <f t="shared" si="22"/>
        <v>0</v>
      </c>
      <c r="S30" s="81">
        <f t="shared" si="23"/>
        <v>0</v>
      </c>
      <c r="T30" s="92">
        <f t="shared" si="24"/>
        <v>0</v>
      </c>
      <c r="U30" s="93">
        <f t="shared" si="16"/>
        <v>0</v>
      </c>
    </row>
    <row r="31" spans="1:21" x14ac:dyDescent="0.25">
      <c r="A31" s="71">
        <f t="shared" si="1"/>
        <v>2022</v>
      </c>
      <c r="B31" s="72"/>
      <c r="C31" s="73" t="str">
        <f t="shared" si="0"/>
        <v>SEGUNDA</v>
      </c>
      <c r="D31" s="74">
        <v>44879</v>
      </c>
      <c r="E31" s="89">
        <f t="shared" si="2"/>
        <v>7</v>
      </c>
      <c r="F31" s="90">
        <f t="shared" si="3"/>
        <v>7</v>
      </c>
      <c r="G31" s="91"/>
      <c r="H31" s="76">
        <f t="shared" si="4"/>
        <v>14</v>
      </c>
      <c r="I31" s="89">
        <f t="shared" si="5"/>
        <v>8</v>
      </c>
      <c r="J31" s="90">
        <f t="shared" si="6"/>
        <v>8</v>
      </c>
      <c r="K31" s="91">
        <f t="shared" si="7"/>
        <v>8</v>
      </c>
      <c r="L31" s="76">
        <f t="shared" si="8"/>
        <v>24</v>
      </c>
      <c r="N31" s="79">
        <f t="shared" si="18"/>
        <v>52.36</v>
      </c>
      <c r="O31" s="80">
        <f t="shared" si="19"/>
        <v>42</v>
      </c>
      <c r="P31" s="81">
        <f t="shared" si="20"/>
        <v>0</v>
      </c>
      <c r="Q31" s="79">
        <f t="shared" si="21"/>
        <v>59.84</v>
      </c>
      <c r="R31" s="80">
        <f t="shared" si="22"/>
        <v>48</v>
      </c>
      <c r="S31" s="81">
        <f t="shared" si="23"/>
        <v>68</v>
      </c>
      <c r="T31" s="92">
        <f t="shared" si="24"/>
        <v>270.2</v>
      </c>
      <c r="U31" s="93">
        <f t="shared" si="16"/>
        <v>216.16</v>
      </c>
    </row>
    <row r="32" spans="1:21" x14ac:dyDescent="0.25">
      <c r="A32" s="71">
        <f t="shared" si="1"/>
        <v>2022</v>
      </c>
      <c r="B32" s="72"/>
      <c r="C32" s="73" t="str">
        <f t="shared" si="0"/>
        <v>TERÇA</v>
      </c>
      <c r="D32" s="74">
        <v>44880</v>
      </c>
      <c r="E32" s="89">
        <f t="shared" si="2"/>
        <v>7</v>
      </c>
      <c r="F32" s="90">
        <f t="shared" si="3"/>
        <v>7</v>
      </c>
      <c r="G32" s="91"/>
      <c r="H32" s="76">
        <f t="shared" si="4"/>
        <v>14</v>
      </c>
      <c r="I32" s="89">
        <f t="shared" si="5"/>
        <v>8</v>
      </c>
      <c r="J32" s="90">
        <f t="shared" si="6"/>
        <v>8</v>
      </c>
      <c r="K32" s="91">
        <f t="shared" si="7"/>
        <v>8</v>
      </c>
      <c r="L32" s="76">
        <f t="shared" si="8"/>
        <v>24</v>
      </c>
      <c r="N32" s="79">
        <f t="shared" si="18"/>
        <v>52.36</v>
      </c>
      <c r="O32" s="80">
        <f t="shared" si="19"/>
        <v>42</v>
      </c>
      <c r="P32" s="81">
        <f t="shared" si="20"/>
        <v>0</v>
      </c>
      <c r="Q32" s="79">
        <f t="shared" si="21"/>
        <v>59.84</v>
      </c>
      <c r="R32" s="80">
        <f t="shared" si="22"/>
        <v>48</v>
      </c>
      <c r="S32" s="81">
        <f t="shared" si="23"/>
        <v>68</v>
      </c>
      <c r="T32" s="92">
        <f t="shared" si="24"/>
        <v>270.2</v>
      </c>
      <c r="U32" s="93">
        <f t="shared" si="16"/>
        <v>216.16</v>
      </c>
    </row>
    <row r="33" spans="1:21" x14ac:dyDescent="0.25">
      <c r="A33" s="71">
        <f t="shared" si="1"/>
        <v>2022</v>
      </c>
      <c r="B33" s="72"/>
      <c r="C33" s="73" t="str">
        <f t="shared" si="0"/>
        <v>QUARTA</v>
      </c>
      <c r="D33" s="74">
        <v>44881</v>
      </c>
      <c r="E33" s="89">
        <f t="shared" si="2"/>
        <v>7</v>
      </c>
      <c r="F33" s="90">
        <f t="shared" si="3"/>
        <v>7</v>
      </c>
      <c r="G33" s="91"/>
      <c r="H33" s="76">
        <f t="shared" si="4"/>
        <v>14</v>
      </c>
      <c r="I33" s="89">
        <f t="shared" si="5"/>
        <v>8</v>
      </c>
      <c r="J33" s="90">
        <f t="shared" si="6"/>
        <v>8</v>
      </c>
      <c r="K33" s="91">
        <f t="shared" si="7"/>
        <v>8</v>
      </c>
      <c r="L33" s="76">
        <f t="shared" si="8"/>
        <v>24</v>
      </c>
      <c r="N33" s="79">
        <f t="shared" si="18"/>
        <v>52.36</v>
      </c>
      <c r="O33" s="80">
        <f t="shared" si="19"/>
        <v>42</v>
      </c>
      <c r="P33" s="81">
        <f t="shared" si="20"/>
        <v>0</v>
      </c>
      <c r="Q33" s="79">
        <f t="shared" si="21"/>
        <v>59.84</v>
      </c>
      <c r="R33" s="80">
        <f t="shared" si="22"/>
        <v>48</v>
      </c>
      <c r="S33" s="81">
        <f t="shared" si="23"/>
        <v>68</v>
      </c>
      <c r="T33" s="92">
        <f t="shared" si="24"/>
        <v>270.2</v>
      </c>
      <c r="U33" s="93">
        <f t="shared" si="16"/>
        <v>216.16</v>
      </c>
    </row>
    <row r="34" spans="1:21" x14ac:dyDescent="0.25">
      <c r="A34" s="71">
        <f t="shared" si="1"/>
        <v>2022</v>
      </c>
      <c r="B34" s="72"/>
      <c r="C34" s="73" t="str">
        <f t="shared" si="0"/>
        <v>QUINTA</v>
      </c>
      <c r="D34" s="74">
        <v>44882</v>
      </c>
      <c r="E34" s="89">
        <f t="shared" si="2"/>
        <v>7</v>
      </c>
      <c r="F34" s="90">
        <f t="shared" si="3"/>
        <v>7</v>
      </c>
      <c r="G34" s="91"/>
      <c r="H34" s="76">
        <f t="shared" si="4"/>
        <v>14</v>
      </c>
      <c r="I34" s="89">
        <f t="shared" si="5"/>
        <v>8</v>
      </c>
      <c r="J34" s="90">
        <f t="shared" si="6"/>
        <v>8</v>
      </c>
      <c r="K34" s="91">
        <f t="shared" si="7"/>
        <v>8</v>
      </c>
      <c r="L34" s="76">
        <f t="shared" si="8"/>
        <v>24</v>
      </c>
      <c r="N34" s="79">
        <f t="shared" si="18"/>
        <v>52.36</v>
      </c>
      <c r="O34" s="80">
        <f t="shared" si="19"/>
        <v>42</v>
      </c>
      <c r="P34" s="81">
        <f t="shared" si="20"/>
        <v>0</v>
      </c>
      <c r="Q34" s="79">
        <f t="shared" si="21"/>
        <v>59.84</v>
      </c>
      <c r="R34" s="80">
        <f t="shared" si="22"/>
        <v>48</v>
      </c>
      <c r="S34" s="81">
        <f t="shared" si="23"/>
        <v>68</v>
      </c>
      <c r="T34" s="92">
        <f t="shared" si="24"/>
        <v>270.2</v>
      </c>
      <c r="U34" s="93">
        <f t="shared" si="16"/>
        <v>216.16</v>
      </c>
    </row>
    <row r="35" spans="1:21" x14ac:dyDescent="0.25">
      <c r="A35" s="71">
        <f t="shared" si="1"/>
        <v>2022</v>
      </c>
      <c r="B35" s="72"/>
      <c r="C35" s="73" t="str">
        <f t="shared" si="0"/>
        <v>SEXTA</v>
      </c>
      <c r="D35" s="74">
        <v>44883</v>
      </c>
      <c r="E35" s="89">
        <f t="shared" si="2"/>
        <v>7</v>
      </c>
      <c r="F35" s="90">
        <f t="shared" si="3"/>
        <v>7</v>
      </c>
      <c r="G35" s="91"/>
      <c r="H35" s="76">
        <f t="shared" si="4"/>
        <v>14</v>
      </c>
      <c r="I35" s="89">
        <f t="shared" si="5"/>
        <v>8</v>
      </c>
      <c r="J35" s="90">
        <f t="shared" si="6"/>
        <v>8</v>
      </c>
      <c r="K35" s="91">
        <f t="shared" si="7"/>
        <v>8</v>
      </c>
      <c r="L35" s="76">
        <f t="shared" si="8"/>
        <v>24</v>
      </c>
      <c r="N35" s="79">
        <f t="shared" si="18"/>
        <v>52.36</v>
      </c>
      <c r="O35" s="80">
        <f t="shared" si="19"/>
        <v>42</v>
      </c>
      <c r="P35" s="81">
        <f t="shared" si="20"/>
        <v>0</v>
      </c>
      <c r="Q35" s="79">
        <f t="shared" si="21"/>
        <v>59.84</v>
      </c>
      <c r="R35" s="80">
        <f t="shared" si="22"/>
        <v>48</v>
      </c>
      <c r="S35" s="81">
        <f t="shared" si="23"/>
        <v>68</v>
      </c>
      <c r="T35" s="92">
        <f t="shared" si="24"/>
        <v>270.2</v>
      </c>
      <c r="U35" s="93">
        <f t="shared" si="16"/>
        <v>216.16</v>
      </c>
    </row>
    <row r="36" spans="1:21" x14ac:dyDescent="0.25">
      <c r="A36" s="71">
        <f t="shared" si="1"/>
        <v>2022</v>
      </c>
      <c r="B36" s="72"/>
      <c r="C36" s="73" t="str">
        <f t="shared" si="0"/>
        <v>SÁBADO</v>
      </c>
      <c r="D36" s="74">
        <v>44884</v>
      </c>
      <c r="E36" s="89">
        <f t="shared" si="2"/>
        <v>0</v>
      </c>
      <c r="F36" s="90">
        <f t="shared" si="3"/>
        <v>7</v>
      </c>
      <c r="G36" s="91"/>
      <c r="H36" s="76">
        <f t="shared" si="4"/>
        <v>7</v>
      </c>
      <c r="I36" s="89">
        <f t="shared" si="5"/>
        <v>0</v>
      </c>
      <c r="J36" s="90">
        <f t="shared" si="6"/>
        <v>8</v>
      </c>
      <c r="K36" s="91">
        <f t="shared" si="7"/>
        <v>0</v>
      </c>
      <c r="L36" s="76">
        <f t="shared" si="8"/>
        <v>8</v>
      </c>
      <c r="N36" s="79">
        <f t="shared" si="18"/>
        <v>0</v>
      </c>
      <c r="O36" s="80">
        <f t="shared" si="19"/>
        <v>42</v>
      </c>
      <c r="P36" s="81">
        <f t="shared" si="20"/>
        <v>0</v>
      </c>
      <c r="Q36" s="79">
        <f t="shared" si="21"/>
        <v>0</v>
      </c>
      <c r="R36" s="80">
        <f t="shared" si="22"/>
        <v>48</v>
      </c>
      <c r="S36" s="81">
        <f t="shared" si="23"/>
        <v>0</v>
      </c>
      <c r="T36" s="92">
        <f t="shared" si="24"/>
        <v>90</v>
      </c>
      <c r="U36" s="93">
        <f t="shared" si="16"/>
        <v>72</v>
      </c>
    </row>
    <row r="37" spans="1:21" x14ac:dyDescent="0.25">
      <c r="A37" s="71">
        <f t="shared" si="1"/>
        <v>2022</v>
      </c>
      <c r="B37" s="72"/>
      <c r="C37" s="73" t="str">
        <f t="shared" si="0"/>
        <v>DOMINGO</v>
      </c>
      <c r="D37" s="74">
        <v>44885</v>
      </c>
      <c r="E37" s="89">
        <f t="shared" si="2"/>
        <v>0</v>
      </c>
      <c r="F37" s="90">
        <f t="shared" si="3"/>
        <v>0</v>
      </c>
      <c r="G37" s="91"/>
      <c r="H37" s="76">
        <f t="shared" si="4"/>
        <v>0</v>
      </c>
      <c r="I37" s="89">
        <f t="shared" si="5"/>
        <v>0</v>
      </c>
      <c r="J37" s="90">
        <f t="shared" si="6"/>
        <v>0</v>
      </c>
      <c r="K37" s="91">
        <f t="shared" si="7"/>
        <v>0</v>
      </c>
      <c r="L37" s="76">
        <f t="shared" si="8"/>
        <v>0</v>
      </c>
      <c r="N37" s="79">
        <f t="shared" si="18"/>
        <v>0</v>
      </c>
      <c r="O37" s="80">
        <f t="shared" si="19"/>
        <v>0</v>
      </c>
      <c r="P37" s="81">
        <f t="shared" si="20"/>
        <v>0</v>
      </c>
      <c r="Q37" s="79">
        <f t="shared" si="21"/>
        <v>0</v>
      </c>
      <c r="R37" s="80">
        <f t="shared" si="22"/>
        <v>0</v>
      </c>
      <c r="S37" s="81">
        <f t="shared" si="23"/>
        <v>0</v>
      </c>
      <c r="T37" s="92">
        <f t="shared" si="24"/>
        <v>0</v>
      </c>
      <c r="U37" s="93">
        <f t="shared" si="16"/>
        <v>0</v>
      </c>
    </row>
    <row r="38" spans="1:21" x14ac:dyDescent="0.25">
      <c r="A38" s="71">
        <f t="shared" si="1"/>
        <v>2022</v>
      </c>
      <c r="B38" s="72"/>
      <c r="C38" s="73" t="str">
        <f t="shared" si="0"/>
        <v>SEGUNDA</v>
      </c>
      <c r="D38" s="74">
        <v>44886</v>
      </c>
      <c r="E38" s="89">
        <f t="shared" si="2"/>
        <v>7</v>
      </c>
      <c r="F38" s="90">
        <f t="shared" si="3"/>
        <v>7</v>
      </c>
      <c r="G38" s="91"/>
      <c r="H38" s="76">
        <f t="shared" si="4"/>
        <v>14</v>
      </c>
      <c r="I38" s="89">
        <f t="shared" si="5"/>
        <v>8</v>
      </c>
      <c r="J38" s="90">
        <f t="shared" si="6"/>
        <v>8</v>
      </c>
      <c r="K38" s="91">
        <f t="shared" si="7"/>
        <v>8</v>
      </c>
      <c r="L38" s="76">
        <f t="shared" si="8"/>
        <v>24</v>
      </c>
      <c r="N38" s="79">
        <f t="shared" si="18"/>
        <v>52.36</v>
      </c>
      <c r="O38" s="80">
        <f t="shared" si="19"/>
        <v>42</v>
      </c>
      <c r="P38" s="81">
        <f t="shared" si="20"/>
        <v>0</v>
      </c>
      <c r="Q38" s="79">
        <f t="shared" si="21"/>
        <v>59.84</v>
      </c>
      <c r="R38" s="80">
        <f t="shared" si="22"/>
        <v>48</v>
      </c>
      <c r="S38" s="81">
        <f t="shared" si="23"/>
        <v>68</v>
      </c>
      <c r="T38" s="92">
        <f t="shared" si="24"/>
        <v>270.2</v>
      </c>
      <c r="U38" s="93">
        <f t="shared" si="16"/>
        <v>216.16</v>
      </c>
    </row>
    <row r="39" spans="1:21" x14ac:dyDescent="0.25">
      <c r="A39" s="71">
        <f t="shared" si="1"/>
        <v>2022</v>
      </c>
      <c r="B39" s="72"/>
      <c r="C39" s="73" t="str">
        <f t="shared" si="0"/>
        <v>TERÇA</v>
      </c>
      <c r="D39" s="74">
        <v>44887</v>
      </c>
      <c r="E39" s="89">
        <f t="shared" si="2"/>
        <v>7</v>
      </c>
      <c r="F39" s="90">
        <f t="shared" si="3"/>
        <v>7</v>
      </c>
      <c r="G39" s="91"/>
      <c r="H39" s="76">
        <f t="shared" si="4"/>
        <v>14</v>
      </c>
      <c r="I39" s="89">
        <f t="shared" si="5"/>
        <v>8</v>
      </c>
      <c r="J39" s="90">
        <f t="shared" si="6"/>
        <v>8</v>
      </c>
      <c r="K39" s="91">
        <f t="shared" si="7"/>
        <v>8</v>
      </c>
      <c r="L39" s="76">
        <f t="shared" si="8"/>
        <v>24</v>
      </c>
      <c r="N39" s="79">
        <f t="shared" si="18"/>
        <v>52.36</v>
      </c>
      <c r="O39" s="80">
        <f t="shared" si="19"/>
        <v>42</v>
      </c>
      <c r="P39" s="81">
        <f t="shared" si="20"/>
        <v>0</v>
      </c>
      <c r="Q39" s="79">
        <f t="shared" si="21"/>
        <v>59.84</v>
      </c>
      <c r="R39" s="80">
        <f t="shared" si="22"/>
        <v>48</v>
      </c>
      <c r="S39" s="81">
        <f t="shared" si="23"/>
        <v>68</v>
      </c>
      <c r="T39" s="92">
        <f t="shared" si="24"/>
        <v>270.2</v>
      </c>
      <c r="U39" s="93">
        <f t="shared" si="16"/>
        <v>216.16</v>
      </c>
    </row>
    <row r="40" spans="1:21" x14ac:dyDescent="0.25">
      <c r="A40" s="71">
        <f t="shared" si="1"/>
        <v>2022</v>
      </c>
      <c r="B40" s="72"/>
      <c r="C40" s="73" t="str">
        <f t="shared" si="0"/>
        <v>QUARTA</v>
      </c>
      <c r="D40" s="74">
        <v>44888</v>
      </c>
      <c r="E40" s="89">
        <f t="shared" si="2"/>
        <v>7</v>
      </c>
      <c r="F40" s="90">
        <f t="shared" si="3"/>
        <v>7</v>
      </c>
      <c r="G40" s="91"/>
      <c r="H40" s="76">
        <f t="shared" si="4"/>
        <v>14</v>
      </c>
      <c r="I40" s="89">
        <f t="shared" si="5"/>
        <v>8</v>
      </c>
      <c r="J40" s="90">
        <f t="shared" si="6"/>
        <v>8</v>
      </c>
      <c r="K40" s="91">
        <f t="shared" si="7"/>
        <v>8</v>
      </c>
      <c r="L40" s="76">
        <f t="shared" si="8"/>
        <v>24</v>
      </c>
      <c r="N40" s="79">
        <f t="shared" si="18"/>
        <v>52.36</v>
      </c>
      <c r="O40" s="80">
        <f t="shared" si="19"/>
        <v>42</v>
      </c>
      <c r="P40" s="81">
        <f t="shared" si="20"/>
        <v>0</v>
      </c>
      <c r="Q40" s="79">
        <f t="shared" si="21"/>
        <v>59.84</v>
      </c>
      <c r="R40" s="80">
        <f t="shared" si="22"/>
        <v>48</v>
      </c>
      <c r="S40" s="81">
        <f t="shared" si="23"/>
        <v>68</v>
      </c>
      <c r="T40" s="92">
        <f t="shared" si="24"/>
        <v>270.2</v>
      </c>
      <c r="U40" s="93">
        <f t="shared" si="16"/>
        <v>216.16</v>
      </c>
    </row>
    <row r="41" spans="1:21" x14ac:dyDescent="0.25">
      <c r="A41" s="71">
        <f t="shared" si="1"/>
        <v>2022</v>
      </c>
      <c r="B41" s="72"/>
      <c r="C41" s="73" t="str">
        <f t="shared" si="0"/>
        <v>QUINTA</v>
      </c>
      <c r="D41" s="74">
        <v>44889</v>
      </c>
      <c r="E41" s="89">
        <f t="shared" si="2"/>
        <v>7</v>
      </c>
      <c r="F41" s="90">
        <f t="shared" si="3"/>
        <v>7</v>
      </c>
      <c r="G41" s="91"/>
      <c r="H41" s="76">
        <f t="shared" si="4"/>
        <v>14</v>
      </c>
      <c r="I41" s="89">
        <f t="shared" si="5"/>
        <v>8</v>
      </c>
      <c r="J41" s="90">
        <f t="shared" si="6"/>
        <v>8</v>
      </c>
      <c r="K41" s="91">
        <f t="shared" si="7"/>
        <v>8</v>
      </c>
      <c r="L41" s="76">
        <f t="shared" si="8"/>
        <v>24</v>
      </c>
      <c r="N41" s="79">
        <f t="shared" si="18"/>
        <v>52.36</v>
      </c>
      <c r="O41" s="80">
        <f t="shared" si="19"/>
        <v>42</v>
      </c>
      <c r="P41" s="81">
        <f t="shared" si="20"/>
        <v>0</v>
      </c>
      <c r="Q41" s="79">
        <f t="shared" si="21"/>
        <v>59.84</v>
      </c>
      <c r="R41" s="80">
        <f t="shared" si="22"/>
        <v>48</v>
      </c>
      <c r="S41" s="81">
        <f t="shared" si="23"/>
        <v>68</v>
      </c>
      <c r="T41" s="92">
        <f t="shared" si="24"/>
        <v>270.2</v>
      </c>
      <c r="U41" s="93">
        <f t="shared" si="16"/>
        <v>216.16</v>
      </c>
    </row>
    <row r="42" spans="1:21" x14ac:dyDescent="0.25">
      <c r="A42" s="71">
        <f t="shared" si="1"/>
        <v>2022</v>
      </c>
      <c r="B42" s="72"/>
      <c r="C42" s="73" t="str">
        <f t="shared" si="0"/>
        <v>SEXTA</v>
      </c>
      <c r="D42" s="74">
        <v>44890</v>
      </c>
      <c r="E42" s="89">
        <f t="shared" si="2"/>
        <v>7</v>
      </c>
      <c r="F42" s="90">
        <f t="shared" si="3"/>
        <v>7</v>
      </c>
      <c r="G42" s="91"/>
      <c r="H42" s="76">
        <f t="shared" si="4"/>
        <v>14</v>
      </c>
      <c r="I42" s="89">
        <f t="shared" si="5"/>
        <v>8</v>
      </c>
      <c r="J42" s="90">
        <f t="shared" si="6"/>
        <v>8</v>
      </c>
      <c r="K42" s="91">
        <f t="shared" si="7"/>
        <v>8</v>
      </c>
      <c r="L42" s="76">
        <f t="shared" si="8"/>
        <v>24</v>
      </c>
      <c r="N42" s="79">
        <f t="shared" si="18"/>
        <v>52.36</v>
      </c>
      <c r="O42" s="80">
        <f t="shared" si="19"/>
        <v>42</v>
      </c>
      <c r="P42" s="81">
        <f t="shared" si="20"/>
        <v>0</v>
      </c>
      <c r="Q42" s="79">
        <f t="shared" si="21"/>
        <v>59.84</v>
      </c>
      <c r="R42" s="80">
        <f t="shared" si="22"/>
        <v>48</v>
      </c>
      <c r="S42" s="81">
        <f t="shared" si="23"/>
        <v>68</v>
      </c>
      <c r="T42" s="92">
        <f t="shared" si="24"/>
        <v>270.2</v>
      </c>
      <c r="U42" s="93">
        <f t="shared" si="16"/>
        <v>216.16</v>
      </c>
    </row>
    <row r="43" spans="1:21" x14ac:dyDescent="0.25">
      <c r="A43" s="71">
        <f t="shared" si="1"/>
        <v>2022</v>
      </c>
      <c r="B43" s="72"/>
      <c r="C43" s="73" t="str">
        <f t="shared" si="0"/>
        <v>SÁBADO</v>
      </c>
      <c r="D43" s="74">
        <v>44891</v>
      </c>
      <c r="E43" s="89">
        <f t="shared" si="2"/>
        <v>0</v>
      </c>
      <c r="F43" s="90">
        <f t="shared" si="3"/>
        <v>7</v>
      </c>
      <c r="G43" s="91"/>
      <c r="H43" s="76">
        <f t="shared" si="4"/>
        <v>7</v>
      </c>
      <c r="I43" s="89">
        <f t="shared" si="5"/>
        <v>0</v>
      </c>
      <c r="J43" s="90">
        <f t="shared" si="6"/>
        <v>8</v>
      </c>
      <c r="K43" s="91">
        <f t="shared" si="7"/>
        <v>0</v>
      </c>
      <c r="L43" s="76">
        <f t="shared" si="8"/>
        <v>8</v>
      </c>
      <c r="N43" s="79">
        <f t="shared" si="18"/>
        <v>0</v>
      </c>
      <c r="O43" s="80">
        <f t="shared" si="19"/>
        <v>42</v>
      </c>
      <c r="P43" s="81">
        <f t="shared" si="20"/>
        <v>0</v>
      </c>
      <c r="Q43" s="79">
        <f t="shared" si="21"/>
        <v>0</v>
      </c>
      <c r="R43" s="80">
        <f t="shared" si="22"/>
        <v>48</v>
      </c>
      <c r="S43" s="81">
        <f t="shared" si="23"/>
        <v>0</v>
      </c>
      <c r="T43" s="92">
        <f t="shared" si="24"/>
        <v>90</v>
      </c>
      <c r="U43" s="93">
        <f t="shared" si="16"/>
        <v>72</v>
      </c>
    </row>
    <row r="44" spans="1:21" x14ac:dyDescent="0.25">
      <c r="A44" s="71">
        <f t="shared" si="1"/>
        <v>2022</v>
      </c>
      <c r="B44" s="72"/>
      <c r="C44" s="73" t="str">
        <f t="shared" si="0"/>
        <v>DOMINGO</v>
      </c>
      <c r="D44" s="74">
        <v>44892</v>
      </c>
      <c r="E44" s="89">
        <f t="shared" si="2"/>
        <v>0</v>
      </c>
      <c r="F44" s="90">
        <f t="shared" si="3"/>
        <v>0</v>
      </c>
      <c r="G44" s="91"/>
      <c r="H44" s="76">
        <f t="shared" si="4"/>
        <v>0</v>
      </c>
      <c r="I44" s="89">
        <f t="shared" si="5"/>
        <v>0</v>
      </c>
      <c r="J44" s="90">
        <f t="shared" si="6"/>
        <v>0</v>
      </c>
      <c r="K44" s="91">
        <f t="shared" si="7"/>
        <v>0</v>
      </c>
      <c r="L44" s="76">
        <f t="shared" si="8"/>
        <v>0</v>
      </c>
      <c r="N44" s="79">
        <f t="shared" si="18"/>
        <v>0</v>
      </c>
      <c r="O44" s="80">
        <f t="shared" si="19"/>
        <v>0</v>
      </c>
      <c r="P44" s="81">
        <f t="shared" si="20"/>
        <v>0</v>
      </c>
      <c r="Q44" s="79">
        <f t="shared" si="21"/>
        <v>0</v>
      </c>
      <c r="R44" s="80">
        <f t="shared" si="22"/>
        <v>0</v>
      </c>
      <c r="S44" s="81">
        <f t="shared" si="23"/>
        <v>0</v>
      </c>
      <c r="T44" s="92">
        <f t="shared" si="24"/>
        <v>0</v>
      </c>
      <c r="U44" s="93">
        <f t="shared" si="16"/>
        <v>0</v>
      </c>
    </row>
    <row r="45" spans="1:21" x14ac:dyDescent="0.25">
      <c r="A45" s="71">
        <f t="shared" si="1"/>
        <v>2022</v>
      </c>
      <c r="B45" s="72"/>
      <c r="C45" s="73" t="str">
        <f t="shared" si="0"/>
        <v>SEGUNDA</v>
      </c>
      <c r="D45" s="74">
        <v>44893</v>
      </c>
      <c r="E45" s="89">
        <f t="shared" si="2"/>
        <v>7</v>
      </c>
      <c r="F45" s="90">
        <f t="shared" si="3"/>
        <v>7</v>
      </c>
      <c r="G45" s="91"/>
      <c r="H45" s="76">
        <f t="shared" si="4"/>
        <v>14</v>
      </c>
      <c r="I45" s="89">
        <f t="shared" si="5"/>
        <v>8</v>
      </c>
      <c r="J45" s="90">
        <f t="shared" si="6"/>
        <v>8</v>
      </c>
      <c r="K45" s="91">
        <f t="shared" si="7"/>
        <v>8</v>
      </c>
      <c r="L45" s="76">
        <f t="shared" si="8"/>
        <v>24</v>
      </c>
      <c r="N45" s="79">
        <f t="shared" si="18"/>
        <v>52.36</v>
      </c>
      <c r="O45" s="80">
        <f t="shared" si="19"/>
        <v>42</v>
      </c>
      <c r="P45" s="81">
        <f t="shared" si="20"/>
        <v>0</v>
      </c>
      <c r="Q45" s="79">
        <f t="shared" si="21"/>
        <v>59.84</v>
      </c>
      <c r="R45" s="80">
        <f t="shared" si="22"/>
        <v>48</v>
      </c>
      <c r="S45" s="81">
        <f t="shared" si="23"/>
        <v>68</v>
      </c>
      <c r="T45" s="92">
        <f t="shared" si="24"/>
        <v>270.2</v>
      </c>
      <c r="U45" s="93">
        <f t="shared" si="16"/>
        <v>216.16</v>
      </c>
    </row>
    <row r="46" spans="1:21" x14ac:dyDescent="0.25">
      <c r="A46" s="71">
        <f t="shared" si="1"/>
        <v>2022</v>
      </c>
      <c r="B46" s="72"/>
      <c r="C46" s="73" t="str">
        <f t="shared" si="0"/>
        <v>TERÇA</v>
      </c>
      <c r="D46" s="74">
        <v>44894</v>
      </c>
      <c r="E46" s="89">
        <f t="shared" si="2"/>
        <v>7</v>
      </c>
      <c r="F46" s="90">
        <f t="shared" si="3"/>
        <v>7</v>
      </c>
      <c r="G46" s="91"/>
      <c r="H46" s="76">
        <f t="shared" si="4"/>
        <v>14</v>
      </c>
      <c r="I46" s="89">
        <f t="shared" si="5"/>
        <v>8</v>
      </c>
      <c r="J46" s="90">
        <f t="shared" si="6"/>
        <v>8</v>
      </c>
      <c r="K46" s="91">
        <f t="shared" si="7"/>
        <v>8</v>
      </c>
      <c r="L46" s="76">
        <f t="shared" si="8"/>
        <v>24</v>
      </c>
      <c r="N46" s="79">
        <f t="shared" si="18"/>
        <v>52.36</v>
      </c>
      <c r="O46" s="80">
        <f t="shared" si="19"/>
        <v>42</v>
      </c>
      <c r="P46" s="81">
        <f t="shared" si="20"/>
        <v>0</v>
      </c>
      <c r="Q46" s="79">
        <f t="shared" si="21"/>
        <v>59.84</v>
      </c>
      <c r="R46" s="80">
        <f t="shared" si="22"/>
        <v>48</v>
      </c>
      <c r="S46" s="81">
        <f t="shared" si="23"/>
        <v>68</v>
      </c>
      <c r="T46" s="92">
        <f t="shared" si="24"/>
        <v>270.2</v>
      </c>
      <c r="U46" s="93">
        <f t="shared" si="16"/>
        <v>216.16</v>
      </c>
    </row>
    <row r="47" spans="1:21" x14ac:dyDescent="0.25">
      <c r="A47" s="71">
        <f t="shared" si="1"/>
        <v>2022</v>
      </c>
      <c r="B47" s="72"/>
      <c r="C47" s="73" t="str">
        <f t="shared" si="0"/>
        <v>QUARTA</v>
      </c>
      <c r="D47" s="74">
        <v>44895</v>
      </c>
      <c r="E47" s="89">
        <f t="shared" si="2"/>
        <v>7</v>
      </c>
      <c r="F47" s="90">
        <f t="shared" si="3"/>
        <v>7</v>
      </c>
      <c r="G47" s="91"/>
      <c r="H47" s="76">
        <f t="shared" si="4"/>
        <v>14</v>
      </c>
      <c r="I47" s="89">
        <f t="shared" si="5"/>
        <v>8</v>
      </c>
      <c r="J47" s="90">
        <f t="shared" si="6"/>
        <v>8</v>
      </c>
      <c r="K47" s="91">
        <f t="shared" si="7"/>
        <v>8</v>
      </c>
      <c r="L47" s="76">
        <f t="shared" si="8"/>
        <v>24</v>
      </c>
      <c r="N47" s="79">
        <f t="shared" si="18"/>
        <v>52.36</v>
      </c>
      <c r="O47" s="80">
        <f t="shared" si="19"/>
        <v>42</v>
      </c>
      <c r="P47" s="81">
        <f t="shared" si="20"/>
        <v>0</v>
      </c>
      <c r="Q47" s="79">
        <f t="shared" si="21"/>
        <v>59.84</v>
      </c>
      <c r="R47" s="80">
        <f t="shared" si="22"/>
        <v>48</v>
      </c>
      <c r="S47" s="81">
        <f t="shared" si="23"/>
        <v>68</v>
      </c>
      <c r="T47" s="92">
        <f t="shared" si="24"/>
        <v>270.2</v>
      </c>
      <c r="U47" s="93">
        <f t="shared" si="16"/>
        <v>216.16</v>
      </c>
    </row>
    <row r="48" spans="1:21" x14ac:dyDescent="0.25">
      <c r="A48" s="71">
        <f t="shared" si="1"/>
        <v>2022</v>
      </c>
      <c r="B48" s="72"/>
      <c r="C48" s="73" t="str">
        <f t="shared" si="0"/>
        <v>QUINTA</v>
      </c>
      <c r="D48" s="74">
        <v>44896</v>
      </c>
      <c r="E48" s="89">
        <f t="shared" si="2"/>
        <v>7</v>
      </c>
      <c r="F48" s="90">
        <f t="shared" si="3"/>
        <v>7</v>
      </c>
      <c r="G48" s="91"/>
      <c r="H48" s="76">
        <f t="shared" si="4"/>
        <v>14</v>
      </c>
      <c r="I48" s="89">
        <f t="shared" si="5"/>
        <v>8</v>
      </c>
      <c r="J48" s="90">
        <f t="shared" si="6"/>
        <v>8</v>
      </c>
      <c r="K48" s="91">
        <f t="shared" si="7"/>
        <v>8</v>
      </c>
      <c r="L48" s="76">
        <f t="shared" si="8"/>
        <v>24</v>
      </c>
      <c r="N48" s="79">
        <f t="shared" si="18"/>
        <v>52.36</v>
      </c>
      <c r="O48" s="80">
        <f t="shared" si="19"/>
        <v>42</v>
      </c>
      <c r="P48" s="81">
        <f t="shared" si="20"/>
        <v>0</v>
      </c>
      <c r="Q48" s="79">
        <f t="shared" si="21"/>
        <v>59.84</v>
      </c>
      <c r="R48" s="80">
        <f t="shared" si="22"/>
        <v>48</v>
      </c>
      <c r="S48" s="81">
        <f t="shared" si="23"/>
        <v>68</v>
      </c>
      <c r="T48" s="92">
        <f t="shared" si="24"/>
        <v>270.2</v>
      </c>
      <c r="U48" s="93">
        <f t="shared" si="16"/>
        <v>216.16</v>
      </c>
    </row>
    <row r="49" spans="1:21" x14ac:dyDescent="0.25">
      <c r="A49" s="71">
        <f t="shared" si="1"/>
        <v>2022</v>
      </c>
      <c r="B49" s="72"/>
      <c r="C49" s="73" t="str">
        <f t="shared" si="0"/>
        <v>SEXTA</v>
      </c>
      <c r="D49" s="74">
        <v>44897</v>
      </c>
      <c r="E49" s="89">
        <f t="shared" si="2"/>
        <v>7</v>
      </c>
      <c r="F49" s="90">
        <f t="shared" si="3"/>
        <v>7</v>
      </c>
      <c r="G49" s="91"/>
      <c r="H49" s="76">
        <f t="shared" si="4"/>
        <v>14</v>
      </c>
      <c r="I49" s="89">
        <f t="shared" si="5"/>
        <v>8</v>
      </c>
      <c r="J49" s="90">
        <f t="shared" si="6"/>
        <v>8</v>
      </c>
      <c r="K49" s="91">
        <f t="shared" si="7"/>
        <v>8</v>
      </c>
      <c r="L49" s="76">
        <f t="shared" si="8"/>
        <v>24</v>
      </c>
      <c r="N49" s="79">
        <f t="shared" si="18"/>
        <v>52.36</v>
      </c>
      <c r="O49" s="80">
        <f t="shared" si="19"/>
        <v>42</v>
      </c>
      <c r="P49" s="81">
        <f t="shared" si="20"/>
        <v>0</v>
      </c>
      <c r="Q49" s="79">
        <f t="shared" si="21"/>
        <v>59.84</v>
      </c>
      <c r="R49" s="80">
        <f t="shared" si="22"/>
        <v>48</v>
      </c>
      <c r="S49" s="81">
        <f t="shared" si="23"/>
        <v>68</v>
      </c>
      <c r="T49" s="92">
        <f t="shared" si="24"/>
        <v>270.2</v>
      </c>
      <c r="U49" s="93">
        <f t="shared" si="16"/>
        <v>216.16</v>
      </c>
    </row>
    <row r="50" spans="1:21" x14ac:dyDescent="0.25">
      <c r="A50" s="71">
        <f t="shared" si="1"/>
        <v>2022</v>
      </c>
      <c r="B50" s="72"/>
      <c r="C50" s="73" t="str">
        <f t="shared" si="0"/>
        <v>SÁBADO</v>
      </c>
      <c r="D50" s="74">
        <v>44898</v>
      </c>
      <c r="E50" s="89">
        <f t="shared" si="2"/>
        <v>0</v>
      </c>
      <c r="F50" s="90">
        <f t="shared" si="3"/>
        <v>7</v>
      </c>
      <c r="G50" s="91"/>
      <c r="H50" s="76">
        <f t="shared" si="4"/>
        <v>7</v>
      </c>
      <c r="I50" s="89">
        <f t="shared" si="5"/>
        <v>0</v>
      </c>
      <c r="J50" s="90">
        <f t="shared" si="6"/>
        <v>8</v>
      </c>
      <c r="K50" s="91">
        <f t="shared" si="7"/>
        <v>0</v>
      </c>
      <c r="L50" s="76">
        <f t="shared" si="8"/>
        <v>8</v>
      </c>
      <c r="N50" s="79">
        <f t="shared" si="18"/>
        <v>0</v>
      </c>
      <c r="O50" s="80">
        <f t="shared" si="19"/>
        <v>42</v>
      </c>
      <c r="P50" s="81">
        <f t="shared" si="20"/>
        <v>0</v>
      </c>
      <c r="Q50" s="79">
        <f t="shared" si="21"/>
        <v>0</v>
      </c>
      <c r="R50" s="80">
        <f t="shared" si="22"/>
        <v>48</v>
      </c>
      <c r="S50" s="81">
        <f t="shared" si="23"/>
        <v>0</v>
      </c>
      <c r="T50" s="92">
        <f t="shared" si="24"/>
        <v>90</v>
      </c>
      <c r="U50" s="93">
        <f t="shared" si="16"/>
        <v>72</v>
      </c>
    </row>
    <row r="51" spans="1:21" x14ac:dyDescent="0.25">
      <c r="A51" s="71">
        <f t="shared" si="1"/>
        <v>2022</v>
      </c>
      <c r="B51" s="72"/>
      <c r="C51" s="73" t="str">
        <f t="shared" si="0"/>
        <v>DOMINGO</v>
      </c>
      <c r="D51" s="74">
        <v>44899</v>
      </c>
      <c r="E51" s="89">
        <f t="shared" si="2"/>
        <v>0</v>
      </c>
      <c r="F51" s="90">
        <f t="shared" si="3"/>
        <v>0</v>
      </c>
      <c r="G51" s="91"/>
      <c r="H51" s="76">
        <f t="shared" si="4"/>
        <v>0</v>
      </c>
      <c r="I51" s="89">
        <f t="shared" si="5"/>
        <v>0</v>
      </c>
      <c r="J51" s="90">
        <f t="shared" si="6"/>
        <v>0</v>
      </c>
      <c r="K51" s="91">
        <f t="shared" si="7"/>
        <v>0</v>
      </c>
      <c r="L51" s="76">
        <f t="shared" si="8"/>
        <v>0</v>
      </c>
      <c r="N51" s="79">
        <f t="shared" si="18"/>
        <v>0</v>
      </c>
      <c r="O51" s="80">
        <f t="shared" si="19"/>
        <v>0</v>
      </c>
      <c r="P51" s="81">
        <f t="shared" si="20"/>
        <v>0</v>
      </c>
      <c r="Q51" s="79">
        <f t="shared" si="21"/>
        <v>0</v>
      </c>
      <c r="R51" s="80">
        <f t="shared" si="22"/>
        <v>0</v>
      </c>
      <c r="S51" s="81">
        <f t="shared" si="23"/>
        <v>0</v>
      </c>
      <c r="T51" s="92">
        <f t="shared" si="24"/>
        <v>0</v>
      </c>
      <c r="U51" s="93">
        <f t="shared" si="16"/>
        <v>0</v>
      </c>
    </row>
    <row r="52" spans="1:21" x14ac:dyDescent="0.25">
      <c r="A52" s="71">
        <f t="shared" si="1"/>
        <v>2022</v>
      </c>
      <c r="B52" s="72"/>
      <c r="C52" s="73" t="str">
        <f t="shared" si="0"/>
        <v>SEGUNDA</v>
      </c>
      <c r="D52" s="74">
        <v>44900</v>
      </c>
      <c r="E52" s="89">
        <f t="shared" si="2"/>
        <v>7</v>
      </c>
      <c r="F52" s="90">
        <f t="shared" si="3"/>
        <v>7</v>
      </c>
      <c r="G52" s="91"/>
      <c r="H52" s="76">
        <f t="shared" si="4"/>
        <v>14</v>
      </c>
      <c r="I52" s="89">
        <f t="shared" si="5"/>
        <v>8</v>
      </c>
      <c r="J52" s="90">
        <f t="shared" si="6"/>
        <v>8</v>
      </c>
      <c r="K52" s="91">
        <f t="shared" si="7"/>
        <v>8</v>
      </c>
      <c r="L52" s="76">
        <f t="shared" si="8"/>
        <v>24</v>
      </c>
      <c r="N52" s="79">
        <f t="shared" si="18"/>
        <v>52.36</v>
      </c>
      <c r="O52" s="80">
        <f t="shared" si="19"/>
        <v>42</v>
      </c>
      <c r="P52" s="81">
        <f t="shared" si="20"/>
        <v>0</v>
      </c>
      <c r="Q52" s="79">
        <f t="shared" si="21"/>
        <v>59.84</v>
      </c>
      <c r="R52" s="80">
        <f t="shared" si="22"/>
        <v>48</v>
      </c>
      <c r="S52" s="81">
        <f t="shared" si="23"/>
        <v>68</v>
      </c>
      <c r="T52" s="92">
        <f t="shared" si="24"/>
        <v>270.2</v>
      </c>
      <c r="U52" s="93">
        <f t="shared" si="16"/>
        <v>216.16</v>
      </c>
    </row>
    <row r="53" spans="1:21" x14ac:dyDescent="0.25">
      <c r="A53" s="71">
        <f t="shared" si="1"/>
        <v>2022</v>
      </c>
      <c r="B53" s="72"/>
      <c r="C53" s="73" t="str">
        <f t="shared" si="0"/>
        <v>TERÇA</v>
      </c>
      <c r="D53" s="74">
        <v>44901</v>
      </c>
      <c r="E53" s="89">
        <f t="shared" si="2"/>
        <v>7</v>
      </c>
      <c r="F53" s="90">
        <f t="shared" si="3"/>
        <v>7</v>
      </c>
      <c r="G53" s="91"/>
      <c r="H53" s="76">
        <f t="shared" si="4"/>
        <v>14</v>
      </c>
      <c r="I53" s="89">
        <f t="shared" si="5"/>
        <v>8</v>
      </c>
      <c r="J53" s="90">
        <f t="shared" si="6"/>
        <v>8</v>
      </c>
      <c r="K53" s="91">
        <f t="shared" si="7"/>
        <v>8</v>
      </c>
      <c r="L53" s="76">
        <f t="shared" si="8"/>
        <v>24</v>
      </c>
      <c r="N53" s="79">
        <f t="shared" si="18"/>
        <v>52.36</v>
      </c>
      <c r="O53" s="80">
        <f t="shared" si="19"/>
        <v>42</v>
      </c>
      <c r="P53" s="81">
        <f t="shared" si="20"/>
        <v>0</v>
      </c>
      <c r="Q53" s="79">
        <f t="shared" si="21"/>
        <v>59.84</v>
      </c>
      <c r="R53" s="80">
        <f t="shared" si="22"/>
        <v>48</v>
      </c>
      <c r="S53" s="81">
        <f t="shared" si="23"/>
        <v>68</v>
      </c>
      <c r="T53" s="92">
        <f t="shared" si="24"/>
        <v>270.2</v>
      </c>
      <c r="U53" s="93">
        <f t="shared" si="16"/>
        <v>216.16</v>
      </c>
    </row>
    <row r="54" spans="1:21" x14ac:dyDescent="0.25">
      <c r="A54" s="71">
        <f t="shared" si="1"/>
        <v>2022</v>
      </c>
      <c r="B54" s="72"/>
      <c r="C54" s="73" t="str">
        <f t="shared" si="0"/>
        <v>QUARTA</v>
      </c>
      <c r="D54" s="74">
        <v>44902</v>
      </c>
      <c r="E54" s="89">
        <f t="shared" si="2"/>
        <v>7</v>
      </c>
      <c r="F54" s="90">
        <f t="shared" si="3"/>
        <v>7</v>
      </c>
      <c r="G54" s="91"/>
      <c r="H54" s="76">
        <f t="shared" si="4"/>
        <v>14</v>
      </c>
      <c r="I54" s="89">
        <f t="shared" si="5"/>
        <v>8</v>
      </c>
      <c r="J54" s="90">
        <f t="shared" si="6"/>
        <v>8</v>
      </c>
      <c r="K54" s="91">
        <f t="shared" si="7"/>
        <v>8</v>
      </c>
      <c r="L54" s="76">
        <f t="shared" si="8"/>
        <v>24</v>
      </c>
      <c r="N54" s="79">
        <f t="shared" si="18"/>
        <v>52.36</v>
      </c>
      <c r="O54" s="80">
        <f t="shared" si="19"/>
        <v>42</v>
      </c>
      <c r="P54" s="81">
        <f t="shared" si="20"/>
        <v>0</v>
      </c>
      <c r="Q54" s="79">
        <f t="shared" si="21"/>
        <v>59.84</v>
      </c>
      <c r="R54" s="80">
        <f t="shared" si="22"/>
        <v>48</v>
      </c>
      <c r="S54" s="81">
        <f t="shared" si="23"/>
        <v>68</v>
      </c>
      <c r="T54" s="92">
        <f t="shared" si="24"/>
        <v>270.2</v>
      </c>
      <c r="U54" s="93">
        <f t="shared" si="16"/>
        <v>216.16</v>
      </c>
    </row>
    <row r="55" spans="1:21" x14ac:dyDescent="0.25">
      <c r="A55" s="71">
        <f t="shared" si="1"/>
        <v>2022</v>
      </c>
      <c r="B55" s="72"/>
      <c r="C55" s="73" t="str">
        <f t="shared" si="0"/>
        <v>QUINTA</v>
      </c>
      <c r="D55" s="74">
        <v>44903</v>
      </c>
      <c r="E55" s="89">
        <f t="shared" si="2"/>
        <v>7</v>
      </c>
      <c r="F55" s="90">
        <f t="shared" si="3"/>
        <v>7</v>
      </c>
      <c r="G55" s="91"/>
      <c r="H55" s="76">
        <f t="shared" si="4"/>
        <v>14</v>
      </c>
      <c r="I55" s="89">
        <f t="shared" si="5"/>
        <v>8</v>
      </c>
      <c r="J55" s="90">
        <f t="shared" si="6"/>
        <v>8</v>
      </c>
      <c r="K55" s="91">
        <f t="shared" si="7"/>
        <v>8</v>
      </c>
      <c r="L55" s="76">
        <f t="shared" si="8"/>
        <v>24</v>
      </c>
      <c r="N55" s="79">
        <f t="shared" si="18"/>
        <v>52.36</v>
      </c>
      <c r="O55" s="80">
        <f t="shared" si="19"/>
        <v>42</v>
      </c>
      <c r="P55" s="81">
        <f t="shared" si="20"/>
        <v>0</v>
      </c>
      <c r="Q55" s="79">
        <f t="shared" si="21"/>
        <v>59.84</v>
      </c>
      <c r="R55" s="80">
        <f t="shared" si="22"/>
        <v>48</v>
      </c>
      <c r="S55" s="81">
        <f t="shared" si="23"/>
        <v>68</v>
      </c>
      <c r="T55" s="92">
        <f t="shared" si="24"/>
        <v>270.2</v>
      </c>
      <c r="U55" s="93">
        <f t="shared" si="16"/>
        <v>216.16</v>
      </c>
    </row>
    <row r="56" spans="1:21" x14ac:dyDescent="0.25">
      <c r="A56" s="71">
        <f t="shared" si="1"/>
        <v>2022</v>
      </c>
      <c r="B56" s="72"/>
      <c r="C56" s="73" t="str">
        <f t="shared" si="0"/>
        <v>SEXTA</v>
      </c>
      <c r="D56" s="74">
        <v>44904</v>
      </c>
      <c r="E56" s="89">
        <f t="shared" si="2"/>
        <v>7</v>
      </c>
      <c r="F56" s="90">
        <f t="shared" si="3"/>
        <v>7</v>
      </c>
      <c r="G56" s="91"/>
      <c r="H56" s="76">
        <f t="shared" si="4"/>
        <v>14</v>
      </c>
      <c r="I56" s="89">
        <f t="shared" si="5"/>
        <v>8</v>
      </c>
      <c r="J56" s="90">
        <f t="shared" si="6"/>
        <v>8</v>
      </c>
      <c r="K56" s="91">
        <f t="shared" si="7"/>
        <v>8</v>
      </c>
      <c r="L56" s="76">
        <f t="shared" si="8"/>
        <v>24</v>
      </c>
      <c r="N56" s="79">
        <f t="shared" si="18"/>
        <v>52.36</v>
      </c>
      <c r="O56" s="80">
        <f t="shared" si="19"/>
        <v>42</v>
      </c>
      <c r="P56" s="81">
        <f t="shared" si="20"/>
        <v>0</v>
      </c>
      <c r="Q56" s="79">
        <f t="shared" si="21"/>
        <v>59.84</v>
      </c>
      <c r="R56" s="80">
        <f t="shared" si="22"/>
        <v>48</v>
      </c>
      <c r="S56" s="81">
        <f t="shared" si="23"/>
        <v>68</v>
      </c>
      <c r="T56" s="92">
        <f t="shared" si="24"/>
        <v>270.2</v>
      </c>
      <c r="U56" s="93">
        <f t="shared" si="16"/>
        <v>216.16</v>
      </c>
    </row>
    <row r="57" spans="1:21" x14ac:dyDescent="0.25">
      <c r="A57" s="71">
        <f t="shared" si="1"/>
        <v>2022</v>
      </c>
      <c r="B57" s="72"/>
      <c r="C57" s="73" t="str">
        <f t="shared" si="0"/>
        <v>SÁBADO</v>
      </c>
      <c r="D57" s="74">
        <v>44905</v>
      </c>
      <c r="E57" s="89">
        <f t="shared" si="2"/>
        <v>0</v>
      </c>
      <c r="F57" s="90">
        <f t="shared" si="3"/>
        <v>7</v>
      </c>
      <c r="G57" s="91"/>
      <c r="H57" s="76">
        <f t="shared" si="4"/>
        <v>7</v>
      </c>
      <c r="I57" s="89">
        <f t="shared" si="5"/>
        <v>0</v>
      </c>
      <c r="J57" s="90">
        <f t="shared" si="6"/>
        <v>8</v>
      </c>
      <c r="K57" s="91">
        <f t="shared" si="7"/>
        <v>0</v>
      </c>
      <c r="L57" s="76">
        <f t="shared" si="8"/>
        <v>8</v>
      </c>
      <c r="N57" s="79">
        <f t="shared" si="18"/>
        <v>0</v>
      </c>
      <c r="O57" s="80">
        <f t="shared" si="19"/>
        <v>42</v>
      </c>
      <c r="P57" s="81">
        <f t="shared" si="20"/>
        <v>0</v>
      </c>
      <c r="Q57" s="79">
        <f t="shared" si="21"/>
        <v>0</v>
      </c>
      <c r="R57" s="80">
        <f t="shared" si="22"/>
        <v>48</v>
      </c>
      <c r="S57" s="81">
        <f t="shared" si="23"/>
        <v>0</v>
      </c>
      <c r="T57" s="92">
        <f t="shared" si="24"/>
        <v>90</v>
      </c>
      <c r="U57" s="93">
        <f t="shared" si="16"/>
        <v>72</v>
      </c>
    </row>
    <row r="58" spans="1:21" x14ac:dyDescent="0.25">
      <c r="A58" s="71">
        <f t="shared" si="1"/>
        <v>2022</v>
      </c>
      <c r="B58" s="72"/>
      <c r="C58" s="73" t="str">
        <f t="shared" si="0"/>
        <v>DOMINGO</v>
      </c>
      <c r="D58" s="74">
        <v>44906</v>
      </c>
      <c r="E58" s="89">
        <f t="shared" si="2"/>
        <v>0</v>
      </c>
      <c r="F58" s="90">
        <f t="shared" si="3"/>
        <v>0</v>
      </c>
      <c r="G58" s="91"/>
      <c r="H58" s="76">
        <f t="shared" si="4"/>
        <v>0</v>
      </c>
      <c r="I58" s="89">
        <f t="shared" si="5"/>
        <v>0</v>
      </c>
      <c r="J58" s="90">
        <f t="shared" si="6"/>
        <v>0</v>
      </c>
      <c r="K58" s="91">
        <f t="shared" si="7"/>
        <v>0</v>
      </c>
      <c r="L58" s="76">
        <f t="shared" si="8"/>
        <v>0</v>
      </c>
      <c r="N58" s="79">
        <f t="shared" si="18"/>
        <v>0</v>
      </c>
      <c r="O58" s="80">
        <f t="shared" si="19"/>
        <v>0</v>
      </c>
      <c r="P58" s="81">
        <f t="shared" si="20"/>
        <v>0</v>
      </c>
      <c r="Q58" s="79">
        <f t="shared" si="21"/>
        <v>0</v>
      </c>
      <c r="R58" s="80">
        <f t="shared" si="22"/>
        <v>0</v>
      </c>
      <c r="S58" s="81">
        <f t="shared" si="23"/>
        <v>0</v>
      </c>
      <c r="T58" s="92">
        <f t="shared" si="24"/>
        <v>0</v>
      </c>
      <c r="U58" s="93">
        <f t="shared" si="16"/>
        <v>0</v>
      </c>
    </row>
    <row r="59" spans="1:21" x14ac:dyDescent="0.25">
      <c r="A59" s="71">
        <f t="shared" si="1"/>
        <v>2022</v>
      </c>
      <c r="B59" s="72"/>
      <c r="C59" s="73" t="str">
        <f t="shared" si="0"/>
        <v>SEGUNDA</v>
      </c>
      <c r="D59" s="74">
        <v>44907</v>
      </c>
      <c r="E59" s="89">
        <f t="shared" si="2"/>
        <v>7</v>
      </c>
      <c r="F59" s="90">
        <f t="shared" si="3"/>
        <v>7</v>
      </c>
      <c r="G59" s="91"/>
      <c r="H59" s="76">
        <f t="shared" si="4"/>
        <v>14</v>
      </c>
      <c r="I59" s="89">
        <f t="shared" si="5"/>
        <v>8</v>
      </c>
      <c r="J59" s="90">
        <f t="shared" si="6"/>
        <v>8</v>
      </c>
      <c r="K59" s="91">
        <f t="shared" si="7"/>
        <v>8</v>
      </c>
      <c r="L59" s="76">
        <f t="shared" si="8"/>
        <v>24</v>
      </c>
      <c r="N59" s="79">
        <f t="shared" si="18"/>
        <v>52.36</v>
      </c>
      <c r="O59" s="80">
        <f t="shared" si="19"/>
        <v>42</v>
      </c>
      <c r="P59" s="81">
        <f t="shared" si="20"/>
        <v>0</v>
      </c>
      <c r="Q59" s="79">
        <f t="shared" si="21"/>
        <v>59.84</v>
      </c>
      <c r="R59" s="80">
        <f t="shared" si="22"/>
        <v>48</v>
      </c>
      <c r="S59" s="81">
        <f t="shared" si="23"/>
        <v>68</v>
      </c>
      <c r="T59" s="92">
        <f t="shared" si="24"/>
        <v>270.2</v>
      </c>
      <c r="U59" s="93">
        <f t="shared" si="16"/>
        <v>216.16</v>
      </c>
    </row>
    <row r="60" spans="1:21" x14ac:dyDescent="0.25">
      <c r="A60" s="71">
        <f t="shared" si="1"/>
        <v>2022</v>
      </c>
      <c r="B60" s="72"/>
      <c r="C60" s="73" t="str">
        <f t="shared" si="0"/>
        <v>TERÇA</v>
      </c>
      <c r="D60" s="74">
        <v>44908</v>
      </c>
      <c r="E60" s="89">
        <f t="shared" si="2"/>
        <v>7</v>
      </c>
      <c r="F60" s="90">
        <f t="shared" si="3"/>
        <v>7</v>
      </c>
      <c r="G60" s="91"/>
      <c r="H60" s="76">
        <f t="shared" si="4"/>
        <v>14</v>
      </c>
      <c r="I60" s="89">
        <f t="shared" si="5"/>
        <v>8</v>
      </c>
      <c r="J60" s="90">
        <f t="shared" si="6"/>
        <v>8</v>
      </c>
      <c r="K60" s="91">
        <f t="shared" si="7"/>
        <v>8</v>
      </c>
      <c r="L60" s="76">
        <f t="shared" si="8"/>
        <v>24</v>
      </c>
      <c r="N60" s="79">
        <f t="shared" si="18"/>
        <v>52.36</v>
      </c>
      <c r="O60" s="80">
        <f t="shared" si="19"/>
        <v>42</v>
      </c>
      <c r="P60" s="81">
        <f t="shared" si="20"/>
        <v>0</v>
      </c>
      <c r="Q60" s="79">
        <f t="shared" si="21"/>
        <v>59.84</v>
      </c>
      <c r="R60" s="80">
        <f t="shared" si="22"/>
        <v>48</v>
      </c>
      <c r="S60" s="81">
        <f t="shared" si="23"/>
        <v>68</v>
      </c>
      <c r="T60" s="92">
        <f t="shared" si="24"/>
        <v>270.2</v>
      </c>
      <c r="U60" s="93">
        <f t="shared" si="16"/>
        <v>216.16</v>
      </c>
    </row>
    <row r="61" spans="1:21" x14ac:dyDescent="0.25">
      <c r="A61" s="71">
        <f t="shared" si="1"/>
        <v>2022</v>
      </c>
      <c r="B61" s="72"/>
      <c r="C61" s="73" t="str">
        <f t="shared" si="0"/>
        <v>QUARTA</v>
      </c>
      <c r="D61" s="74">
        <v>44909</v>
      </c>
      <c r="E61" s="89">
        <f t="shared" si="2"/>
        <v>7</v>
      </c>
      <c r="F61" s="90">
        <f t="shared" si="3"/>
        <v>7</v>
      </c>
      <c r="G61" s="91"/>
      <c r="H61" s="76">
        <f t="shared" si="4"/>
        <v>14</v>
      </c>
      <c r="I61" s="89">
        <f t="shared" si="5"/>
        <v>8</v>
      </c>
      <c r="J61" s="90">
        <f t="shared" si="6"/>
        <v>8</v>
      </c>
      <c r="K61" s="91">
        <f t="shared" si="7"/>
        <v>8</v>
      </c>
      <c r="L61" s="76">
        <f t="shared" si="8"/>
        <v>24</v>
      </c>
      <c r="N61" s="79">
        <f t="shared" si="18"/>
        <v>52.36</v>
      </c>
      <c r="O61" s="80">
        <f t="shared" si="19"/>
        <v>42</v>
      </c>
      <c r="P61" s="81">
        <f t="shared" si="20"/>
        <v>0</v>
      </c>
      <c r="Q61" s="79">
        <f t="shared" si="21"/>
        <v>59.84</v>
      </c>
      <c r="R61" s="80">
        <f t="shared" si="22"/>
        <v>48</v>
      </c>
      <c r="S61" s="81">
        <f t="shared" si="23"/>
        <v>68</v>
      </c>
      <c r="T61" s="92">
        <f t="shared" si="24"/>
        <v>270.2</v>
      </c>
      <c r="U61" s="93">
        <f t="shared" si="16"/>
        <v>216.16</v>
      </c>
    </row>
    <row r="62" spans="1:21" x14ac:dyDescent="0.25">
      <c r="A62" s="71">
        <f t="shared" si="1"/>
        <v>2022</v>
      </c>
      <c r="B62" s="72"/>
      <c r="C62" s="73" t="str">
        <f t="shared" si="0"/>
        <v>QUINTA</v>
      </c>
      <c r="D62" s="74">
        <v>44910</v>
      </c>
      <c r="E62" s="89">
        <f t="shared" si="2"/>
        <v>7</v>
      </c>
      <c r="F62" s="90">
        <f t="shared" si="3"/>
        <v>7</v>
      </c>
      <c r="G62" s="91"/>
      <c r="H62" s="76">
        <f t="shared" si="4"/>
        <v>14</v>
      </c>
      <c r="I62" s="89">
        <f t="shared" si="5"/>
        <v>8</v>
      </c>
      <c r="J62" s="90">
        <f t="shared" si="6"/>
        <v>8</v>
      </c>
      <c r="K62" s="91">
        <f t="shared" si="7"/>
        <v>8</v>
      </c>
      <c r="L62" s="76">
        <f t="shared" si="8"/>
        <v>24</v>
      </c>
      <c r="N62" s="79">
        <f t="shared" si="18"/>
        <v>52.36</v>
      </c>
      <c r="O62" s="80">
        <f t="shared" si="19"/>
        <v>42</v>
      </c>
      <c r="P62" s="81">
        <f t="shared" si="20"/>
        <v>0</v>
      </c>
      <c r="Q62" s="79">
        <f t="shared" si="21"/>
        <v>59.84</v>
      </c>
      <c r="R62" s="80">
        <f t="shared" si="22"/>
        <v>48</v>
      </c>
      <c r="S62" s="81">
        <f t="shared" si="23"/>
        <v>68</v>
      </c>
      <c r="T62" s="92">
        <f t="shared" si="24"/>
        <v>270.2</v>
      </c>
      <c r="U62" s="93">
        <f t="shared" si="16"/>
        <v>216.16</v>
      </c>
    </row>
    <row r="63" spans="1:21" x14ac:dyDescent="0.25">
      <c r="A63" s="71">
        <f t="shared" si="1"/>
        <v>2022</v>
      </c>
      <c r="B63" s="72"/>
      <c r="C63" s="73" t="str">
        <f t="shared" si="0"/>
        <v>SEXTA</v>
      </c>
      <c r="D63" s="74">
        <v>44911</v>
      </c>
      <c r="E63" s="89">
        <f t="shared" si="2"/>
        <v>7</v>
      </c>
      <c r="F63" s="90">
        <f t="shared" si="3"/>
        <v>7</v>
      </c>
      <c r="G63" s="91"/>
      <c r="H63" s="76">
        <f t="shared" si="4"/>
        <v>14</v>
      </c>
      <c r="I63" s="89">
        <f t="shared" si="5"/>
        <v>8</v>
      </c>
      <c r="J63" s="90">
        <f t="shared" si="6"/>
        <v>8</v>
      </c>
      <c r="K63" s="91">
        <f t="shared" si="7"/>
        <v>8</v>
      </c>
      <c r="L63" s="76">
        <f t="shared" si="8"/>
        <v>24</v>
      </c>
      <c r="N63" s="79">
        <f t="shared" si="18"/>
        <v>52.36</v>
      </c>
      <c r="O63" s="80">
        <f t="shared" si="19"/>
        <v>42</v>
      </c>
      <c r="P63" s="81">
        <f t="shared" si="20"/>
        <v>0</v>
      </c>
      <c r="Q63" s="79">
        <f t="shared" si="21"/>
        <v>59.84</v>
      </c>
      <c r="R63" s="80">
        <f t="shared" si="22"/>
        <v>48</v>
      </c>
      <c r="S63" s="81">
        <f t="shared" si="23"/>
        <v>68</v>
      </c>
      <c r="T63" s="92">
        <f t="shared" si="24"/>
        <v>270.2</v>
      </c>
      <c r="U63" s="93">
        <f t="shared" si="16"/>
        <v>216.16</v>
      </c>
    </row>
    <row r="64" spans="1:21" x14ac:dyDescent="0.25">
      <c r="A64" s="71">
        <f t="shared" si="1"/>
        <v>2022</v>
      </c>
      <c r="B64" s="72"/>
      <c r="C64" s="73" t="str">
        <f t="shared" si="0"/>
        <v>SÁBADO</v>
      </c>
      <c r="D64" s="74">
        <v>44912</v>
      </c>
      <c r="E64" s="89">
        <f t="shared" si="2"/>
        <v>0</v>
      </c>
      <c r="F64" s="90">
        <f t="shared" si="3"/>
        <v>7</v>
      </c>
      <c r="G64" s="91"/>
      <c r="H64" s="76">
        <f t="shared" si="4"/>
        <v>7</v>
      </c>
      <c r="I64" s="89">
        <f t="shared" si="5"/>
        <v>0</v>
      </c>
      <c r="J64" s="90">
        <f t="shared" si="6"/>
        <v>8</v>
      </c>
      <c r="K64" s="91">
        <f t="shared" si="7"/>
        <v>0</v>
      </c>
      <c r="L64" s="76">
        <f t="shared" si="8"/>
        <v>8</v>
      </c>
      <c r="N64" s="79">
        <f t="shared" si="18"/>
        <v>0</v>
      </c>
      <c r="O64" s="80">
        <f t="shared" si="19"/>
        <v>42</v>
      </c>
      <c r="P64" s="81">
        <f t="shared" si="20"/>
        <v>0</v>
      </c>
      <c r="Q64" s="79">
        <f t="shared" si="21"/>
        <v>0</v>
      </c>
      <c r="R64" s="80">
        <f t="shared" si="22"/>
        <v>48</v>
      </c>
      <c r="S64" s="81">
        <f t="shared" si="23"/>
        <v>0</v>
      </c>
      <c r="T64" s="92">
        <f t="shared" si="24"/>
        <v>90</v>
      </c>
      <c r="U64" s="93">
        <f t="shared" si="16"/>
        <v>72</v>
      </c>
    </row>
    <row r="65" spans="1:21" x14ac:dyDescent="0.25">
      <c r="A65" s="71">
        <f t="shared" si="1"/>
        <v>2022</v>
      </c>
      <c r="B65" s="72"/>
      <c r="C65" s="73" t="str">
        <f t="shared" si="0"/>
        <v>DOMINGO</v>
      </c>
      <c r="D65" s="74">
        <v>44913</v>
      </c>
      <c r="E65" s="89">
        <f t="shared" si="2"/>
        <v>0</v>
      </c>
      <c r="F65" s="90">
        <f t="shared" si="3"/>
        <v>0</v>
      </c>
      <c r="G65" s="91"/>
      <c r="H65" s="76">
        <f t="shared" si="4"/>
        <v>0</v>
      </c>
      <c r="I65" s="89">
        <f t="shared" si="5"/>
        <v>0</v>
      </c>
      <c r="J65" s="90">
        <f t="shared" si="6"/>
        <v>0</v>
      </c>
      <c r="K65" s="91">
        <f t="shared" si="7"/>
        <v>0</v>
      </c>
      <c r="L65" s="76">
        <f t="shared" si="8"/>
        <v>0</v>
      </c>
      <c r="N65" s="79">
        <f t="shared" si="18"/>
        <v>0</v>
      </c>
      <c r="O65" s="80">
        <f t="shared" si="19"/>
        <v>0</v>
      </c>
      <c r="P65" s="81">
        <f t="shared" si="20"/>
        <v>0</v>
      </c>
      <c r="Q65" s="79">
        <f t="shared" si="21"/>
        <v>0</v>
      </c>
      <c r="R65" s="80">
        <f t="shared" si="22"/>
        <v>0</v>
      </c>
      <c r="S65" s="81">
        <f t="shared" si="23"/>
        <v>0</v>
      </c>
      <c r="T65" s="92">
        <f t="shared" si="24"/>
        <v>0</v>
      </c>
      <c r="U65" s="93">
        <f t="shared" si="16"/>
        <v>0</v>
      </c>
    </row>
    <row r="66" spans="1:21" x14ac:dyDescent="0.25">
      <c r="A66" s="71">
        <f t="shared" si="1"/>
        <v>2022</v>
      </c>
      <c r="B66" s="72"/>
      <c r="C66" s="73" t="str">
        <f t="shared" si="0"/>
        <v>SEGUNDA</v>
      </c>
      <c r="D66" s="74">
        <v>44914</v>
      </c>
      <c r="E66" s="89">
        <f t="shared" si="2"/>
        <v>7</v>
      </c>
      <c r="F66" s="90">
        <f t="shared" si="3"/>
        <v>7</v>
      </c>
      <c r="G66" s="91"/>
      <c r="H66" s="76">
        <f t="shared" si="4"/>
        <v>14</v>
      </c>
      <c r="I66" s="89">
        <f t="shared" si="5"/>
        <v>8</v>
      </c>
      <c r="J66" s="90">
        <f t="shared" si="6"/>
        <v>8</v>
      </c>
      <c r="K66" s="91">
        <f t="shared" si="7"/>
        <v>8</v>
      </c>
      <c r="L66" s="76">
        <f t="shared" si="8"/>
        <v>24</v>
      </c>
      <c r="N66" s="79">
        <f t="shared" si="18"/>
        <v>52.36</v>
      </c>
      <c r="O66" s="80">
        <f t="shared" si="19"/>
        <v>42</v>
      </c>
      <c r="P66" s="81">
        <f t="shared" si="20"/>
        <v>0</v>
      </c>
      <c r="Q66" s="79">
        <f t="shared" si="21"/>
        <v>59.84</v>
      </c>
      <c r="R66" s="80">
        <f t="shared" si="22"/>
        <v>48</v>
      </c>
      <c r="S66" s="81">
        <f t="shared" si="23"/>
        <v>68</v>
      </c>
      <c r="T66" s="92">
        <f t="shared" si="24"/>
        <v>270.2</v>
      </c>
      <c r="U66" s="93">
        <f t="shared" si="16"/>
        <v>216.16</v>
      </c>
    </row>
    <row r="67" spans="1:21" x14ac:dyDescent="0.25">
      <c r="A67" s="71">
        <f t="shared" si="1"/>
        <v>2022</v>
      </c>
      <c r="B67" s="72"/>
      <c r="C67" s="73" t="str">
        <f t="shared" si="0"/>
        <v>TERÇA</v>
      </c>
      <c r="D67" s="74">
        <v>44915</v>
      </c>
      <c r="E67" s="89">
        <f t="shared" si="2"/>
        <v>7</v>
      </c>
      <c r="F67" s="90">
        <f t="shared" si="3"/>
        <v>7</v>
      </c>
      <c r="G67" s="91"/>
      <c r="H67" s="76">
        <f t="shared" si="4"/>
        <v>14</v>
      </c>
      <c r="I67" s="89">
        <f t="shared" si="5"/>
        <v>8</v>
      </c>
      <c r="J67" s="90">
        <f t="shared" si="6"/>
        <v>8</v>
      </c>
      <c r="K67" s="91">
        <f t="shared" si="7"/>
        <v>8</v>
      </c>
      <c r="L67" s="76">
        <f t="shared" si="8"/>
        <v>24</v>
      </c>
      <c r="N67" s="79">
        <f t="shared" si="18"/>
        <v>52.36</v>
      </c>
      <c r="O67" s="80">
        <f t="shared" si="19"/>
        <v>42</v>
      </c>
      <c r="P67" s="81">
        <f t="shared" si="20"/>
        <v>0</v>
      </c>
      <c r="Q67" s="79">
        <f t="shared" si="21"/>
        <v>59.84</v>
      </c>
      <c r="R67" s="80">
        <f t="shared" si="22"/>
        <v>48</v>
      </c>
      <c r="S67" s="81">
        <f t="shared" si="23"/>
        <v>68</v>
      </c>
      <c r="T67" s="92">
        <f t="shared" si="24"/>
        <v>270.2</v>
      </c>
      <c r="U67" s="93">
        <f t="shared" si="16"/>
        <v>216.16</v>
      </c>
    </row>
    <row r="68" spans="1:21" x14ac:dyDescent="0.25">
      <c r="A68" s="71">
        <f t="shared" si="1"/>
        <v>2022</v>
      </c>
      <c r="B68" s="72"/>
      <c r="C68" s="73" t="str">
        <f t="shared" si="0"/>
        <v>QUARTA</v>
      </c>
      <c r="D68" s="74">
        <v>44916</v>
      </c>
      <c r="E68" s="89">
        <f t="shared" si="2"/>
        <v>7</v>
      </c>
      <c r="F68" s="90">
        <f t="shared" si="3"/>
        <v>7</v>
      </c>
      <c r="G68" s="91"/>
      <c r="H68" s="76">
        <f t="shared" si="4"/>
        <v>14</v>
      </c>
      <c r="I68" s="89">
        <f t="shared" si="5"/>
        <v>8</v>
      </c>
      <c r="J68" s="90">
        <f t="shared" si="6"/>
        <v>8</v>
      </c>
      <c r="K68" s="91">
        <f t="shared" si="7"/>
        <v>8</v>
      </c>
      <c r="L68" s="76">
        <f t="shared" si="8"/>
        <v>24</v>
      </c>
      <c r="N68" s="79">
        <f t="shared" si="18"/>
        <v>52.36</v>
      </c>
      <c r="O68" s="80">
        <f t="shared" si="19"/>
        <v>42</v>
      </c>
      <c r="P68" s="81">
        <f t="shared" si="20"/>
        <v>0</v>
      </c>
      <c r="Q68" s="79">
        <f t="shared" si="21"/>
        <v>59.84</v>
      </c>
      <c r="R68" s="80">
        <f t="shared" si="22"/>
        <v>48</v>
      </c>
      <c r="S68" s="81">
        <f t="shared" si="23"/>
        <v>68</v>
      </c>
      <c r="T68" s="92">
        <f t="shared" si="24"/>
        <v>270.2</v>
      </c>
      <c r="U68" s="93">
        <f t="shared" si="16"/>
        <v>216.16</v>
      </c>
    </row>
    <row r="69" spans="1:21" x14ac:dyDescent="0.25">
      <c r="A69" s="71">
        <f t="shared" si="1"/>
        <v>2022</v>
      </c>
      <c r="B69" s="72"/>
      <c r="C69" s="73" t="str">
        <f t="shared" ref="C69:C132" si="25">VLOOKUP(WEEKDAY(D69),$AE$2:$AF$9,2,0)</f>
        <v>QUINTA</v>
      </c>
      <c r="D69" s="74">
        <v>44917</v>
      </c>
      <c r="E69" s="89">
        <f t="shared" si="2"/>
        <v>7</v>
      </c>
      <c r="F69" s="90">
        <f t="shared" si="3"/>
        <v>7</v>
      </c>
      <c r="G69" s="91"/>
      <c r="H69" s="76">
        <f t="shared" si="4"/>
        <v>14</v>
      </c>
      <c r="I69" s="89">
        <f t="shared" si="5"/>
        <v>8</v>
      </c>
      <c r="J69" s="90">
        <f t="shared" si="6"/>
        <v>8</v>
      </c>
      <c r="K69" s="91">
        <f t="shared" si="7"/>
        <v>8</v>
      </c>
      <c r="L69" s="76">
        <f t="shared" si="8"/>
        <v>24</v>
      </c>
      <c r="N69" s="79">
        <f t="shared" si="18"/>
        <v>52.36</v>
      </c>
      <c r="O69" s="80">
        <f t="shared" si="19"/>
        <v>42</v>
      </c>
      <c r="P69" s="81">
        <f t="shared" si="20"/>
        <v>0</v>
      </c>
      <c r="Q69" s="79">
        <f t="shared" si="21"/>
        <v>59.84</v>
      </c>
      <c r="R69" s="80">
        <f t="shared" si="22"/>
        <v>48</v>
      </c>
      <c r="S69" s="81">
        <f t="shared" si="23"/>
        <v>68</v>
      </c>
      <c r="T69" s="92">
        <f t="shared" si="24"/>
        <v>270.2</v>
      </c>
      <c r="U69" s="93">
        <f t="shared" si="16"/>
        <v>216.16</v>
      </c>
    </row>
    <row r="70" spans="1:21" x14ac:dyDescent="0.25">
      <c r="A70" s="71">
        <f t="shared" ref="A70:A133" si="26">YEAR(D70)</f>
        <v>2022</v>
      </c>
      <c r="B70" s="72"/>
      <c r="C70" s="73" t="str">
        <f t="shared" si="25"/>
        <v>SEXTA</v>
      </c>
      <c r="D70" s="74">
        <v>44918</v>
      </c>
      <c r="E70" s="89">
        <f t="shared" ref="E70:E133" si="27">IF(WEEKDAY($D70)&lt;2,0,IF(WEEKDAY($D70)&gt;6,0,7))</f>
        <v>7</v>
      </c>
      <c r="F70" s="90">
        <f t="shared" ref="F70:F133" si="28">IF(WEEKDAY($D70)&lt;2,0,IF(WEEKDAY($D70)&gt;7,0,7))</f>
        <v>7</v>
      </c>
      <c r="G70" s="91"/>
      <c r="H70" s="76">
        <f t="shared" ref="H70:H133" si="29">SUM(E70:G70)</f>
        <v>14</v>
      </c>
      <c r="I70" s="89">
        <f t="shared" si="5"/>
        <v>8</v>
      </c>
      <c r="J70" s="90">
        <f t="shared" si="6"/>
        <v>8</v>
      </c>
      <c r="K70" s="91">
        <f t="shared" si="7"/>
        <v>8</v>
      </c>
      <c r="L70" s="76">
        <f t="shared" si="8"/>
        <v>24</v>
      </c>
      <c r="N70" s="79">
        <f t="shared" si="18"/>
        <v>52.36</v>
      </c>
      <c r="O70" s="80">
        <f t="shared" si="19"/>
        <v>42</v>
      </c>
      <c r="P70" s="81">
        <f t="shared" si="20"/>
        <v>0</v>
      </c>
      <c r="Q70" s="79">
        <f t="shared" si="21"/>
        <v>59.84</v>
      </c>
      <c r="R70" s="80">
        <f t="shared" si="22"/>
        <v>48</v>
      </c>
      <c r="S70" s="81">
        <f t="shared" si="23"/>
        <v>68</v>
      </c>
      <c r="T70" s="92">
        <f t="shared" si="24"/>
        <v>270.2</v>
      </c>
      <c r="U70" s="93">
        <f t="shared" si="16"/>
        <v>216.16</v>
      </c>
    </row>
    <row r="71" spans="1:21" x14ac:dyDescent="0.25">
      <c r="A71" s="71">
        <f t="shared" si="26"/>
        <v>2022</v>
      </c>
      <c r="B71" s="72"/>
      <c r="C71" s="73" t="str">
        <f t="shared" si="25"/>
        <v>SÁBADO</v>
      </c>
      <c r="D71" s="74">
        <v>44919</v>
      </c>
      <c r="E71" s="89">
        <f t="shared" si="27"/>
        <v>0</v>
      </c>
      <c r="F71" s="90">
        <f t="shared" si="28"/>
        <v>7</v>
      </c>
      <c r="G71" s="91"/>
      <c r="H71" s="76">
        <f t="shared" si="29"/>
        <v>7</v>
      </c>
      <c r="I71" s="89">
        <f t="shared" ref="I71:I134" si="30">IF(WEEKDAY($D71)&lt;2,0,IF(WEEKDAY($D71)&gt;6,0,8))</f>
        <v>0</v>
      </c>
      <c r="J71" s="90">
        <f t="shared" ref="J71:J134" si="31">IF(WEEKDAY($D71)&lt;2,0,IF(WEEKDAY($D71)&gt;7,0,8))</f>
        <v>8</v>
      </c>
      <c r="K71" s="91">
        <f t="shared" ref="K71:K134" si="32">IF(WEEKDAY($D71)&lt;2,0,IF(WEEKDAY($D71)&gt;6,0,8))</f>
        <v>0</v>
      </c>
      <c r="L71" s="76">
        <f t="shared" ref="L71:L134" si="33">SUM(I71:K71)</f>
        <v>8</v>
      </c>
      <c r="N71" s="79">
        <f t="shared" si="18"/>
        <v>0</v>
      </c>
      <c r="O71" s="80">
        <f t="shared" si="19"/>
        <v>42</v>
      </c>
      <c r="P71" s="81">
        <f t="shared" si="20"/>
        <v>0</v>
      </c>
      <c r="Q71" s="79">
        <f t="shared" si="21"/>
        <v>0</v>
      </c>
      <c r="R71" s="80">
        <f t="shared" si="22"/>
        <v>48</v>
      </c>
      <c r="S71" s="81">
        <f t="shared" si="23"/>
        <v>0</v>
      </c>
      <c r="T71" s="92">
        <f t="shared" si="24"/>
        <v>90</v>
      </c>
      <c r="U71" s="93">
        <f t="shared" ref="U71:U134" si="34">T71*0.8</f>
        <v>72</v>
      </c>
    </row>
    <row r="72" spans="1:21" x14ac:dyDescent="0.25">
      <c r="A72" s="71">
        <f t="shared" si="26"/>
        <v>2022</v>
      </c>
      <c r="B72" s="72"/>
      <c r="C72" s="73" t="str">
        <f t="shared" si="25"/>
        <v>DOMINGO</v>
      </c>
      <c r="D72" s="74">
        <v>44920</v>
      </c>
      <c r="E72" s="89">
        <f t="shared" si="27"/>
        <v>0</v>
      </c>
      <c r="F72" s="90">
        <f t="shared" si="28"/>
        <v>0</v>
      </c>
      <c r="G72" s="91"/>
      <c r="H72" s="76">
        <f t="shared" si="29"/>
        <v>0</v>
      </c>
      <c r="I72" s="89">
        <f t="shared" si="30"/>
        <v>0</v>
      </c>
      <c r="J72" s="90">
        <f t="shared" si="31"/>
        <v>0</v>
      </c>
      <c r="K72" s="91">
        <f t="shared" si="32"/>
        <v>0</v>
      </c>
      <c r="L72" s="76">
        <f t="shared" si="33"/>
        <v>0</v>
      </c>
      <c r="N72" s="79">
        <f t="shared" si="18"/>
        <v>0</v>
      </c>
      <c r="O72" s="80">
        <f t="shared" si="19"/>
        <v>0</v>
      </c>
      <c r="P72" s="81">
        <f t="shared" si="20"/>
        <v>0</v>
      </c>
      <c r="Q72" s="79">
        <f t="shared" si="21"/>
        <v>0</v>
      </c>
      <c r="R72" s="80">
        <f t="shared" si="22"/>
        <v>0</v>
      </c>
      <c r="S72" s="81">
        <f t="shared" si="23"/>
        <v>0</v>
      </c>
      <c r="T72" s="92">
        <f t="shared" si="24"/>
        <v>0</v>
      </c>
      <c r="U72" s="93">
        <f t="shared" si="34"/>
        <v>0</v>
      </c>
    </row>
    <row r="73" spans="1:21" x14ac:dyDescent="0.25">
      <c r="A73" s="71">
        <f t="shared" si="26"/>
        <v>2022</v>
      </c>
      <c r="B73" s="72"/>
      <c r="C73" s="73" t="str">
        <f t="shared" si="25"/>
        <v>SEGUNDA</v>
      </c>
      <c r="D73" s="74">
        <v>44921</v>
      </c>
      <c r="E73" s="89">
        <f t="shared" si="27"/>
        <v>7</v>
      </c>
      <c r="F73" s="90">
        <f t="shared" si="28"/>
        <v>7</v>
      </c>
      <c r="G73" s="91"/>
      <c r="H73" s="76">
        <f t="shared" si="29"/>
        <v>14</v>
      </c>
      <c r="I73" s="89">
        <f t="shared" si="30"/>
        <v>8</v>
      </c>
      <c r="J73" s="90">
        <f t="shared" si="31"/>
        <v>8</v>
      </c>
      <c r="K73" s="91">
        <f t="shared" si="32"/>
        <v>8</v>
      </c>
      <c r="L73" s="76">
        <f t="shared" si="33"/>
        <v>24</v>
      </c>
      <c r="N73" s="79">
        <f t="shared" si="18"/>
        <v>52.36</v>
      </c>
      <c r="O73" s="80">
        <f t="shared" si="19"/>
        <v>42</v>
      </c>
      <c r="P73" s="81">
        <f t="shared" si="20"/>
        <v>0</v>
      </c>
      <c r="Q73" s="79">
        <f t="shared" si="21"/>
        <v>59.84</v>
      </c>
      <c r="R73" s="80">
        <f t="shared" si="22"/>
        <v>48</v>
      </c>
      <c r="S73" s="81">
        <f t="shared" si="23"/>
        <v>68</v>
      </c>
      <c r="T73" s="92">
        <f t="shared" si="24"/>
        <v>270.2</v>
      </c>
      <c r="U73" s="93">
        <f t="shared" si="34"/>
        <v>216.16</v>
      </c>
    </row>
    <row r="74" spans="1:21" x14ac:dyDescent="0.25">
      <c r="A74" s="71">
        <f t="shared" si="26"/>
        <v>2022</v>
      </c>
      <c r="B74" s="72"/>
      <c r="C74" s="73" t="str">
        <f t="shared" si="25"/>
        <v>TERÇA</v>
      </c>
      <c r="D74" s="74">
        <v>44922</v>
      </c>
      <c r="E74" s="89">
        <f t="shared" si="27"/>
        <v>7</v>
      </c>
      <c r="F74" s="90">
        <f t="shared" si="28"/>
        <v>7</v>
      </c>
      <c r="G74" s="91"/>
      <c r="H74" s="76">
        <f t="shared" si="29"/>
        <v>14</v>
      </c>
      <c r="I74" s="89">
        <f t="shared" si="30"/>
        <v>8</v>
      </c>
      <c r="J74" s="90">
        <f t="shared" si="31"/>
        <v>8</v>
      </c>
      <c r="K74" s="91">
        <f t="shared" si="32"/>
        <v>8</v>
      </c>
      <c r="L74" s="76">
        <f t="shared" si="33"/>
        <v>24</v>
      </c>
      <c r="N74" s="79">
        <f t="shared" si="18"/>
        <v>52.36</v>
      </c>
      <c r="O74" s="80">
        <f t="shared" si="19"/>
        <v>42</v>
      </c>
      <c r="P74" s="81">
        <f t="shared" si="20"/>
        <v>0</v>
      </c>
      <c r="Q74" s="79">
        <f t="shared" si="21"/>
        <v>59.84</v>
      </c>
      <c r="R74" s="80">
        <f t="shared" si="22"/>
        <v>48</v>
      </c>
      <c r="S74" s="81">
        <f t="shared" si="23"/>
        <v>68</v>
      </c>
      <c r="T74" s="92">
        <f t="shared" si="24"/>
        <v>270.2</v>
      </c>
      <c r="U74" s="93">
        <f t="shared" si="34"/>
        <v>216.16</v>
      </c>
    </row>
    <row r="75" spans="1:21" x14ac:dyDescent="0.25">
      <c r="A75" s="71">
        <f t="shared" si="26"/>
        <v>2022</v>
      </c>
      <c r="B75" s="72"/>
      <c r="C75" s="73" t="str">
        <f t="shared" si="25"/>
        <v>QUARTA</v>
      </c>
      <c r="D75" s="74">
        <v>44923</v>
      </c>
      <c r="E75" s="89">
        <f t="shared" si="27"/>
        <v>7</v>
      </c>
      <c r="F75" s="90">
        <f t="shared" si="28"/>
        <v>7</v>
      </c>
      <c r="G75" s="91"/>
      <c r="H75" s="76">
        <f t="shared" si="29"/>
        <v>14</v>
      </c>
      <c r="I75" s="89">
        <f t="shared" si="30"/>
        <v>8</v>
      </c>
      <c r="J75" s="90">
        <f t="shared" si="31"/>
        <v>8</v>
      </c>
      <c r="K75" s="91">
        <f t="shared" si="32"/>
        <v>8</v>
      </c>
      <c r="L75" s="76">
        <f t="shared" si="33"/>
        <v>24</v>
      </c>
      <c r="N75" s="79">
        <f t="shared" si="18"/>
        <v>52.36</v>
      </c>
      <c r="O75" s="80">
        <f t="shared" si="19"/>
        <v>42</v>
      </c>
      <c r="P75" s="81">
        <f t="shared" si="20"/>
        <v>0</v>
      </c>
      <c r="Q75" s="79">
        <f t="shared" si="21"/>
        <v>59.84</v>
      </c>
      <c r="R75" s="80">
        <f t="shared" si="22"/>
        <v>48</v>
      </c>
      <c r="S75" s="81">
        <f t="shared" si="23"/>
        <v>68</v>
      </c>
      <c r="T75" s="92">
        <f t="shared" si="24"/>
        <v>270.2</v>
      </c>
      <c r="U75" s="93">
        <f t="shared" si="34"/>
        <v>216.16</v>
      </c>
    </row>
    <row r="76" spans="1:21" x14ac:dyDescent="0.25">
      <c r="A76" s="71">
        <f t="shared" si="26"/>
        <v>2022</v>
      </c>
      <c r="B76" s="72"/>
      <c r="C76" s="73" t="str">
        <f t="shared" si="25"/>
        <v>QUINTA</v>
      </c>
      <c r="D76" s="74">
        <v>44924</v>
      </c>
      <c r="E76" s="89">
        <f t="shared" si="27"/>
        <v>7</v>
      </c>
      <c r="F76" s="90">
        <f t="shared" si="28"/>
        <v>7</v>
      </c>
      <c r="G76" s="91"/>
      <c r="H76" s="76">
        <f t="shared" si="29"/>
        <v>14</v>
      </c>
      <c r="I76" s="89">
        <f t="shared" si="30"/>
        <v>8</v>
      </c>
      <c r="J76" s="90">
        <f t="shared" si="31"/>
        <v>8</v>
      </c>
      <c r="K76" s="91">
        <f t="shared" si="32"/>
        <v>8</v>
      </c>
      <c r="L76" s="76">
        <f t="shared" si="33"/>
        <v>24</v>
      </c>
      <c r="N76" s="79">
        <f t="shared" si="18"/>
        <v>52.36</v>
      </c>
      <c r="O76" s="80">
        <f t="shared" si="19"/>
        <v>42</v>
      </c>
      <c r="P76" s="81">
        <f t="shared" si="20"/>
        <v>0</v>
      </c>
      <c r="Q76" s="79">
        <f t="shared" si="21"/>
        <v>59.84</v>
      </c>
      <c r="R76" s="80">
        <f t="shared" si="22"/>
        <v>48</v>
      </c>
      <c r="S76" s="81">
        <f t="shared" si="23"/>
        <v>68</v>
      </c>
      <c r="T76" s="92">
        <f t="shared" si="24"/>
        <v>270.2</v>
      </c>
      <c r="U76" s="93">
        <f t="shared" si="34"/>
        <v>216.16</v>
      </c>
    </row>
    <row r="77" spans="1:21" x14ac:dyDescent="0.25">
      <c r="A77" s="71">
        <f t="shared" si="26"/>
        <v>2022</v>
      </c>
      <c r="B77" s="72"/>
      <c r="C77" s="73" t="str">
        <f t="shared" si="25"/>
        <v>SEXTA</v>
      </c>
      <c r="D77" s="74">
        <v>44925</v>
      </c>
      <c r="E77" s="89">
        <f t="shared" si="27"/>
        <v>7</v>
      </c>
      <c r="F77" s="90">
        <f t="shared" si="28"/>
        <v>7</v>
      </c>
      <c r="G77" s="91"/>
      <c r="H77" s="76">
        <f t="shared" si="29"/>
        <v>14</v>
      </c>
      <c r="I77" s="89">
        <f t="shared" si="30"/>
        <v>8</v>
      </c>
      <c r="J77" s="90">
        <f t="shared" si="31"/>
        <v>8</v>
      </c>
      <c r="K77" s="91">
        <f t="shared" si="32"/>
        <v>8</v>
      </c>
      <c r="L77" s="76">
        <f t="shared" si="33"/>
        <v>24</v>
      </c>
      <c r="N77" s="79">
        <f t="shared" si="18"/>
        <v>52.36</v>
      </c>
      <c r="O77" s="80">
        <f t="shared" si="19"/>
        <v>42</v>
      </c>
      <c r="P77" s="81">
        <f t="shared" si="20"/>
        <v>0</v>
      </c>
      <c r="Q77" s="79">
        <f t="shared" si="21"/>
        <v>59.84</v>
      </c>
      <c r="R77" s="80">
        <f t="shared" si="22"/>
        <v>48</v>
      </c>
      <c r="S77" s="81">
        <f t="shared" si="23"/>
        <v>68</v>
      </c>
      <c r="T77" s="92">
        <f t="shared" si="24"/>
        <v>270.2</v>
      </c>
      <c r="U77" s="93">
        <f t="shared" si="34"/>
        <v>216.16</v>
      </c>
    </row>
    <row r="78" spans="1:21" x14ac:dyDescent="0.25">
      <c r="A78" s="71">
        <f t="shared" si="26"/>
        <v>2022</v>
      </c>
      <c r="B78" s="72"/>
      <c r="C78" s="73" t="str">
        <f t="shared" si="25"/>
        <v>SÁBADO</v>
      </c>
      <c r="D78" s="74">
        <v>44926</v>
      </c>
      <c r="E78" s="89">
        <f t="shared" si="27"/>
        <v>0</v>
      </c>
      <c r="F78" s="90">
        <f t="shared" si="28"/>
        <v>7</v>
      </c>
      <c r="G78" s="91"/>
      <c r="H78" s="76">
        <f t="shared" si="29"/>
        <v>7</v>
      </c>
      <c r="I78" s="89">
        <f t="shared" si="30"/>
        <v>0</v>
      </c>
      <c r="J78" s="90">
        <f t="shared" si="31"/>
        <v>8</v>
      </c>
      <c r="K78" s="91">
        <f t="shared" si="32"/>
        <v>0</v>
      </c>
      <c r="L78" s="76">
        <f t="shared" si="33"/>
        <v>8</v>
      </c>
      <c r="N78" s="79">
        <f t="shared" si="18"/>
        <v>0</v>
      </c>
      <c r="O78" s="80">
        <f t="shared" si="19"/>
        <v>42</v>
      </c>
      <c r="P78" s="81">
        <f t="shared" si="20"/>
        <v>0</v>
      </c>
      <c r="Q78" s="79">
        <f t="shared" si="21"/>
        <v>0</v>
      </c>
      <c r="R78" s="80">
        <f t="shared" si="22"/>
        <v>48</v>
      </c>
      <c r="S78" s="81">
        <f t="shared" si="23"/>
        <v>0</v>
      </c>
      <c r="T78" s="92">
        <f t="shared" si="24"/>
        <v>90</v>
      </c>
      <c r="U78" s="93">
        <f t="shared" si="34"/>
        <v>72</v>
      </c>
    </row>
    <row r="79" spans="1:21" x14ac:dyDescent="0.25">
      <c r="A79" s="71">
        <f t="shared" si="26"/>
        <v>2023</v>
      </c>
      <c r="B79" s="72"/>
      <c r="C79" s="73" t="str">
        <f t="shared" si="25"/>
        <v>DOMINGO</v>
      </c>
      <c r="D79" s="74">
        <v>44927</v>
      </c>
      <c r="E79" s="89">
        <f t="shared" si="27"/>
        <v>0</v>
      </c>
      <c r="F79" s="90">
        <f t="shared" si="28"/>
        <v>0</v>
      </c>
      <c r="G79" s="91"/>
      <c r="H79" s="76">
        <f t="shared" si="29"/>
        <v>0</v>
      </c>
      <c r="I79" s="89">
        <f t="shared" si="30"/>
        <v>0</v>
      </c>
      <c r="J79" s="90">
        <f t="shared" si="31"/>
        <v>0</v>
      </c>
      <c r="K79" s="91">
        <f t="shared" si="32"/>
        <v>0</v>
      </c>
      <c r="L79" s="76">
        <f t="shared" si="33"/>
        <v>0</v>
      </c>
      <c r="N79" s="79">
        <f t="shared" si="18"/>
        <v>0</v>
      </c>
      <c r="O79" s="80">
        <f t="shared" si="19"/>
        <v>0</v>
      </c>
      <c r="P79" s="81">
        <f t="shared" si="20"/>
        <v>0</v>
      </c>
      <c r="Q79" s="79">
        <f t="shared" si="21"/>
        <v>0</v>
      </c>
      <c r="R79" s="80">
        <f t="shared" si="22"/>
        <v>0</v>
      </c>
      <c r="S79" s="81">
        <f t="shared" si="23"/>
        <v>0</v>
      </c>
      <c r="T79" s="92">
        <f t="shared" si="24"/>
        <v>0</v>
      </c>
      <c r="U79" s="93">
        <f t="shared" si="34"/>
        <v>0</v>
      </c>
    </row>
    <row r="80" spans="1:21" x14ac:dyDescent="0.25">
      <c r="A80" s="71">
        <f t="shared" si="26"/>
        <v>2023</v>
      </c>
      <c r="B80" s="72"/>
      <c r="C80" s="73" t="str">
        <f t="shared" si="25"/>
        <v>SEGUNDA</v>
      </c>
      <c r="D80" s="74">
        <v>44928</v>
      </c>
      <c r="E80" s="89">
        <f t="shared" si="27"/>
        <v>7</v>
      </c>
      <c r="F80" s="90">
        <f t="shared" si="28"/>
        <v>7</v>
      </c>
      <c r="G80" s="91"/>
      <c r="H80" s="76">
        <f t="shared" si="29"/>
        <v>14</v>
      </c>
      <c r="I80" s="89">
        <f t="shared" si="30"/>
        <v>8</v>
      </c>
      <c r="J80" s="90">
        <f t="shared" si="31"/>
        <v>8</v>
      </c>
      <c r="K80" s="91">
        <f t="shared" si="32"/>
        <v>8</v>
      </c>
      <c r="L80" s="76">
        <f t="shared" si="33"/>
        <v>24</v>
      </c>
      <c r="N80" s="79">
        <f t="shared" si="18"/>
        <v>52.36</v>
      </c>
      <c r="O80" s="80">
        <f t="shared" si="19"/>
        <v>42</v>
      </c>
      <c r="P80" s="81">
        <f t="shared" si="20"/>
        <v>0</v>
      </c>
      <c r="Q80" s="79">
        <f t="shared" si="21"/>
        <v>59.84</v>
      </c>
      <c r="R80" s="80">
        <f t="shared" si="22"/>
        <v>48</v>
      </c>
      <c r="S80" s="81">
        <f t="shared" si="23"/>
        <v>68</v>
      </c>
      <c r="T80" s="92">
        <f t="shared" si="24"/>
        <v>270.2</v>
      </c>
      <c r="U80" s="93">
        <f t="shared" si="34"/>
        <v>216.16</v>
      </c>
    </row>
    <row r="81" spans="1:21" x14ac:dyDescent="0.25">
      <c r="A81" s="71">
        <f t="shared" si="26"/>
        <v>2023</v>
      </c>
      <c r="B81" s="72"/>
      <c r="C81" s="73" t="str">
        <f t="shared" si="25"/>
        <v>TERÇA</v>
      </c>
      <c r="D81" s="74">
        <v>44929</v>
      </c>
      <c r="E81" s="89">
        <f t="shared" si="27"/>
        <v>7</v>
      </c>
      <c r="F81" s="90">
        <f t="shared" si="28"/>
        <v>7</v>
      </c>
      <c r="G81" s="91"/>
      <c r="H81" s="76">
        <f t="shared" si="29"/>
        <v>14</v>
      </c>
      <c r="I81" s="89">
        <f t="shared" si="30"/>
        <v>8</v>
      </c>
      <c r="J81" s="90">
        <f t="shared" si="31"/>
        <v>8</v>
      </c>
      <c r="K81" s="91">
        <f t="shared" si="32"/>
        <v>8</v>
      </c>
      <c r="L81" s="76">
        <f t="shared" si="33"/>
        <v>24</v>
      </c>
      <c r="N81" s="79">
        <f t="shared" si="18"/>
        <v>52.36</v>
      </c>
      <c r="O81" s="80">
        <f t="shared" si="19"/>
        <v>42</v>
      </c>
      <c r="P81" s="81">
        <f t="shared" si="20"/>
        <v>0</v>
      </c>
      <c r="Q81" s="79">
        <f t="shared" si="21"/>
        <v>59.84</v>
      </c>
      <c r="R81" s="80">
        <f t="shared" si="22"/>
        <v>48</v>
      </c>
      <c r="S81" s="81">
        <f t="shared" si="23"/>
        <v>68</v>
      </c>
      <c r="T81" s="92">
        <f t="shared" si="24"/>
        <v>270.2</v>
      </c>
      <c r="U81" s="93">
        <f t="shared" si="34"/>
        <v>216.16</v>
      </c>
    </row>
    <row r="82" spans="1:21" x14ac:dyDescent="0.25">
      <c r="A82" s="71">
        <f t="shared" si="26"/>
        <v>2023</v>
      </c>
      <c r="B82" s="72"/>
      <c r="C82" s="73" t="str">
        <f t="shared" si="25"/>
        <v>QUARTA</v>
      </c>
      <c r="D82" s="74">
        <v>44930</v>
      </c>
      <c r="E82" s="89">
        <f t="shared" si="27"/>
        <v>7</v>
      </c>
      <c r="F82" s="90">
        <f t="shared" si="28"/>
        <v>7</v>
      </c>
      <c r="G82" s="91"/>
      <c r="H82" s="76">
        <f t="shared" si="29"/>
        <v>14</v>
      </c>
      <c r="I82" s="89">
        <f t="shared" si="30"/>
        <v>8</v>
      </c>
      <c r="J82" s="90">
        <f t="shared" si="31"/>
        <v>8</v>
      </c>
      <c r="K82" s="91">
        <f t="shared" si="32"/>
        <v>8</v>
      </c>
      <c r="L82" s="76">
        <f t="shared" si="33"/>
        <v>24</v>
      </c>
      <c r="N82" s="79">
        <f t="shared" si="18"/>
        <v>52.36</v>
      </c>
      <c r="O82" s="80">
        <f t="shared" si="19"/>
        <v>42</v>
      </c>
      <c r="P82" s="81">
        <f t="shared" si="20"/>
        <v>0</v>
      </c>
      <c r="Q82" s="79">
        <f t="shared" si="21"/>
        <v>59.84</v>
      </c>
      <c r="R82" s="80">
        <f t="shared" si="22"/>
        <v>48</v>
      </c>
      <c r="S82" s="81">
        <f t="shared" si="23"/>
        <v>68</v>
      </c>
      <c r="T82" s="92">
        <f t="shared" si="24"/>
        <v>270.2</v>
      </c>
      <c r="U82" s="93">
        <f t="shared" si="34"/>
        <v>216.16</v>
      </c>
    </row>
    <row r="83" spans="1:21" x14ac:dyDescent="0.25">
      <c r="A83" s="71">
        <f t="shared" si="26"/>
        <v>2023</v>
      </c>
      <c r="B83" s="72"/>
      <c r="C83" s="73" t="str">
        <f t="shared" si="25"/>
        <v>QUINTA</v>
      </c>
      <c r="D83" s="74">
        <v>44931</v>
      </c>
      <c r="E83" s="89">
        <f t="shared" si="27"/>
        <v>7</v>
      </c>
      <c r="F83" s="90">
        <f t="shared" si="28"/>
        <v>7</v>
      </c>
      <c r="G83" s="91"/>
      <c r="H83" s="76">
        <f t="shared" si="29"/>
        <v>14</v>
      </c>
      <c r="I83" s="89">
        <f t="shared" si="30"/>
        <v>8</v>
      </c>
      <c r="J83" s="90">
        <f t="shared" si="31"/>
        <v>8</v>
      </c>
      <c r="K83" s="91">
        <f t="shared" si="32"/>
        <v>8</v>
      </c>
      <c r="L83" s="76">
        <f t="shared" si="33"/>
        <v>24</v>
      </c>
      <c r="N83" s="79">
        <f t="shared" si="18"/>
        <v>52.36</v>
      </c>
      <c r="O83" s="80">
        <f t="shared" si="19"/>
        <v>42</v>
      </c>
      <c r="P83" s="81">
        <f t="shared" si="20"/>
        <v>0</v>
      </c>
      <c r="Q83" s="79">
        <f t="shared" si="21"/>
        <v>59.84</v>
      </c>
      <c r="R83" s="80">
        <f t="shared" si="22"/>
        <v>48</v>
      </c>
      <c r="S83" s="81">
        <f t="shared" si="23"/>
        <v>68</v>
      </c>
      <c r="T83" s="92">
        <f t="shared" si="24"/>
        <v>270.2</v>
      </c>
      <c r="U83" s="93">
        <f t="shared" si="34"/>
        <v>216.16</v>
      </c>
    </row>
    <row r="84" spans="1:21" x14ac:dyDescent="0.25">
      <c r="A84" s="71">
        <f t="shared" si="26"/>
        <v>2023</v>
      </c>
      <c r="B84" s="72"/>
      <c r="C84" s="73" t="str">
        <f t="shared" si="25"/>
        <v>SEXTA</v>
      </c>
      <c r="D84" s="74">
        <v>44932</v>
      </c>
      <c r="E84" s="89">
        <f t="shared" si="27"/>
        <v>7</v>
      </c>
      <c r="F84" s="90">
        <f t="shared" si="28"/>
        <v>7</v>
      </c>
      <c r="G84" s="91"/>
      <c r="H84" s="76">
        <f t="shared" si="29"/>
        <v>14</v>
      </c>
      <c r="I84" s="89">
        <f t="shared" si="30"/>
        <v>8</v>
      </c>
      <c r="J84" s="90">
        <f t="shared" si="31"/>
        <v>8</v>
      </c>
      <c r="K84" s="91">
        <f t="shared" si="32"/>
        <v>8</v>
      </c>
      <c r="L84" s="76">
        <f t="shared" si="33"/>
        <v>24</v>
      </c>
      <c r="N84" s="79">
        <f t="shared" si="18"/>
        <v>52.36</v>
      </c>
      <c r="O84" s="80">
        <f t="shared" si="19"/>
        <v>42</v>
      </c>
      <c r="P84" s="81">
        <f t="shared" si="20"/>
        <v>0</v>
      </c>
      <c r="Q84" s="79">
        <f t="shared" si="21"/>
        <v>59.84</v>
      </c>
      <c r="R84" s="80">
        <f t="shared" si="22"/>
        <v>48</v>
      </c>
      <c r="S84" s="81">
        <f t="shared" si="23"/>
        <v>68</v>
      </c>
      <c r="T84" s="92">
        <f t="shared" si="24"/>
        <v>270.2</v>
      </c>
      <c r="U84" s="93">
        <f t="shared" si="34"/>
        <v>216.16</v>
      </c>
    </row>
    <row r="85" spans="1:21" x14ac:dyDescent="0.25">
      <c r="A85" s="71">
        <f t="shared" si="26"/>
        <v>2023</v>
      </c>
      <c r="B85" s="72"/>
      <c r="C85" s="73" t="str">
        <f t="shared" si="25"/>
        <v>SÁBADO</v>
      </c>
      <c r="D85" s="74">
        <v>44933</v>
      </c>
      <c r="E85" s="89">
        <f t="shared" si="27"/>
        <v>0</v>
      </c>
      <c r="F85" s="90">
        <f t="shared" si="28"/>
        <v>7</v>
      </c>
      <c r="G85" s="91"/>
      <c r="H85" s="76">
        <f t="shared" si="29"/>
        <v>7</v>
      </c>
      <c r="I85" s="89">
        <f t="shared" si="30"/>
        <v>0</v>
      </c>
      <c r="J85" s="90">
        <f t="shared" si="31"/>
        <v>8</v>
      </c>
      <c r="K85" s="91">
        <f t="shared" si="32"/>
        <v>0</v>
      </c>
      <c r="L85" s="76">
        <f t="shared" si="33"/>
        <v>8</v>
      </c>
      <c r="N85" s="79">
        <f t="shared" si="18"/>
        <v>0</v>
      </c>
      <c r="O85" s="80">
        <f t="shared" si="19"/>
        <v>42</v>
      </c>
      <c r="P85" s="81">
        <f t="shared" si="20"/>
        <v>0</v>
      </c>
      <c r="Q85" s="79">
        <f t="shared" si="21"/>
        <v>0</v>
      </c>
      <c r="R85" s="80">
        <f t="shared" si="22"/>
        <v>48</v>
      </c>
      <c r="S85" s="81">
        <f t="shared" si="23"/>
        <v>0</v>
      </c>
      <c r="T85" s="92">
        <f t="shared" si="24"/>
        <v>90</v>
      </c>
      <c r="U85" s="93">
        <f t="shared" si="34"/>
        <v>72</v>
      </c>
    </row>
    <row r="86" spans="1:21" x14ac:dyDescent="0.25">
      <c r="A86" s="71">
        <f t="shared" si="26"/>
        <v>2023</v>
      </c>
      <c r="B86" s="72"/>
      <c r="C86" s="73" t="str">
        <f t="shared" si="25"/>
        <v>DOMINGO</v>
      </c>
      <c r="D86" s="74">
        <v>44934</v>
      </c>
      <c r="E86" s="89">
        <f t="shared" si="27"/>
        <v>0</v>
      </c>
      <c r="F86" s="90">
        <f t="shared" si="28"/>
        <v>0</v>
      </c>
      <c r="G86" s="91"/>
      <c r="H86" s="76">
        <f t="shared" si="29"/>
        <v>0</v>
      </c>
      <c r="I86" s="89">
        <f t="shared" si="30"/>
        <v>0</v>
      </c>
      <c r="J86" s="90">
        <f t="shared" si="31"/>
        <v>0</v>
      </c>
      <c r="K86" s="91">
        <f t="shared" si="32"/>
        <v>0</v>
      </c>
      <c r="L86" s="76">
        <f t="shared" si="33"/>
        <v>0</v>
      </c>
      <c r="N86" s="79">
        <f t="shared" si="18"/>
        <v>0</v>
      </c>
      <c r="O86" s="80">
        <f t="shared" si="19"/>
        <v>0</v>
      </c>
      <c r="P86" s="81">
        <f t="shared" si="20"/>
        <v>0</v>
      </c>
      <c r="Q86" s="79">
        <f t="shared" si="21"/>
        <v>0</v>
      </c>
      <c r="R86" s="80">
        <f t="shared" si="22"/>
        <v>0</v>
      </c>
      <c r="S86" s="81">
        <f t="shared" si="23"/>
        <v>0</v>
      </c>
      <c r="T86" s="92">
        <f t="shared" si="24"/>
        <v>0</v>
      </c>
      <c r="U86" s="93">
        <f t="shared" si="34"/>
        <v>0</v>
      </c>
    </row>
    <row r="87" spans="1:21" x14ac:dyDescent="0.25">
      <c r="A87" s="71">
        <f t="shared" si="26"/>
        <v>2023</v>
      </c>
      <c r="B87" s="72"/>
      <c r="C87" s="73" t="str">
        <f t="shared" si="25"/>
        <v>SEGUNDA</v>
      </c>
      <c r="D87" s="74">
        <v>44935</v>
      </c>
      <c r="E87" s="89">
        <f t="shared" si="27"/>
        <v>7</v>
      </c>
      <c r="F87" s="90">
        <f t="shared" si="28"/>
        <v>7</v>
      </c>
      <c r="G87" s="91"/>
      <c r="H87" s="76">
        <f t="shared" si="29"/>
        <v>14</v>
      </c>
      <c r="I87" s="89">
        <f t="shared" si="30"/>
        <v>8</v>
      </c>
      <c r="J87" s="90">
        <f t="shared" si="31"/>
        <v>8</v>
      </c>
      <c r="K87" s="91">
        <f t="shared" si="32"/>
        <v>8</v>
      </c>
      <c r="L87" s="76">
        <f t="shared" si="33"/>
        <v>24</v>
      </c>
      <c r="N87" s="79">
        <f t="shared" si="18"/>
        <v>52.36</v>
      </c>
      <c r="O87" s="80">
        <f t="shared" si="19"/>
        <v>42</v>
      </c>
      <c r="P87" s="81">
        <f t="shared" si="20"/>
        <v>0</v>
      </c>
      <c r="Q87" s="79">
        <f t="shared" si="21"/>
        <v>59.84</v>
      </c>
      <c r="R87" s="80">
        <f t="shared" si="22"/>
        <v>48</v>
      </c>
      <c r="S87" s="81">
        <f t="shared" si="23"/>
        <v>68</v>
      </c>
      <c r="T87" s="92">
        <f t="shared" si="24"/>
        <v>270.2</v>
      </c>
      <c r="U87" s="93">
        <f t="shared" si="34"/>
        <v>216.16</v>
      </c>
    </row>
    <row r="88" spans="1:21" x14ac:dyDescent="0.25">
      <c r="A88" s="71">
        <f t="shared" si="26"/>
        <v>2023</v>
      </c>
      <c r="B88" s="72"/>
      <c r="C88" s="73" t="str">
        <f t="shared" si="25"/>
        <v>TERÇA</v>
      </c>
      <c r="D88" s="74">
        <v>44936</v>
      </c>
      <c r="E88" s="89">
        <f t="shared" si="27"/>
        <v>7</v>
      </c>
      <c r="F88" s="90">
        <f t="shared" si="28"/>
        <v>7</v>
      </c>
      <c r="G88" s="91"/>
      <c r="H88" s="76">
        <f t="shared" si="29"/>
        <v>14</v>
      </c>
      <c r="I88" s="89">
        <f t="shared" si="30"/>
        <v>8</v>
      </c>
      <c r="J88" s="90">
        <f t="shared" si="31"/>
        <v>8</v>
      </c>
      <c r="K88" s="91">
        <f t="shared" si="32"/>
        <v>8</v>
      </c>
      <c r="L88" s="76">
        <f t="shared" si="33"/>
        <v>24</v>
      </c>
      <c r="N88" s="79">
        <f t="shared" si="18"/>
        <v>52.36</v>
      </c>
      <c r="O88" s="80">
        <f t="shared" si="19"/>
        <v>42</v>
      </c>
      <c r="P88" s="81">
        <f t="shared" si="20"/>
        <v>0</v>
      </c>
      <c r="Q88" s="79">
        <f t="shared" si="21"/>
        <v>59.84</v>
      </c>
      <c r="R88" s="80">
        <f t="shared" si="22"/>
        <v>48</v>
      </c>
      <c r="S88" s="81">
        <f t="shared" si="23"/>
        <v>68</v>
      </c>
      <c r="T88" s="92">
        <f t="shared" si="24"/>
        <v>270.2</v>
      </c>
      <c r="U88" s="93">
        <f t="shared" si="34"/>
        <v>216.16</v>
      </c>
    </row>
    <row r="89" spans="1:21" x14ac:dyDescent="0.25">
      <c r="A89" s="71">
        <f t="shared" si="26"/>
        <v>2023</v>
      </c>
      <c r="B89" s="72"/>
      <c r="C89" s="73" t="str">
        <f t="shared" si="25"/>
        <v>QUARTA</v>
      </c>
      <c r="D89" s="74">
        <v>44937</v>
      </c>
      <c r="E89" s="89">
        <f t="shared" si="27"/>
        <v>7</v>
      </c>
      <c r="F89" s="90">
        <f t="shared" si="28"/>
        <v>7</v>
      </c>
      <c r="G89" s="91"/>
      <c r="H89" s="76">
        <f t="shared" si="29"/>
        <v>14</v>
      </c>
      <c r="I89" s="89">
        <f t="shared" si="30"/>
        <v>8</v>
      </c>
      <c r="J89" s="90">
        <f t="shared" si="31"/>
        <v>8</v>
      </c>
      <c r="K89" s="91">
        <f t="shared" si="32"/>
        <v>8</v>
      </c>
      <c r="L89" s="76">
        <f t="shared" si="33"/>
        <v>24</v>
      </c>
      <c r="N89" s="79">
        <f t="shared" si="18"/>
        <v>52.36</v>
      </c>
      <c r="O89" s="80">
        <f t="shared" si="19"/>
        <v>42</v>
      </c>
      <c r="P89" s="81">
        <f t="shared" si="20"/>
        <v>0</v>
      </c>
      <c r="Q89" s="79">
        <f t="shared" si="21"/>
        <v>59.84</v>
      </c>
      <c r="R89" s="80">
        <f t="shared" si="22"/>
        <v>48</v>
      </c>
      <c r="S89" s="81">
        <f t="shared" si="23"/>
        <v>68</v>
      </c>
      <c r="T89" s="92">
        <f t="shared" si="24"/>
        <v>270.2</v>
      </c>
      <c r="U89" s="93">
        <f t="shared" si="34"/>
        <v>216.16</v>
      </c>
    </row>
    <row r="90" spans="1:21" x14ac:dyDescent="0.25">
      <c r="A90" s="71">
        <f t="shared" si="26"/>
        <v>2023</v>
      </c>
      <c r="B90" s="72"/>
      <c r="C90" s="73" t="str">
        <f t="shared" si="25"/>
        <v>QUINTA</v>
      </c>
      <c r="D90" s="74">
        <v>44938</v>
      </c>
      <c r="E90" s="89">
        <f t="shared" si="27"/>
        <v>7</v>
      </c>
      <c r="F90" s="90">
        <f t="shared" si="28"/>
        <v>7</v>
      </c>
      <c r="G90" s="91"/>
      <c r="H90" s="76">
        <f t="shared" si="29"/>
        <v>14</v>
      </c>
      <c r="I90" s="89">
        <f t="shared" si="30"/>
        <v>8</v>
      </c>
      <c r="J90" s="90">
        <f t="shared" si="31"/>
        <v>8</v>
      </c>
      <c r="K90" s="91">
        <f t="shared" si="32"/>
        <v>8</v>
      </c>
      <c r="L90" s="76">
        <f t="shared" si="33"/>
        <v>24</v>
      </c>
      <c r="N90" s="79">
        <f t="shared" si="18"/>
        <v>52.36</v>
      </c>
      <c r="O90" s="80">
        <f t="shared" si="19"/>
        <v>42</v>
      </c>
      <c r="P90" s="81">
        <f t="shared" si="20"/>
        <v>0</v>
      </c>
      <c r="Q90" s="79">
        <f t="shared" si="21"/>
        <v>59.84</v>
      </c>
      <c r="R90" s="80">
        <f t="shared" si="22"/>
        <v>48</v>
      </c>
      <c r="S90" s="81">
        <f t="shared" si="23"/>
        <v>68</v>
      </c>
      <c r="T90" s="92">
        <f t="shared" si="24"/>
        <v>270.2</v>
      </c>
      <c r="U90" s="93">
        <f t="shared" si="34"/>
        <v>216.16</v>
      </c>
    </row>
    <row r="91" spans="1:21" x14ac:dyDescent="0.25">
      <c r="A91" s="71">
        <f t="shared" si="26"/>
        <v>2023</v>
      </c>
      <c r="B91" s="72"/>
      <c r="C91" s="73" t="str">
        <f t="shared" si="25"/>
        <v>SEXTA</v>
      </c>
      <c r="D91" s="74">
        <v>44939</v>
      </c>
      <c r="E91" s="89">
        <f t="shared" si="27"/>
        <v>7</v>
      </c>
      <c r="F91" s="90">
        <f t="shared" si="28"/>
        <v>7</v>
      </c>
      <c r="G91" s="91"/>
      <c r="H91" s="76">
        <f t="shared" si="29"/>
        <v>14</v>
      </c>
      <c r="I91" s="89">
        <f t="shared" si="30"/>
        <v>8</v>
      </c>
      <c r="J91" s="90">
        <f t="shared" si="31"/>
        <v>8</v>
      </c>
      <c r="K91" s="91">
        <f t="shared" si="32"/>
        <v>8</v>
      </c>
      <c r="L91" s="76">
        <f t="shared" si="33"/>
        <v>24</v>
      </c>
      <c r="N91" s="79">
        <f t="shared" si="18"/>
        <v>52.36</v>
      </c>
      <c r="O91" s="80">
        <f t="shared" si="19"/>
        <v>42</v>
      </c>
      <c r="P91" s="81">
        <f t="shared" si="20"/>
        <v>0</v>
      </c>
      <c r="Q91" s="79">
        <f t="shared" si="21"/>
        <v>59.84</v>
      </c>
      <c r="R91" s="80">
        <f t="shared" si="22"/>
        <v>48</v>
      </c>
      <c r="S91" s="81">
        <f t="shared" si="23"/>
        <v>68</v>
      </c>
      <c r="T91" s="92">
        <f t="shared" si="24"/>
        <v>270.2</v>
      </c>
      <c r="U91" s="93">
        <f t="shared" si="34"/>
        <v>216.16</v>
      </c>
    </row>
    <row r="92" spans="1:21" x14ac:dyDescent="0.25">
      <c r="A92" s="71">
        <f t="shared" si="26"/>
        <v>2023</v>
      </c>
      <c r="B92" s="72"/>
      <c r="C92" s="73" t="str">
        <f t="shared" si="25"/>
        <v>SÁBADO</v>
      </c>
      <c r="D92" s="74">
        <v>44940</v>
      </c>
      <c r="E92" s="89">
        <f t="shared" si="27"/>
        <v>0</v>
      </c>
      <c r="F92" s="90">
        <f t="shared" si="28"/>
        <v>7</v>
      </c>
      <c r="G92" s="91"/>
      <c r="H92" s="76">
        <f t="shared" si="29"/>
        <v>7</v>
      </c>
      <c r="I92" s="89">
        <f t="shared" si="30"/>
        <v>0</v>
      </c>
      <c r="J92" s="90">
        <f t="shared" si="31"/>
        <v>8</v>
      </c>
      <c r="K92" s="91">
        <f t="shared" si="32"/>
        <v>0</v>
      </c>
      <c r="L92" s="76">
        <f t="shared" si="33"/>
        <v>8</v>
      </c>
      <c r="N92" s="79">
        <f t="shared" ref="N92:N155" si="35">E92*7.48</f>
        <v>0</v>
      </c>
      <c r="O92" s="80">
        <f t="shared" ref="O92:O155" si="36">F92*6</f>
        <v>42</v>
      </c>
      <c r="P92" s="81">
        <f t="shared" ref="P92:P155" si="37">G92*8.5</f>
        <v>0</v>
      </c>
      <c r="Q92" s="79">
        <f t="shared" ref="Q92:Q155" si="38">I92*7.48</f>
        <v>0</v>
      </c>
      <c r="R92" s="80">
        <f t="shared" ref="R92:R155" si="39">J92*6</f>
        <v>48</v>
      </c>
      <c r="S92" s="81">
        <f t="shared" ref="S92:S155" si="40">K92*8.5</f>
        <v>0</v>
      </c>
      <c r="T92" s="92">
        <f t="shared" ref="T92:T155" si="41">SUM(N92:S92)</f>
        <v>90</v>
      </c>
      <c r="U92" s="93">
        <f t="shared" si="34"/>
        <v>72</v>
      </c>
    </row>
    <row r="93" spans="1:21" x14ac:dyDescent="0.25">
      <c r="A93" s="71">
        <f t="shared" si="26"/>
        <v>2023</v>
      </c>
      <c r="B93" s="72"/>
      <c r="C93" s="73" t="str">
        <f t="shared" si="25"/>
        <v>DOMINGO</v>
      </c>
      <c r="D93" s="74">
        <v>44941</v>
      </c>
      <c r="E93" s="89">
        <f t="shared" si="27"/>
        <v>0</v>
      </c>
      <c r="F93" s="90">
        <f t="shared" si="28"/>
        <v>0</v>
      </c>
      <c r="G93" s="91"/>
      <c r="H93" s="76">
        <f t="shared" si="29"/>
        <v>0</v>
      </c>
      <c r="I93" s="89">
        <f t="shared" si="30"/>
        <v>0</v>
      </c>
      <c r="J93" s="90">
        <f t="shared" si="31"/>
        <v>0</v>
      </c>
      <c r="K93" s="91">
        <f t="shared" si="32"/>
        <v>0</v>
      </c>
      <c r="L93" s="76">
        <f t="shared" si="33"/>
        <v>0</v>
      </c>
      <c r="N93" s="79">
        <f t="shared" si="35"/>
        <v>0</v>
      </c>
      <c r="O93" s="80">
        <f t="shared" si="36"/>
        <v>0</v>
      </c>
      <c r="P93" s="81">
        <f t="shared" si="37"/>
        <v>0</v>
      </c>
      <c r="Q93" s="79">
        <f t="shared" si="38"/>
        <v>0</v>
      </c>
      <c r="R93" s="80">
        <f t="shared" si="39"/>
        <v>0</v>
      </c>
      <c r="S93" s="81">
        <f t="shared" si="40"/>
        <v>0</v>
      </c>
      <c r="T93" s="92">
        <f t="shared" si="41"/>
        <v>0</v>
      </c>
      <c r="U93" s="93">
        <f t="shared" si="34"/>
        <v>0</v>
      </c>
    </row>
    <row r="94" spans="1:21" x14ac:dyDescent="0.25">
      <c r="A94" s="71">
        <f t="shared" si="26"/>
        <v>2023</v>
      </c>
      <c r="B94" s="72"/>
      <c r="C94" s="73" t="str">
        <f t="shared" si="25"/>
        <v>SEGUNDA</v>
      </c>
      <c r="D94" s="74">
        <v>44942</v>
      </c>
      <c r="E94" s="89">
        <f t="shared" si="27"/>
        <v>7</v>
      </c>
      <c r="F94" s="90">
        <f t="shared" si="28"/>
        <v>7</v>
      </c>
      <c r="G94" s="91"/>
      <c r="H94" s="76">
        <f t="shared" si="29"/>
        <v>14</v>
      </c>
      <c r="I94" s="89">
        <f t="shared" si="30"/>
        <v>8</v>
      </c>
      <c r="J94" s="90">
        <f t="shared" si="31"/>
        <v>8</v>
      </c>
      <c r="K94" s="91">
        <f t="shared" si="32"/>
        <v>8</v>
      </c>
      <c r="L94" s="76">
        <f t="shared" si="33"/>
        <v>24</v>
      </c>
      <c r="N94" s="79">
        <f t="shared" si="35"/>
        <v>52.36</v>
      </c>
      <c r="O94" s="80">
        <f t="shared" si="36"/>
        <v>42</v>
      </c>
      <c r="P94" s="81">
        <f t="shared" si="37"/>
        <v>0</v>
      </c>
      <c r="Q94" s="79">
        <f t="shared" si="38"/>
        <v>59.84</v>
      </c>
      <c r="R94" s="80">
        <f t="shared" si="39"/>
        <v>48</v>
      </c>
      <c r="S94" s="81">
        <f t="shared" si="40"/>
        <v>68</v>
      </c>
      <c r="T94" s="92">
        <f t="shared" si="41"/>
        <v>270.2</v>
      </c>
      <c r="U94" s="93">
        <f t="shared" si="34"/>
        <v>216.16</v>
      </c>
    </row>
    <row r="95" spans="1:21" x14ac:dyDescent="0.25">
      <c r="A95" s="71">
        <f t="shared" si="26"/>
        <v>2023</v>
      </c>
      <c r="B95" s="72"/>
      <c r="C95" s="73" t="str">
        <f t="shared" si="25"/>
        <v>TERÇA</v>
      </c>
      <c r="D95" s="74">
        <v>44943</v>
      </c>
      <c r="E95" s="89">
        <f t="shared" si="27"/>
        <v>7</v>
      </c>
      <c r="F95" s="90">
        <f t="shared" si="28"/>
        <v>7</v>
      </c>
      <c r="G95" s="91"/>
      <c r="H95" s="76">
        <f t="shared" si="29"/>
        <v>14</v>
      </c>
      <c r="I95" s="89">
        <f t="shared" si="30"/>
        <v>8</v>
      </c>
      <c r="J95" s="90">
        <f t="shared" si="31"/>
        <v>8</v>
      </c>
      <c r="K95" s="91">
        <f t="shared" si="32"/>
        <v>8</v>
      </c>
      <c r="L95" s="76">
        <f t="shared" si="33"/>
        <v>24</v>
      </c>
      <c r="N95" s="79">
        <f t="shared" si="35"/>
        <v>52.36</v>
      </c>
      <c r="O95" s="80">
        <f t="shared" si="36"/>
        <v>42</v>
      </c>
      <c r="P95" s="81">
        <f t="shared" si="37"/>
        <v>0</v>
      </c>
      <c r="Q95" s="79">
        <f t="shared" si="38"/>
        <v>59.84</v>
      </c>
      <c r="R95" s="80">
        <f t="shared" si="39"/>
        <v>48</v>
      </c>
      <c r="S95" s="81">
        <f t="shared" si="40"/>
        <v>68</v>
      </c>
      <c r="T95" s="92">
        <f t="shared" si="41"/>
        <v>270.2</v>
      </c>
      <c r="U95" s="93">
        <f t="shared" si="34"/>
        <v>216.16</v>
      </c>
    </row>
    <row r="96" spans="1:21" x14ac:dyDescent="0.25">
      <c r="A96" s="71">
        <f t="shared" si="26"/>
        <v>2023</v>
      </c>
      <c r="B96" s="72"/>
      <c r="C96" s="73" t="str">
        <f t="shared" si="25"/>
        <v>QUARTA</v>
      </c>
      <c r="D96" s="74">
        <v>44944</v>
      </c>
      <c r="E96" s="89">
        <f t="shared" si="27"/>
        <v>7</v>
      </c>
      <c r="F96" s="90">
        <f t="shared" si="28"/>
        <v>7</v>
      </c>
      <c r="G96" s="91"/>
      <c r="H96" s="76">
        <f t="shared" si="29"/>
        <v>14</v>
      </c>
      <c r="I96" s="89">
        <f t="shared" si="30"/>
        <v>8</v>
      </c>
      <c r="J96" s="90">
        <f t="shared" si="31"/>
        <v>8</v>
      </c>
      <c r="K96" s="91">
        <f t="shared" si="32"/>
        <v>8</v>
      </c>
      <c r="L96" s="76">
        <f t="shared" si="33"/>
        <v>24</v>
      </c>
      <c r="N96" s="79">
        <f t="shared" si="35"/>
        <v>52.36</v>
      </c>
      <c r="O96" s="80">
        <f t="shared" si="36"/>
        <v>42</v>
      </c>
      <c r="P96" s="81">
        <f t="shared" si="37"/>
        <v>0</v>
      </c>
      <c r="Q96" s="79">
        <f t="shared" si="38"/>
        <v>59.84</v>
      </c>
      <c r="R96" s="80">
        <f t="shared" si="39"/>
        <v>48</v>
      </c>
      <c r="S96" s="81">
        <f t="shared" si="40"/>
        <v>68</v>
      </c>
      <c r="T96" s="92">
        <f t="shared" si="41"/>
        <v>270.2</v>
      </c>
      <c r="U96" s="93">
        <f t="shared" si="34"/>
        <v>216.16</v>
      </c>
    </row>
    <row r="97" spans="1:21" x14ac:dyDescent="0.25">
      <c r="A97" s="71">
        <f t="shared" si="26"/>
        <v>2023</v>
      </c>
      <c r="B97" s="72"/>
      <c r="C97" s="73" t="str">
        <f t="shared" si="25"/>
        <v>QUINTA</v>
      </c>
      <c r="D97" s="74">
        <v>44945</v>
      </c>
      <c r="E97" s="89">
        <f t="shared" si="27"/>
        <v>7</v>
      </c>
      <c r="F97" s="90">
        <f t="shared" si="28"/>
        <v>7</v>
      </c>
      <c r="G97" s="91"/>
      <c r="H97" s="76">
        <f t="shared" si="29"/>
        <v>14</v>
      </c>
      <c r="I97" s="89">
        <f t="shared" si="30"/>
        <v>8</v>
      </c>
      <c r="J97" s="90">
        <f t="shared" si="31"/>
        <v>8</v>
      </c>
      <c r="K97" s="91">
        <f t="shared" si="32"/>
        <v>8</v>
      </c>
      <c r="L97" s="76">
        <f t="shared" si="33"/>
        <v>24</v>
      </c>
      <c r="N97" s="79">
        <f t="shared" si="35"/>
        <v>52.36</v>
      </c>
      <c r="O97" s="80">
        <f t="shared" si="36"/>
        <v>42</v>
      </c>
      <c r="P97" s="81">
        <f t="shared" si="37"/>
        <v>0</v>
      </c>
      <c r="Q97" s="79">
        <f t="shared" si="38"/>
        <v>59.84</v>
      </c>
      <c r="R97" s="80">
        <f t="shared" si="39"/>
        <v>48</v>
      </c>
      <c r="S97" s="81">
        <f t="shared" si="40"/>
        <v>68</v>
      </c>
      <c r="T97" s="92">
        <f t="shared" si="41"/>
        <v>270.2</v>
      </c>
      <c r="U97" s="93">
        <f t="shared" si="34"/>
        <v>216.16</v>
      </c>
    </row>
    <row r="98" spans="1:21" x14ac:dyDescent="0.25">
      <c r="A98" s="71">
        <f t="shared" si="26"/>
        <v>2023</v>
      </c>
      <c r="B98" s="72"/>
      <c r="C98" s="73" t="str">
        <f t="shared" si="25"/>
        <v>SEXTA</v>
      </c>
      <c r="D98" s="74">
        <v>44946</v>
      </c>
      <c r="E98" s="89">
        <f t="shared" si="27"/>
        <v>7</v>
      </c>
      <c r="F98" s="90">
        <f t="shared" si="28"/>
        <v>7</v>
      </c>
      <c r="G98" s="91"/>
      <c r="H98" s="76">
        <f t="shared" si="29"/>
        <v>14</v>
      </c>
      <c r="I98" s="89">
        <f t="shared" si="30"/>
        <v>8</v>
      </c>
      <c r="J98" s="90">
        <f t="shared" si="31"/>
        <v>8</v>
      </c>
      <c r="K98" s="91">
        <f t="shared" si="32"/>
        <v>8</v>
      </c>
      <c r="L98" s="76">
        <f t="shared" si="33"/>
        <v>24</v>
      </c>
      <c r="N98" s="79">
        <f t="shared" si="35"/>
        <v>52.36</v>
      </c>
      <c r="O98" s="80">
        <f t="shared" si="36"/>
        <v>42</v>
      </c>
      <c r="P98" s="81">
        <f t="shared" si="37"/>
        <v>0</v>
      </c>
      <c r="Q98" s="79">
        <f t="shared" si="38"/>
        <v>59.84</v>
      </c>
      <c r="R98" s="80">
        <f t="shared" si="39"/>
        <v>48</v>
      </c>
      <c r="S98" s="81">
        <f t="shared" si="40"/>
        <v>68</v>
      </c>
      <c r="T98" s="92">
        <f t="shared" si="41"/>
        <v>270.2</v>
      </c>
      <c r="U98" s="93">
        <f t="shared" si="34"/>
        <v>216.16</v>
      </c>
    </row>
    <row r="99" spans="1:21" x14ac:dyDescent="0.25">
      <c r="A99" s="71">
        <f t="shared" si="26"/>
        <v>2023</v>
      </c>
      <c r="B99" s="72"/>
      <c r="C99" s="73" t="str">
        <f t="shared" si="25"/>
        <v>SÁBADO</v>
      </c>
      <c r="D99" s="74">
        <v>44947</v>
      </c>
      <c r="E99" s="89">
        <f t="shared" si="27"/>
        <v>0</v>
      </c>
      <c r="F99" s="90">
        <f t="shared" si="28"/>
        <v>7</v>
      </c>
      <c r="G99" s="91"/>
      <c r="H99" s="76">
        <f t="shared" si="29"/>
        <v>7</v>
      </c>
      <c r="I99" s="89">
        <f t="shared" si="30"/>
        <v>0</v>
      </c>
      <c r="J99" s="90">
        <f t="shared" si="31"/>
        <v>8</v>
      </c>
      <c r="K99" s="91">
        <f t="shared" si="32"/>
        <v>0</v>
      </c>
      <c r="L99" s="76">
        <f t="shared" si="33"/>
        <v>8</v>
      </c>
      <c r="N99" s="79">
        <f t="shared" si="35"/>
        <v>0</v>
      </c>
      <c r="O99" s="80">
        <f t="shared" si="36"/>
        <v>42</v>
      </c>
      <c r="P99" s="81">
        <f t="shared" si="37"/>
        <v>0</v>
      </c>
      <c r="Q99" s="79">
        <f t="shared" si="38"/>
        <v>0</v>
      </c>
      <c r="R99" s="80">
        <f t="shared" si="39"/>
        <v>48</v>
      </c>
      <c r="S99" s="81">
        <f t="shared" si="40"/>
        <v>0</v>
      </c>
      <c r="T99" s="92">
        <f t="shared" si="41"/>
        <v>90</v>
      </c>
      <c r="U99" s="93">
        <f t="shared" si="34"/>
        <v>72</v>
      </c>
    </row>
    <row r="100" spans="1:21" x14ac:dyDescent="0.25">
      <c r="A100" s="71">
        <f t="shared" si="26"/>
        <v>2023</v>
      </c>
      <c r="B100" s="72"/>
      <c r="C100" s="73" t="str">
        <f t="shared" si="25"/>
        <v>DOMINGO</v>
      </c>
      <c r="D100" s="74">
        <v>44948</v>
      </c>
      <c r="E100" s="89">
        <f t="shared" si="27"/>
        <v>0</v>
      </c>
      <c r="F100" s="90">
        <f t="shared" si="28"/>
        <v>0</v>
      </c>
      <c r="G100" s="91"/>
      <c r="H100" s="76">
        <f t="shared" si="29"/>
        <v>0</v>
      </c>
      <c r="I100" s="89">
        <f t="shared" si="30"/>
        <v>0</v>
      </c>
      <c r="J100" s="90">
        <f t="shared" si="31"/>
        <v>0</v>
      </c>
      <c r="K100" s="91">
        <f t="shared" si="32"/>
        <v>0</v>
      </c>
      <c r="L100" s="76">
        <f t="shared" si="33"/>
        <v>0</v>
      </c>
      <c r="N100" s="79">
        <f t="shared" si="35"/>
        <v>0</v>
      </c>
      <c r="O100" s="80">
        <f t="shared" si="36"/>
        <v>0</v>
      </c>
      <c r="P100" s="81">
        <f t="shared" si="37"/>
        <v>0</v>
      </c>
      <c r="Q100" s="79">
        <f t="shared" si="38"/>
        <v>0</v>
      </c>
      <c r="R100" s="80">
        <f t="shared" si="39"/>
        <v>0</v>
      </c>
      <c r="S100" s="81">
        <f t="shared" si="40"/>
        <v>0</v>
      </c>
      <c r="T100" s="92">
        <f t="shared" si="41"/>
        <v>0</v>
      </c>
      <c r="U100" s="93">
        <f t="shared" si="34"/>
        <v>0</v>
      </c>
    </row>
    <row r="101" spans="1:21" x14ac:dyDescent="0.25">
      <c r="A101" s="71">
        <f t="shared" si="26"/>
        <v>2023</v>
      </c>
      <c r="B101" s="72"/>
      <c r="C101" s="73" t="str">
        <f t="shared" si="25"/>
        <v>SEGUNDA</v>
      </c>
      <c r="D101" s="74">
        <v>44949</v>
      </c>
      <c r="E101" s="89">
        <f t="shared" si="27"/>
        <v>7</v>
      </c>
      <c r="F101" s="90">
        <f t="shared" si="28"/>
        <v>7</v>
      </c>
      <c r="G101" s="91"/>
      <c r="H101" s="76">
        <f t="shared" si="29"/>
        <v>14</v>
      </c>
      <c r="I101" s="89">
        <f t="shared" si="30"/>
        <v>8</v>
      </c>
      <c r="J101" s="90">
        <f t="shared" si="31"/>
        <v>8</v>
      </c>
      <c r="K101" s="91">
        <f t="shared" si="32"/>
        <v>8</v>
      </c>
      <c r="L101" s="76">
        <f t="shared" si="33"/>
        <v>24</v>
      </c>
      <c r="N101" s="79">
        <f t="shared" si="35"/>
        <v>52.36</v>
      </c>
      <c r="O101" s="80">
        <f t="shared" si="36"/>
        <v>42</v>
      </c>
      <c r="P101" s="81">
        <f t="shared" si="37"/>
        <v>0</v>
      </c>
      <c r="Q101" s="79">
        <f t="shared" si="38"/>
        <v>59.84</v>
      </c>
      <c r="R101" s="80">
        <f t="shared" si="39"/>
        <v>48</v>
      </c>
      <c r="S101" s="81">
        <f t="shared" si="40"/>
        <v>68</v>
      </c>
      <c r="T101" s="92">
        <f t="shared" si="41"/>
        <v>270.2</v>
      </c>
      <c r="U101" s="93">
        <f t="shared" si="34"/>
        <v>216.16</v>
      </c>
    </row>
    <row r="102" spans="1:21" x14ac:dyDescent="0.25">
      <c r="A102" s="71">
        <f t="shared" si="26"/>
        <v>2023</v>
      </c>
      <c r="B102" s="72"/>
      <c r="C102" s="73" t="str">
        <f t="shared" si="25"/>
        <v>TERÇA</v>
      </c>
      <c r="D102" s="74">
        <v>44950</v>
      </c>
      <c r="E102" s="89">
        <f t="shared" si="27"/>
        <v>7</v>
      </c>
      <c r="F102" s="90">
        <f t="shared" si="28"/>
        <v>7</v>
      </c>
      <c r="G102" s="91"/>
      <c r="H102" s="76">
        <f t="shared" si="29"/>
        <v>14</v>
      </c>
      <c r="I102" s="89">
        <f t="shared" si="30"/>
        <v>8</v>
      </c>
      <c r="J102" s="90">
        <f t="shared" si="31"/>
        <v>8</v>
      </c>
      <c r="K102" s="91">
        <f t="shared" si="32"/>
        <v>8</v>
      </c>
      <c r="L102" s="76">
        <f t="shared" si="33"/>
        <v>24</v>
      </c>
      <c r="N102" s="79">
        <f t="shared" si="35"/>
        <v>52.36</v>
      </c>
      <c r="O102" s="80">
        <f t="shared" si="36"/>
        <v>42</v>
      </c>
      <c r="P102" s="81">
        <f t="shared" si="37"/>
        <v>0</v>
      </c>
      <c r="Q102" s="79">
        <f t="shared" si="38"/>
        <v>59.84</v>
      </c>
      <c r="R102" s="80">
        <f t="shared" si="39"/>
        <v>48</v>
      </c>
      <c r="S102" s="81">
        <f t="shared" si="40"/>
        <v>68</v>
      </c>
      <c r="T102" s="92">
        <f t="shared" si="41"/>
        <v>270.2</v>
      </c>
      <c r="U102" s="93">
        <f t="shared" si="34"/>
        <v>216.16</v>
      </c>
    </row>
    <row r="103" spans="1:21" x14ac:dyDescent="0.25">
      <c r="A103" s="71">
        <f t="shared" si="26"/>
        <v>2023</v>
      </c>
      <c r="B103" s="72"/>
      <c r="C103" s="73" t="str">
        <f t="shared" si="25"/>
        <v>QUARTA</v>
      </c>
      <c r="D103" s="74">
        <v>44951</v>
      </c>
      <c r="E103" s="89">
        <f t="shared" si="27"/>
        <v>7</v>
      </c>
      <c r="F103" s="90">
        <f t="shared" si="28"/>
        <v>7</v>
      </c>
      <c r="G103" s="91"/>
      <c r="H103" s="76">
        <f t="shared" si="29"/>
        <v>14</v>
      </c>
      <c r="I103" s="89">
        <f t="shared" si="30"/>
        <v>8</v>
      </c>
      <c r="J103" s="90">
        <f t="shared" si="31"/>
        <v>8</v>
      </c>
      <c r="K103" s="91">
        <f t="shared" si="32"/>
        <v>8</v>
      </c>
      <c r="L103" s="76">
        <f t="shared" si="33"/>
        <v>24</v>
      </c>
      <c r="N103" s="79">
        <f t="shared" si="35"/>
        <v>52.36</v>
      </c>
      <c r="O103" s="80">
        <f t="shared" si="36"/>
        <v>42</v>
      </c>
      <c r="P103" s="81">
        <f t="shared" si="37"/>
        <v>0</v>
      </c>
      <c r="Q103" s="79">
        <f t="shared" si="38"/>
        <v>59.84</v>
      </c>
      <c r="R103" s="80">
        <f t="shared" si="39"/>
        <v>48</v>
      </c>
      <c r="S103" s="81">
        <f t="shared" si="40"/>
        <v>68</v>
      </c>
      <c r="T103" s="92">
        <f t="shared" si="41"/>
        <v>270.2</v>
      </c>
      <c r="U103" s="93">
        <f t="shared" si="34"/>
        <v>216.16</v>
      </c>
    </row>
    <row r="104" spans="1:21" x14ac:dyDescent="0.25">
      <c r="A104" s="71">
        <f t="shared" si="26"/>
        <v>2023</v>
      </c>
      <c r="B104" s="72"/>
      <c r="C104" s="73" t="str">
        <f t="shared" si="25"/>
        <v>QUINTA</v>
      </c>
      <c r="D104" s="74">
        <v>44952</v>
      </c>
      <c r="E104" s="89">
        <f t="shared" si="27"/>
        <v>7</v>
      </c>
      <c r="F104" s="90">
        <f t="shared" si="28"/>
        <v>7</v>
      </c>
      <c r="G104" s="91"/>
      <c r="H104" s="76">
        <f t="shared" si="29"/>
        <v>14</v>
      </c>
      <c r="I104" s="89">
        <f t="shared" si="30"/>
        <v>8</v>
      </c>
      <c r="J104" s="90">
        <f t="shared" si="31"/>
        <v>8</v>
      </c>
      <c r="K104" s="91">
        <f t="shared" si="32"/>
        <v>8</v>
      </c>
      <c r="L104" s="76">
        <f t="shared" si="33"/>
        <v>24</v>
      </c>
      <c r="N104" s="79">
        <f t="shared" si="35"/>
        <v>52.36</v>
      </c>
      <c r="O104" s="80">
        <f t="shared" si="36"/>
        <v>42</v>
      </c>
      <c r="P104" s="81">
        <f t="shared" si="37"/>
        <v>0</v>
      </c>
      <c r="Q104" s="79">
        <f t="shared" si="38"/>
        <v>59.84</v>
      </c>
      <c r="R104" s="80">
        <f t="shared" si="39"/>
        <v>48</v>
      </c>
      <c r="S104" s="81">
        <f t="shared" si="40"/>
        <v>68</v>
      </c>
      <c r="T104" s="92">
        <f t="shared" si="41"/>
        <v>270.2</v>
      </c>
      <c r="U104" s="93">
        <f t="shared" si="34"/>
        <v>216.16</v>
      </c>
    </row>
    <row r="105" spans="1:21" x14ac:dyDescent="0.25">
      <c r="A105" s="71">
        <f t="shared" si="26"/>
        <v>2023</v>
      </c>
      <c r="B105" s="72"/>
      <c r="C105" s="73" t="str">
        <f t="shared" si="25"/>
        <v>SEXTA</v>
      </c>
      <c r="D105" s="74">
        <v>44953</v>
      </c>
      <c r="E105" s="89">
        <f t="shared" si="27"/>
        <v>7</v>
      </c>
      <c r="F105" s="90">
        <f t="shared" si="28"/>
        <v>7</v>
      </c>
      <c r="G105" s="91"/>
      <c r="H105" s="76">
        <f t="shared" si="29"/>
        <v>14</v>
      </c>
      <c r="I105" s="89">
        <f t="shared" si="30"/>
        <v>8</v>
      </c>
      <c r="J105" s="90">
        <f t="shared" si="31"/>
        <v>8</v>
      </c>
      <c r="K105" s="91">
        <f t="shared" si="32"/>
        <v>8</v>
      </c>
      <c r="L105" s="76">
        <f t="shared" si="33"/>
        <v>24</v>
      </c>
      <c r="N105" s="79">
        <f t="shared" si="35"/>
        <v>52.36</v>
      </c>
      <c r="O105" s="80">
        <f t="shared" si="36"/>
        <v>42</v>
      </c>
      <c r="P105" s="81">
        <f t="shared" si="37"/>
        <v>0</v>
      </c>
      <c r="Q105" s="79">
        <f t="shared" si="38"/>
        <v>59.84</v>
      </c>
      <c r="R105" s="80">
        <f t="shared" si="39"/>
        <v>48</v>
      </c>
      <c r="S105" s="81">
        <f t="shared" si="40"/>
        <v>68</v>
      </c>
      <c r="T105" s="92">
        <f t="shared" si="41"/>
        <v>270.2</v>
      </c>
      <c r="U105" s="93">
        <f t="shared" si="34"/>
        <v>216.16</v>
      </c>
    </row>
    <row r="106" spans="1:21" x14ac:dyDescent="0.25">
      <c r="A106" s="71">
        <f t="shared" si="26"/>
        <v>2023</v>
      </c>
      <c r="B106" s="72"/>
      <c r="C106" s="73" t="str">
        <f t="shared" si="25"/>
        <v>SÁBADO</v>
      </c>
      <c r="D106" s="74">
        <v>44954</v>
      </c>
      <c r="E106" s="89">
        <f t="shared" si="27"/>
        <v>0</v>
      </c>
      <c r="F106" s="90">
        <f t="shared" si="28"/>
        <v>7</v>
      </c>
      <c r="G106" s="91"/>
      <c r="H106" s="76">
        <f t="shared" si="29"/>
        <v>7</v>
      </c>
      <c r="I106" s="89">
        <f t="shared" si="30"/>
        <v>0</v>
      </c>
      <c r="J106" s="90">
        <f t="shared" si="31"/>
        <v>8</v>
      </c>
      <c r="K106" s="91">
        <f t="shared" si="32"/>
        <v>0</v>
      </c>
      <c r="L106" s="76">
        <f t="shared" si="33"/>
        <v>8</v>
      </c>
      <c r="N106" s="79">
        <f t="shared" si="35"/>
        <v>0</v>
      </c>
      <c r="O106" s="80">
        <f t="shared" si="36"/>
        <v>42</v>
      </c>
      <c r="P106" s="81">
        <f t="shared" si="37"/>
        <v>0</v>
      </c>
      <c r="Q106" s="79">
        <f t="shared" si="38"/>
        <v>0</v>
      </c>
      <c r="R106" s="80">
        <f t="shared" si="39"/>
        <v>48</v>
      </c>
      <c r="S106" s="81">
        <f t="shared" si="40"/>
        <v>0</v>
      </c>
      <c r="T106" s="92">
        <f t="shared" si="41"/>
        <v>90</v>
      </c>
      <c r="U106" s="93">
        <f t="shared" si="34"/>
        <v>72</v>
      </c>
    </row>
    <row r="107" spans="1:21" x14ac:dyDescent="0.25">
      <c r="A107" s="71">
        <f t="shared" si="26"/>
        <v>2023</v>
      </c>
      <c r="B107" s="72"/>
      <c r="C107" s="73" t="str">
        <f t="shared" si="25"/>
        <v>DOMINGO</v>
      </c>
      <c r="D107" s="74">
        <v>44955</v>
      </c>
      <c r="E107" s="89">
        <f t="shared" si="27"/>
        <v>0</v>
      </c>
      <c r="F107" s="90">
        <f t="shared" si="28"/>
        <v>0</v>
      </c>
      <c r="G107" s="91"/>
      <c r="H107" s="76">
        <f t="shared" si="29"/>
        <v>0</v>
      </c>
      <c r="I107" s="89">
        <f t="shared" si="30"/>
        <v>0</v>
      </c>
      <c r="J107" s="90">
        <f t="shared" si="31"/>
        <v>0</v>
      </c>
      <c r="K107" s="91">
        <f t="shared" si="32"/>
        <v>0</v>
      </c>
      <c r="L107" s="76">
        <f t="shared" si="33"/>
        <v>0</v>
      </c>
      <c r="N107" s="79">
        <f t="shared" si="35"/>
        <v>0</v>
      </c>
      <c r="O107" s="80">
        <f t="shared" si="36"/>
        <v>0</v>
      </c>
      <c r="P107" s="81">
        <f t="shared" si="37"/>
        <v>0</v>
      </c>
      <c r="Q107" s="79">
        <f t="shared" si="38"/>
        <v>0</v>
      </c>
      <c r="R107" s="80">
        <f t="shared" si="39"/>
        <v>0</v>
      </c>
      <c r="S107" s="81">
        <f t="shared" si="40"/>
        <v>0</v>
      </c>
      <c r="T107" s="92">
        <f t="shared" si="41"/>
        <v>0</v>
      </c>
      <c r="U107" s="93">
        <f t="shared" si="34"/>
        <v>0</v>
      </c>
    </row>
    <row r="108" spans="1:21" x14ac:dyDescent="0.25">
      <c r="A108" s="71">
        <f t="shared" si="26"/>
        <v>2023</v>
      </c>
      <c r="B108" s="72"/>
      <c r="C108" s="73" t="str">
        <f t="shared" si="25"/>
        <v>SEGUNDA</v>
      </c>
      <c r="D108" s="74">
        <v>44956</v>
      </c>
      <c r="E108" s="89">
        <f t="shared" si="27"/>
        <v>7</v>
      </c>
      <c r="F108" s="90">
        <f t="shared" si="28"/>
        <v>7</v>
      </c>
      <c r="G108" s="91"/>
      <c r="H108" s="76">
        <f t="shared" si="29"/>
        <v>14</v>
      </c>
      <c r="I108" s="89">
        <f t="shared" si="30"/>
        <v>8</v>
      </c>
      <c r="J108" s="90">
        <f t="shared" si="31"/>
        <v>8</v>
      </c>
      <c r="K108" s="91">
        <f t="shared" si="32"/>
        <v>8</v>
      </c>
      <c r="L108" s="76">
        <f t="shared" si="33"/>
        <v>24</v>
      </c>
      <c r="N108" s="79">
        <f t="shared" si="35"/>
        <v>52.36</v>
      </c>
      <c r="O108" s="80">
        <f t="shared" si="36"/>
        <v>42</v>
      </c>
      <c r="P108" s="81">
        <f t="shared" si="37"/>
        <v>0</v>
      </c>
      <c r="Q108" s="79">
        <f t="shared" si="38"/>
        <v>59.84</v>
      </c>
      <c r="R108" s="80">
        <f t="shared" si="39"/>
        <v>48</v>
      </c>
      <c r="S108" s="81">
        <f t="shared" si="40"/>
        <v>68</v>
      </c>
      <c r="T108" s="92">
        <f t="shared" si="41"/>
        <v>270.2</v>
      </c>
      <c r="U108" s="93">
        <f t="shared" si="34"/>
        <v>216.16</v>
      </c>
    </row>
    <row r="109" spans="1:21" x14ac:dyDescent="0.25">
      <c r="A109" s="71">
        <f t="shared" si="26"/>
        <v>2023</v>
      </c>
      <c r="B109" s="72"/>
      <c r="C109" s="73" t="str">
        <f t="shared" si="25"/>
        <v>TERÇA</v>
      </c>
      <c r="D109" s="74">
        <v>44957</v>
      </c>
      <c r="E109" s="89">
        <f t="shared" si="27"/>
        <v>7</v>
      </c>
      <c r="F109" s="90">
        <f t="shared" si="28"/>
        <v>7</v>
      </c>
      <c r="G109" s="91"/>
      <c r="H109" s="76">
        <f t="shared" si="29"/>
        <v>14</v>
      </c>
      <c r="I109" s="89">
        <f t="shared" si="30"/>
        <v>8</v>
      </c>
      <c r="J109" s="90">
        <f t="shared" si="31"/>
        <v>8</v>
      </c>
      <c r="K109" s="91">
        <f t="shared" si="32"/>
        <v>8</v>
      </c>
      <c r="L109" s="76">
        <f t="shared" si="33"/>
        <v>24</v>
      </c>
      <c r="N109" s="79">
        <f t="shared" si="35"/>
        <v>52.36</v>
      </c>
      <c r="O109" s="80">
        <f t="shared" si="36"/>
        <v>42</v>
      </c>
      <c r="P109" s="81">
        <f t="shared" si="37"/>
        <v>0</v>
      </c>
      <c r="Q109" s="79">
        <f t="shared" si="38"/>
        <v>59.84</v>
      </c>
      <c r="R109" s="80">
        <f t="shared" si="39"/>
        <v>48</v>
      </c>
      <c r="S109" s="81">
        <f t="shared" si="40"/>
        <v>68</v>
      </c>
      <c r="T109" s="92">
        <f t="shared" si="41"/>
        <v>270.2</v>
      </c>
      <c r="U109" s="93">
        <f t="shared" si="34"/>
        <v>216.16</v>
      </c>
    </row>
    <row r="110" spans="1:21" x14ac:dyDescent="0.25">
      <c r="A110" s="71">
        <f t="shared" si="26"/>
        <v>2023</v>
      </c>
      <c r="B110" s="72"/>
      <c r="C110" s="73" t="str">
        <f t="shared" si="25"/>
        <v>QUARTA</v>
      </c>
      <c r="D110" s="74">
        <v>44958</v>
      </c>
      <c r="E110" s="89">
        <f t="shared" si="27"/>
        <v>7</v>
      </c>
      <c r="F110" s="90">
        <f t="shared" si="28"/>
        <v>7</v>
      </c>
      <c r="G110" s="91"/>
      <c r="H110" s="76">
        <f t="shared" si="29"/>
        <v>14</v>
      </c>
      <c r="I110" s="89">
        <f t="shared" si="30"/>
        <v>8</v>
      </c>
      <c r="J110" s="90">
        <f t="shared" si="31"/>
        <v>8</v>
      </c>
      <c r="K110" s="91">
        <f t="shared" si="32"/>
        <v>8</v>
      </c>
      <c r="L110" s="76">
        <f t="shared" si="33"/>
        <v>24</v>
      </c>
      <c r="N110" s="79">
        <f t="shared" si="35"/>
        <v>52.36</v>
      </c>
      <c r="O110" s="80">
        <f t="shared" si="36"/>
        <v>42</v>
      </c>
      <c r="P110" s="81">
        <f t="shared" si="37"/>
        <v>0</v>
      </c>
      <c r="Q110" s="79">
        <f t="shared" si="38"/>
        <v>59.84</v>
      </c>
      <c r="R110" s="80">
        <f t="shared" si="39"/>
        <v>48</v>
      </c>
      <c r="S110" s="81">
        <f t="shared" si="40"/>
        <v>68</v>
      </c>
      <c r="T110" s="92">
        <f t="shared" si="41"/>
        <v>270.2</v>
      </c>
      <c r="U110" s="93">
        <f t="shared" si="34"/>
        <v>216.16</v>
      </c>
    </row>
    <row r="111" spans="1:21" x14ac:dyDescent="0.25">
      <c r="A111" s="71">
        <f t="shared" si="26"/>
        <v>2023</v>
      </c>
      <c r="B111" s="72"/>
      <c r="C111" s="73" t="str">
        <f t="shared" si="25"/>
        <v>QUINTA</v>
      </c>
      <c r="D111" s="74">
        <v>44959</v>
      </c>
      <c r="E111" s="89">
        <f t="shared" si="27"/>
        <v>7</v>
      </c>
      <c r="F111" s="90">
        <f t="shared" si="28"/>
        <v>7</v>
      </c>
      <c r="G111" s="91"/>
      <c r="H111" s="76">
        <f t="shared" si="29"/>
        <v>14</v>
      </c>
      <c r="I111" s="89">
        <f t="shared" si="30"/>
        <v>8</v>
      </c>
      <c r="J111" s="90">
        <f t="shared" si="31"/>
        <v>8</v>
      </c>
      <c r="K111" s="91">
        <f t="shared" si="32"/>
        <v>8</v>
      </c>
      <c r="L111" s="76">
        <f t="shared" si="33"/>
        <v>24</v>
      </c>
      <c r="N111" s="79">
        <f t="shared" si="35"/>
        <v>52.36</v>
      </c>
      <c r="O111" s="80">
        <f t="shared" si="36"/>
        <v>42</v>
      </c>
      <c r="P111" s="81">
        <f t="shared" si="37"/>
        <v>0</v>
      </c>
      <c r="Q111" s="79">
        <f t="shared" si="38"/>
        <v>59.84</v>
      </c>
      <c r="R111" s="80">
        <f t="shared" si="39"/>
        <v>48</v>
      </c>
      <c r="S111" s="81">
        <f t="shared" si="40"/>
        <v>68</v>
      </c>
      <c r="T111" s="92">
        <f t="shared" si="41"/>
        <v>270.2</v>
      </c>
      <c r="U111" s="93">
        <f t="shared" si="34"/>
        <v>216.16</v>
      </c>
    </row>
    <row r="112" spans="1:21" x14ac:dyDescent="0.25">
      <c r="A112" s="71">
        <f t="shared" si="26"/>
        <v>2023</v>
      </c>
      <c r="B112" s="72"/>
      <c r="C112" s="73" t="str">
        <f t="shared" si="25"/>
        <v>SEXTA</v>
      </c>
      <c r="D112" s="74">
        <v>44960</v>
      </c>
      <c r="E112" s="89">
        <f t="shared" si="27"/>
        <v>7</v>
      </c>
      <c r="F112" s="90">
        <f t="shared" si="28"/>
        <v>7</v>
      </c>
      <c r="G112" s="91"/>
      <c r="H112" s="76">
        <f t="shared" si="29"/>
        <v>14</v>
      </c>
      <c r="I112" s="89">
        <f t="shared" si="30"/>
        <v>8</v>
      </c>
      <c r="J112" s="90">
        <f t="shared" si="31"/>
        <v>8</v>
      </c>
      <c r="K112" s="91">
        <f t="shared" si="32"/>
        <v>8</v>
      </c>
      <c r="L112" s="76">
        <f t="shared" si="33"/>
        <v>24</v>
      </c>
      <c r="N112" s="79">
        <f t="shared" si="35"/>
        <v>52.36</v>
      </c>
      <c r="O112" s="80">
        <f t="shared" si="36"/>
        <v>42</v>
      </c>
      <c r="P112" s="81">
        <f t="shared" si="37"/>
        <v>0</v>
      </c>
      <c r="Q112" s="79">
        <f t="shared" si="38"/>
        <v>59.84</v>
      </c>
      <c r="R112" s="80">
        <f t="shared" si="39"/>
        <v>48</v>
      </c>
      <c r="S112" s="81">
        <f t="shared" si="40"/>
        <v>68</v>
      </c>
      <c r="T112" s="92">
        <f t="shared" si="41"/>
        <v>270.2</v>
      </c>
      <c r="U112" s="93">
        <f t="shared" si="34"/>
        <v>216.16</v>
      </c>
    </row>
    <row r="113" spans="1:21" x14ac:dyDescent="0.25">
      <c r="A113" s="71">
        <f t="shared" si="26"/>
        <v>2023</v>
      </c>
      <c r="B113" s="72"/>
      <c r="C113" s="73" t="str">
        <f t="shared" si="25"/>
        <v>SÁBADO</v>
      </c>
      <c r="D113" s="74">
        <v>44961</v>
      </c>
      <c r="E113" s="89">
        <f t="shared" si="27"/>
        <v>0</v>
      </c>
      <c r="F113" s="90">
        <f t="shared" si="28"/>
        <v>7</v>
      </c>
      <c r="G113" s="91"/>
      <c r="H113" s="76">
        <f t="shared" si="29"/>
        <v>7</v>
      </c>
      <c r="I113" s="89">
        <f t="shared" si="30"/>
        <v>0</v>
      </c>
      <c r="J113" s="90">
        <f t="shared" si="31"/>
        <v>8</v>
      </c>
      <c r="K113" s="91">
        <f t="shared" si="32"/>
        <v>0</v>
      </c>
      <c r="L113" s="76">
        <f t="shared" si="33"/>
        <v>8</v>
      </c>
      <c r="N113" s="79">
        <f t="shared" si="35"/>
        <v>0</v>
      </c>
      <c r="O113" s="80">
        <f t="shared" si="36"/>
        <v>42</v>
      </c>
      <c r="P113" s="81">
        <f t="shared" si="37"/>
        <v>0</v>
      </c>
      <c r="Q113" s="79">
        <f t="shared" si="38"/>
        <v>0</v>
      </c>
      <c r="R113" s="80">
        <f t="shared" si="39"/>
        <v>48</v>
      </c>
      <c r="S113" s="81">
        <f t="shared" si="40"/>
        <v>0</v>
      </c>
      <c r="T113" s="92">
        <f t="shared" si="41"/>
        <v>90</v>
      </c>
      <c r="U113" s="93">
        <f t="shared" si="34"/>
        <v>72</v>
      </c>
    </row>
    <row r="114" spans="1:21" x14ac:dyDescent="0.25">
      <c r="A114" s="71">
        <f t="shared" si="26"/>
        <v>2023</v>
      </c>
      <c r="B114" s="72"/>
      <c r="C114" s="73" t="str">
        <f t="shared" si="25"/>
        <v>DOMINGO</v>
      </c>
      <c r="D114" s="74">
        <v>44962</v>
      </c>
      <c r="E114" s="89">
        <f t="shared" si="27"/>
        <v>0</v>
      </c>
      <c r="F114" s="90">
        <f t="shared" si="28"/>
        <v>0</v>
      </c>
      <c r="G114" s="91"/>
      <c r="H114" s="76">
        <f t="shared" si="29"/>
        <v>0</v>
      </c>
      <c r="I114" s="89">
        <f t="shared" si="30"/>
        <v>0</v>
      </c>
      <c r="J114" s="90">
        <f t="shared" si="31"/>
        <v>0</v>
      </c>
      <c r="K114" s="91">
        <f t="shared" si="32"/>
        <v>0</v>
      </c>
      <c r="L114" s="76">
        <f t="shared" si="33"/>
        <v>0</v>
      </c>
      <c r="N114" s="79">
        <f t="shared" si="35"/>
        <v>0</v>
      </c>
      <c r="O114" s="80">
        <f t="shared" si="36"/>
        <v>0</v>
      </c>
      <c r="P114" s="81">
        <f t="shared" si="37"/>
        <v>0</v>
      </c>
      <c r="Q114" s="79">
        <f t="shared" si="38"/>
        <v>0</v>
      </c>
      <c r="R114" s="80">
        <f t="shared" si="39"/>
        <v>0</v>
      </c>
      <c r="S114" s="81">
        <f t="shared" si="40"/>
        <v>0</v>
      </c>
      <c r="T114" s="92">
        <f t="shared" si="41"/>
        <v>0</v>
      </c>
      <c r="U114" s="93">
        <f t="shared" si="34"/>
        <v>0</v>
      </c>
    </row>
    <row r="115" spans="1:21" x14ac:dyDescent="0.25">
      <c r="A115" s="71">
        <f t="shared" si="26"/>
        <v>2023</v>
      </c>
      <c r="B115" s="72"/>
      <c r="C115" s="73" t="str">
        <f t="shared" si="25"/>
        <v>SEGUNDA</v>
      </c>
      <c r="D115" s="74">
        <v>44963</v>
      </c>
      <c r="E115" s="89">
        <f t="shared" si="27"/>
        <v>7</v>
      </c>
      <c r="F115" s="90">
        <f t="shared" si="28"/>
        <v>7</v>
      </c>
      <c r="G115" s="91"/>
      <c r="H115" s="76">
        <f t="shared" si="29"/>
        <v>14</v>
      </c>
      <c r="I115" s="89">
        <f t="shared" si="30"/>
        <v>8</v>
      </c>
      <c r="J115" s="90">
        <f t="shared" si="31"/>
        <v>8</v>
      </c>
      <c r="K115" s="91">
        <f t="shared" si="32"/>
        <v>8</v>
      </c>
      <c r="L115" s="76">
        <f t="shared" si="33"/>
        <v>24</v>
      </c>
      <c r="N115" s="79">
        <f t="shared" si="35"/>
        <v>52.36</v>
      </c>
      <c r="O115" s="80">
        <f t="shared" si="36"/>
        <v>42</v>
      </c>
      <c r="P115" s="81">
        <f t="shared" si="37"/>
        <v>0</v>
      </c>
      <c r="Q115" s="79">
        <f t="shared" si="38"/>
        <v>59.84</v>
      </c>
      <c r="R115" s="80">
        <f t="shared" si="39"/>
        <v>48</v>
      </c>
      <c r="S115" s="81">
        <f t="shared" si="40"/>
        <v>68</v>
      </c>
      <c r="T115" s="92">
        <f t="shared" si="41"/>
        <v>270.2</v>
      </c>
      <c r="U115" s="93">
        <f t="shared" si="34"/>
        <v>216.16</v>
      </c>
    </row>
    <row r="116" spans="1:21" x14ac:dyDescent="0.25">
      <c r="A116" s="71">
        <f t="shared" si="26"/>
        <v>2023</v>
      </c>
      <c r="B116" s="72"/>
      <c r="C116" s="73" t="str">
        <f t="shared" si="25"/>
        <v>TERÇA</v>
      </c>
      <c r="D116" s="74">
        <v>44964</v>
      </c>
      <c r="E116" s="89">
        <f t="shared" si="27"/>
        <v>7</v>
      </c>
      <c r="F116" s="90">
        <f t="shared" si="28"/>
        <v>7</v>
      </c>
      <c r="G116" s="91"/>
      <c r="H116" s="76">
        <f t="shared" si="29"/>
        <v>14</v>
      </c>
      <c r="I116" s="89">
        <f t="shared" si="30"/>
        <v>8</v>
      </c>
      <c r="J116" s="90">
        <f t="shared" si="31"/>
        <v>8</v>
      </c>
      <c r="K116" s="91">
        <f t="shared" si="32"/>
        <v>8</v>
      </c>
      <c r="L116" s="76">
        <f t="shared" si="33"/>
        <v>24</v>
      </c>
      <c r="N116" s="79">
        <f t="shared" si="35"/>
        <v>52.36</v>
      </c>
      <c r="O116" s="80">
        <f t="shared" si="36"/>
        <v>42</v>
      </c>
      <c r="P116" s="81">
        <f t="shared" si="37"/>
        <v>0</v>
      </c>
      <c r="Q116" s="79">
        <f t="shared" si="38"/>
        <v>59.84</v>
      </c>
      <c r="R116" s="80">
        <f t="shared" si="39"/>
        <v>48</v>
      </c>
      <c r="S116" s="81">
        <f t="shared" si="40"/>
        <v>68</v>
      </c>
      <c r="T116" s="92">
        <f t="shared" si="41"/>
        <v>270.2</v>
      </c>
      <c r="U116" s="93">
        <f t="shared" si="34"/>
        <v>216.16</v>
      </c>
    </row>
    <row r="117" spans="1:21" x14ac:dyDescent="0.25">
      <c r="A117" s="71">
        <f t="shared" si="26"/>
        <v>2023</v>
      </c>
      <c r="B117" s="72"/>
      <c r="C117" s="73" t="str">
        <f t="shared" si="25"/>
        <v>QUARTA</v>
      </c>
      <c r="D117" s="74">
        <v>44965</v>
      </c>
      <c r="E117" s="89">
        <f t="shared" si="27"/>
        <v>7</v>
      </c>
      <c r="F117" s="90">
        <f t="shared" si="28"/>
        <v>7</v>
      </c>
      <c r="G117" s="91"/>
      <c r="H117" s="76">
        <f t="shared" si="29"/>
        <v>14</v>
      </c>
      <c r="I117" s="89">
        <f t="shared" si="30"/>
        <v>8</v>
      </c>
      <c r="J117" s="90">
        <f t="shared" si="31"/>
        <v>8</v>
      </c>
      <c r="K117" s="91">
        <f t="shared" si="32"/>
        <v>8</v>
      </c>
      <c r="L117" s="76">
        <f t="shared" si="33"/>
        <v>24</v>
      </c>
      <c r="N117" s="79">
        <f t="shared" si="35"/>
        <v>52.36</v>
      </c>
      <c r="O117" s="80">
        <f t="shared" si="36"/>
        <v>42</v>
      </c>
      <c r="P117" s="81">
        <f t="shared" si="37"/>
        <v>0</v>
      </c>
      <c r="Q117" s="79">
        <f t="shared" si="38"/>
        <v>59.84</v>
      </c>
      <c r="R117" s="80">
        <f t="shared" si="39"/>
        <v>48</v>
      </c>
      <c r="S117" s="81">
        <f t="shared" si="40"/>
        <v>68</v>
      </c>
      <c r="T117" s="92">
        <f t="shared" si="41"/>
        <v>270.2</v>
      </c>
      <c r="U117" s="93">
        <f t="shared" si="34"/>
        <v>216.16</v>
      </c>
    </row>
    <row r="118" spans="1:21" x14ac:dyDescent="0.25">
      <c r="A118" s="71">
        <f t="shared" si="26"/>
        <v>2023</v>
      </c>
      <c r="B118" s="72"/>
      <c r="C118" s="73" t="str">
        <f t="shared" si="25"/>
        <v>QUINTA</v>
      </c>
      <c r="D118" s="74">
        <v>44966</v>
      </c>
      <c r="E118" s="89">
        <f t="shared" si="27"/>
        <v>7</v>
      </c>
      <c r="F118" s="90">
        <f t="shared" si="28"/>
        <v>7</v>
      </c>
      <c r="G118" s="91"/>
      <c r="H118" s="76">
        <f t="shared" si="29"/>
        <v>14</v>
      </c>
      <c r="I118" s="89">
        <f t="shared" si="30"/>
        <v>8</v>
      </c>
      <c r="J118" s="90">
        <f t="shared" si="31"/>
        <v>8</v>
      </c>
      <c r="K118" s="91">
        <f t="shared" si="32"/>
        <v>8</v>
      </c>
      <c r="L118" s="76">
        <f t="shared" si="33"/>
        <v>24</v>
      </c>
      <c r="N118" s="79">
        <f t="shared" si="35"/>
        <v>52.36</v>
      </c>
      <c r="O118" s="80">
        <f t="shared" si="36"/>
        <v>42</v>
      </c>
      <c r="P118" s="81">
        <f t="shared" si="37"/>
        <v>0</v>
      </c>
      <c r="Q118" s="79">
        <f t="shared" si="38"/>
        <v>59.84</v>
      </c>
      <c r="R118" s="80">
        <f t="shared" si="39"/>
        <v>48</v>
      </c>
      <c r="S118" s="81">
        <f t="shared" si="40"/>
        <v>68</v>
      </c>
      <c r="T118" s="92">
        <f t="shared" si="41"/>
        <v>270.2</v>
      </c>
      <c r="U118" s="93">
        <f t="shared" si="34"/>
        <v>216.16</v>
      </c>
    </row>
    <row r="119" spans="1:21" x14ac:dyDescent="0.25">
      <c r="A119" s="71">
        <f t="shared" si="26"/>
        <v>2023</v>
      </c>
      <c r="B119" s="72"/>
      <c r="C119" s="73" t="str">
        <f t="shared" si="25"/>
        <v>SEXTA</v>
      </c>
      <c r="D119" s="74">
        <v>44967</v>
      </c>
      <c r="E119" s="89">
        <f t="shared" si="27"/>
        <v>7</v>
      </c>
      <c r="F119" s="90">
        <f t="shared" si="28"/>
        <v>7</v>
      </c>
      <c r="G119" s="91"/>
      <c r="H119" s="76">
        <f t="shared" si="29"/>
        <v>14</v>
      </c>
      <c r="I119" s="89">
        <f t="shared" si="30"/>
        <v>8</v>
      </c>
      <c r="J119" s="90">
        <f t="shared" si="31"/>
        <v>8</v>
      </c>
      <c r="K119" s="91">
        <f t="shared" si="32"/>
        <v>8</v>
      </c>
      <c r="L119" s="76">
        <f t="shared" si="33"/>
        <v>24</v>
      </c>
      <c r="N119" s="79">
        <f t="shared" si="35"/>
        <v>52.36</v>
      </c>
      <c r="O119" s="80">
        <f t="shared" si="36"/>
        <v>42</v>
      </c>
      <c r="P119" s="81">
        <f t="shared" si="37"/>
        <v>0</v>
      </c>
      <c r="Q119" s="79">
        <f t="shared" si="38"/>
        <v>59.84</v>
      </c>
      <c r="R119" s="80">
        <f t="shared" si="39"/>
        <v>48</v>
      </c>
      <c r="S119" s="81">
        <f t="shared" si="40"/>
        <v>68</v>
      </c>
      <c r="T119" s="92">
        <f t="shared" si="41"/>
        <v>270.2</v>
      </c>
      <c r="U119" s="93">
        <f t="shared" si="34"/>
        <v>216.16</v>
      </c>
    </row>
    <row r="120" spans="1:21" x14ac:dyDescent="0.25">
      <c r="A120" s="71">
        <f t="shared" si="26"/>
        <v>2023</v>
      </c>
      <c r="B120" s="72"/>
      <c r="C120" s="73" t="str">
        <f t="shared" si="25"/>
        <v>SÁBADO</v>
      </c>
      <c r="D120" s="74">
        <v>44968</v>
      </c>
      <c r="E120" s="89">
        <f t="shared" si="27"/>
        <v>0</v>
      </c>
      <c r="F120" s="90">
        <f t="shared" si="28"/>
        <v>7</v>
      </c>
      <c r="G120" s="91"/>
      <c r="H120" s="76">
        <f t="shared" si="29"/>
        <v>7</v>
      </c>
      <c r="I120" s="89">
        <f t="shared" si="30"/>
        <v>0</v>
      </c>
      <c r="J120" s="90">
        <f t="shared" si="31"/>
        <v>8</v>
      </c>
      <c r="K120" s="91">
        <f t="shared" si="32"/>
        <v>0</v>
      </c>
      <c r="L120" s="76">
        <f t="shared" si="33"/>
        <v>8</v>
      </c>
      <c r="N120" s="79">
        <f t="shared" si="35"/>
        <v>0</v>
      </c>
      <c r="O120" s="80">
        <f t="shared" si="36"/>
        <v>42</v>
      </c>
      <c r="P120" s="81">
        <f t="shared" si="37"/>
        <v>0</v>
      </c>
      <c r="Q120" s="79">
        <f t="shared" si="38"/>
        <v>0</v>
      </c>
      <c r="R120" s="80">
        <f t="shared" si="39"/>
        <v>48</v>
      </c>
      <c r="S120" s="81">
        <f t="shared" si="40"/>
        <v>0</v>
      </c>
      <c r="T120" s="92">
        <f t="shared" si="41"/>
        <v>90</v>
      </c>
      <c r="U120" s="93">
        <f t="shared" si="34"/>
        <v>72</v>
      </c>
    </row>
    <row r="121" spans="1:21" x14ac:dyDescent="0.25">
      <c r="A121" s="71">
        <f t="shared" si="26"/>
        <v>2023</v>
      </c>
      <c r="B121" s="72"/>
      <c r="C121" s="73" t="str">
        <f t="shared" si="25"/>
        <v>DOMINGO</v>
      </c>
      <c r="D121" s="74">
        <v>44969</v>
      </c>
      <c r="E121" s="89">
        <f t="shared" si="27"/>
        <v>0</v>
      </c>
      <c r="F121" s="90">
        <f t="shared" si="28"/>
        <v>0</v>
      </c>
      <c r="G121" s="91"/>
      <c r="H121" s="76">
        <f t="shared" si="29"/>
        <v>0</v>
      </c>
      <c r="I121" s="89">
        <f t="shared" si="30"/>
        <v>0</v>
      </c>
      <c r="J121" s="90">
        <f t="shared" si="31"/>
        <v>0</v>
      </c>
      <c r="K121" s="91">
        <f t="shared" si="32"/>
        <v>0</v>
      </c>
      <c r="L121" s="76">
        <f t="shared" si="33"/>
        <v>0</v>
      </c>
      <c r="N121" s="79">
        <f t="shared" si="35"/>
        <v>0</v>
      </c>
      <c r="O121" s="80">
        <f t="shared" si="36"/>
        <v>0</v>
      </c>
      <c r="P121" s="81">
        <f t="shared" si="37"/>
        <v>0</v>
      </c>
      <c r="Q121" s="79">
        <f t="shared" si="38"/>
        <v>0</v>
      </c>
      <c r="R121" s="80">
        <f t="shared" si="39"/>
        <v>0</v>
      </c>
      <c r="S121" s="81">
        <f t="shared" si="40"/>
        <v>0</v>
      </c>
      <c r="T121" s="92">
        <f t="shared" si="41"/>
        <v>0</v>
      </c>
      <c r="U121" s="93">
        <f t="shared" si="34"/>
        <v>0</v>
      </c>
    </row>
    <row r="122" spans="1:21" x14ac:dyDescent="0.25">
      <c r="A122" s="71">
        <f t="shared" si="26"/>
        <v>2023</v>
      </c>
      <c r="B122" s="72"/>
      <c r="C122" s="73" t="str">
        <f t="shared" si="25"/>
        <v>SEGUNDA</v>
      </c>
      <c r="D122" s="74">
        <v>44970</v>
      </c>
      <c r="E122" s="89">
        <f t="shared" si="27"/>
        <v>7</v>
      </c>
      <c r="F122" s="90">
        <f t="shared" si="28"/>
        <v>7</v>
      </c>
      <c r="G122" s="91"/>
      <c r="H122" s="76">
        <f t="shared" si="29"/>
        <v>14</v>
      </c>
      <c r="I122" s="89">
        <f t="shared" si="30"/>
        <v>8</v>
      </c>
      <c r="J122" s="90">
        <f t="shared" si="31"/>
        <v>8</v>
      </c>
      <c r="K122" s="91">
        <f t="shared" si="32"/>
        <v>8</v>
      </c>
      <c r="L122" s="76">
        <f t="shared" si="33"/>
        <v>24</v>
      </c>
      <c r="N122" s="79">
        <f t="shared" si="35"/>
        <v>52.36</v>
      </c>
      <c r="O122" s="80">
        <f t="shared" si="36"/>
        <v>42</v>
      </c>
      <c r="P122" s="81">
        <f t="shared" si="37"/>
        <v>0</v>
      </c>
      <c r="Q122" s="79">
        <f t="shared" si="38"/>
        <v>59.84</v>
      </c>
      <c r="R122" s="80">
        <f t="shared" si="39"/>
        <v>48</v>
      </c>
      <c r="S122" s="81">
        <f t="shared" si="40"/>
        <v>68</v>
      </c>
      <c r="T122" s="92">
        <f t="shared" si="41"/>
        <v>270.2</v>
      </c>
      <c r="U122" s="93">
        <f t="shared" si="34"/>
        <v>216.16</v>
      </c>
    </row>
    <row r="123" spans="1:21" x14ac:dyDescent="0.25">
      <c r="A123" s="71">
        <f t="shared" si="26"/>
        <v>2023</v>
      </c>
      <c r="B123" s="72"/>
      <c r="C123" s="73" t="str">
        <f t="shared" si="25"/>
        <v>TERÇA</v>
      </c>
      <c r="D123" s="74">
        <v>44971</v>
      </c>
      <c r="E123" s="89">
        <f t="shared" si="27"/>
        <v>7</v>
      </c>
      <c r="F123" s="90">
        <f t="shared" si="28"/>
        <v>7</v>
      </c>
      <c r="G123" s="91"/>
      <c r="H123" s="76">
        <f t="shared" si="29"/>
        <v>14</v>
      </c>
      <c r="I123" s="89">
        <f t="shared" si="30"/>
        <v>8</v>
      </c>
      <c r="J123" s="90">
        <f t="shared" si="31"/>
        <v>8</v>
      </c>
      <c r="K123" s="91">
        <f t="shared" si="32"/>
        <v>8</v>
      </c>
      <c r="L123" s="76">
        <f t="shared" si="33"/>
        <v>24</v>
      </c>
      <c r="N123" s="79">
        <f t="shared" si="35"/>
        <v>52.36</v>
      </c>
      <c r="O123" s="80">
        <f t="shared" si="36"/>
        <v>42</v>
      </c>
      <c r="P123" s="81">
        <f t="shared" si="37"/>
        <v>0</v>
      </c>
      <c r="Q123" s="79">
        <f t="shared" si="38"/>
        <v>59.84</v>
      </c>
      <c r="R123" s="80">
        <f t="shared" si="39"/>
        <v>48</v>
      </c>
      <c r="S123" s="81">
        <f t="shared" si="40"/>
        <v>68</v>
      </c>
      <c r="T123" s="92">
        <f t="shared" si="41"/>
        <v>270.2</v>
      </c>
      <c r="U123" s="93">
        <f t="shared" si="34"/>
        <v>216.16</v>
      </c>
    </row>
    <row r="124" spans="1:21" x14ac:dyDescent="0.25">
      <c r="A124" s="71">
        <f t="shared" si="26"/>
        <v>2023</v>
      </c>
      <c r="B124" s="72"/>
      <c r="C124" s="73" t="str">
        <f t="shared" si="25"/>
        <v>QUARTA</v>
      </c>
      <c r="D124" s="74">
        <v>44972</v>
      </c>
      <c r="E124" s="89">
        <f t="shared" si="27"/>
        <v>7</v>
      </c>
      <c r="F124" s="90">
        <f t="shared" si="28"/>
        <v>7</v>
      </c>
      <c r="G124" s="91"/>
      <c r="H124" s="76">
        <f t="shared" si="29"/>
        <v>14</v>
      </c>
      <c r="I124" s="89">
        <f t="shared" si="30"/>
        <v>8</v>
      </c>
      <c r="J124" s="90">
        <f t="shared" si="31"/>
        <v>8</v>
      </c>
      <c r="K124" s="91">
        <f t="shared" si="32"/>
        <v>8</v>
      </c>
      <c r="L124" s="76">
        <f t="shared" si="33"/>
        <v>24</v>
      </c>
      <c r="N124" s="79">
        <f t="shared" si="35"/>
        <v>52.36</v>
      </c>
      <c r="O124" s="80">
        <f t="shared" si="36"/>
        <v>42</v>
      </c>
      <c r="P124" s="81">
        <f t="shared" si="37"/>
        <v>0</v>
      </c>
      <c r="Q124" s="79">
        <f t="shared" si="38"/>
        <v>59.84</v>
      </c>
      <c r="R124" s="80">
        <f t="shared" si="39"/>
        <v>48</v>
      </c>
      <c r="S124" s="81">
        <f t="shared" si="40"/>
        <v>68</v>
      </c>
      <c r="T124" s="92">
        <f t="shared" si="41"/>
        <v>270.2</v>
      </c>
      <c r="U124" s="93">
        <f t="shared" si="34"/>
        <v>216.16</v>
      </c>
    </row>
    <row r="125" spans="1:21" x14ac:dyDescent="0.25">
      <c r="A125" s="71">
        <f t="shared" si="26"/>
        <v>2023</v>
      </c>
      <c r="B125" s="72"/>
      <c r="C125" s="73" t="str">
        <f t="shared" si="25"/>
        <v>QUINTA</v>
      </c>
      <c r="D125" s="74">
        <v>44973</v>
      </c>
      <c r="E125" s="89">
        <f t="shared" si="27"/>
        <v>7</v>
      </c>
      <c r="F125" s="90">
        <f t="shared" si="28"/>
        <v>7</v>
      </c>
      <c r="G125" s="91"/>
      <c r="H125" s="76">
        <f t="shared" si="29"/>
        <v>14</v>
      </c>
      <c r="I125" s="89">
        <f t="shared" si="30"/>
        <v>8</v>
      </c>
      <c r="J125" s="90">
        <f t="shared" si="31"/>
        <v>8</v>
      </c>
      <c r="K125" s="91">
        <f t="shared" si="32"/>
        <v>8</v>
      </c>
      <c r="L125" s="76">
        <f t="shared" si="33"/>
        <v>24</v>
      </c>
      <c r="N125" s="79">
        <f t="shared" si="35"/>
        <v>52.36</v>
      </c>
      <c r="O125" s="80">
        <f t="shared" si="36"/>
        <v>42</v>
      </c>
      <c r="P125" s="81">
        <f t="shared" si="37"/>
        <v>0</v>
      </c>
      <c r="Q125" s="79">
        <f t="shared" si="38"/>
        <v>59.84</v>
      </c>
      <c r="R125" s="80">
        <f t="shared" si="39"/>
        <v>48</v>
      </c>
      <c r="S125" s="81">
        <f t="shared" si="40"/>
        <v>68</v>
      </c>
      <c r="T125" s="92">
        <f t="shared" si="41"/>
        <v>270.2</v>
      </c>
      <c r="U125" s="93">
        <f t="shared" si="34"/>
        <v>216.16</v>
      </c>
    </row>
    <row r="126" spans="1:21" x14ac:dyDescent="0.25">
      <c r="A126" s="71">
        <f t="shared" si="26"/>
        <v>2023</v>
      </c>
      <c r="B126" s="72"/>
      <c r="C126" s="73" t="str">
        <f t="shared" si="25"/>
        <v>SEXTA</v>
      </c>
      <c r="D126" s="74">
        <v>44974</v>
      </c>
      <c r="E126" s="89">
        <f t="shared" si="27"/>
        <v>7</v>
      </c>
      <c r="F126" s="90">
        <f t="shared" si="28"/>
        <v>7</v>
      </c>
      <c r="G126" s="91"/>
      <c r="H126" s="76">
        <f t="shared" si="29"/>
        <v>14</v>
      </c>
      <c r="I126" s="89">
        <f t="shared" si="30"/>
        <v>8</v>
      </c>
      <c r="J126" s="90">
        <f t="shared" si="31"/>
        <v>8</v>
      </c>
      <c r="K126" s="91">
        <f t="shared" si="32"/>
        <v>8</v>
      </c>
      <c r="L126" s="76">
        <f t="shared" si="33"/>
        <v>24</v>
      </c>
      <c r="N126" s="79">
        <f t="shared" si="35"/>
        <v>52.36</v>
      </c>
      <c r="O126" s="80">
        <f t="shared" si="36"/>
        <v>42</v>
      </c>
      <c r="P126" s="81">
        <f t="shared" si="37"/>
        <v>0</v>
      </c>
      <c r="Q126" s="79">
        <f t="shared" si="38"/>
        <v>59.84</v>
      </c>
      <c r="R126" s="80">
        <f t="shared" si="39"/>
        <v>48</v>
      </c>
      <c r="S126" s="81">
        <f t="shared" si="40"/>
        <v>68</v>
      </c>
      <c r="T126" s="92">
        <f t="shared" si="41"/>
        <v>270.2</v>
      </c>
      <c r="U126" s="93">
        <f t="shared" si="34"/>
        <v>216.16</v>
      </c>
    </row>
    <row r="127" spans="1:21" x14ac:dyDescent="0.25">
      <c r="A127" s="71">
        <f t="shared" si="26"/>
        <v>2023</v>
      </c>
      <c r="B127" s="72" t="str">
        <f t="shared" ref="B127:B190" si="42">VLOOKUP(MONTH(D127),$AG$2:$AH$14,2,0)</f>
        <v>FEVEREIRO</v>
      </c>
      <c r="C127" s="73" t="str">
        <f t="shared" si="25"/>
        <v>SÁBADO</v>
      </c>
      <c r="D127" s="74">
        <v>44975</v>
      </c>
      <c r="E127" s="89">
        <f t="shared" si="27"/>
        <v>0</v>
      </c>
      <c r="F127" s="90">
        <f t="shared" si="28"/>
        <v>7</v>
      </c>
      <c r="G127" s="91"/>
      <c r="H127" s="76">
        <f t="shared" si="29"/>
        <v>7</v>
      </c>
      <c r="I127" s="89">
        <f t="shared" si="30"/>
        <v>0</v>
      </c>
      <c r="J127" s="90">
        <f t="shared" si="31"/>
        <v>8</v>
      </c>
      <c r="K127" s="91">
        <f t="shared" si="32"/>
        <v>0</v>
      </c>
      <c r="L127" s="76">
        <f t="shared" si="33"/>
        <v>8</v>
      </c>
      <c r="N127" s="79">
        <f t="shared" si="35"/>
        <v>0</v>
      </c>
      <c r="O127" s="80">
        <f t="shared" si="36"/>
        <v>42</v>
      </c>
      <c r="P127" s="81">
        <f t="shared" si="37"/>
        <v>0</v>
      </c>
      <c r="Q127" s="79">
        <f t="shared" si="38"/>
        <v>0</v>
      </c>
      <c r="R127" s="80">
        <f t="shared" si="39"/>
        <v>48</v>
      </c>
      <c r="S127" s="81">
        <f t="shared" si="40"/>
        <v>0</v>
      </c>
      <c r="T127" s="92">
        <f t="shared" si="41"/>
        <v>90</v>
      </c>
      <c r="U127" s="93">
        <f t="shared" si="34"/>
        <v>72</v>
      </c>
    </row>
    <row r="128" spans="1:21" x14ac:dyDescent="0.25">
      <c r="A128" s="71">
        <f t="shared" si="26"/>
        <v>2023</v>
      </c>
      <c r="B128" s="72" t="str">
        <f t="shared" si="42"/>
        <v>FEVEREIRO</v>
      </c>
      <c r="C128" s="73" t="str">
        <f t="shared" si="25"/>
        <v>DOMINGO</v>
      </c>
      <c r="D128" s="74">
        <v>44976</v>
      </c>
      <c r="E128" s="89">
        <f t="shared" si="27"/>
        <v>0</v>
      </c>
      <c r="F128" s="90">
        <f t="shared" si="28"/>
        <v>0</v>
      </c>
      <c r="G128" s="91"/>
      <c r="H128" s="76">
        <f t="shared" si="29"/>
        <v>0</v>
      </c>
      <c r="I128" s="89">
        <f t="shared" si="30"/>
        <v>0</v>
      </c>
      <c r="J128" s="90">
        <f t="shared" si="31"/>
        <v>0</v>
      </c>
      <c r="K128" s="91">
        <f t="shared" si="32"/>
        <v>0</v>
      </c>
      <c r="L128" s="76">
        <f t="shared" si="33"/>
        <v>0</v>
      </c>
      <c r="N128" s="79">
        <f t="shared" si="35"/>
        <v>0</v>
      </c>
      <c r="O128" s="80">
        <f t="shared" si="36"/>
        <v>0</v>
      </c>
      <c r="P128" s="81">
        <f t="shared" si="37"/>
        <v>0</v>
      </c>
      <c r="Q128" s="79">
        <f t="shared" si="38"/>
        <v>0</v>
      </c>
      <c r="R128" s="80">
        <f t="shared" si="39"/>
        <v>0</v>
      </c>
      <c r="S128" s="81">
        <f t="shared" si="40"/>
        <v>0</v>
      </c>
      <c r="T128" s="92">
        <f t="shared" si="41"/>
        <v>0</v>
      </c>
      <c r="U128" s="93">
        <f t="shared" si="34"/>
        <v>0</v>
      </c>
    </row>
    <row r="129" spans="1:21" x14ac:dyDescent="0.25">
      <c r="A129" s="71">
        <f t="shared" si="26"/>
        <v>2023</v>
      </c>
      <c r="B129" s="72" t="str">
        <f t="shared" si="42"/>
        <v>FEVEREIRO</v>
      </c>
      <c r="C129" s="73" t="str">
        <f t="shared" si="25"/>
        <v>SEGUNDA</v>
      </c>
      <c r="D129" s="74">
        <v>44977</v>
      </c>
      <c r="E129" s="89">
        <f t="shared" si="27"/>
        <v>7</v>
      </c>
      <c r="F129" s="90">
        <f t="shared" si="28"/>
        <v>7</v>
      </c>
      <c r="G129" s="91"/>
      <c r="H129" s="76">
        <f t="shared" si="29"/>
        <v>14</v>
      </c>
      <c r="I129" s="89">
        <f t="shared" si="30"/>
        <v>8</v>
      </c>
      <c r="J129" s="90">
        <f t="shared" si="31"/>
        <v>8</v>
      </c>
      <c r="K129" s="91">
        <f t="shared" si="32"/>
        <v>8</v>
      </c>
      <c r="L129" s="76">
        <f t="shared" si="33"/>
        <v>24</v>
      </c>
      <c r="N129" s="79">
        <f t="shared" si="35"/>
        <v>52.36</v>
      </c>
      <c r="O129" s="80">
        <f t="shared" si="36"/>
        <v>42</v>
      </c>
      <c r="P129" s="81">
        <f t="shared" si="37"/>
        <v>0</v>
      </c>
      <c r="Q129" s="79">
        <f t="shared" si="38"/>
        <v>59.84</v>
      </c>
      <c r="R129" s="80">
        <f t="shared" si="39"/>
        <v>48</v>
      </c>
      <c r="S129" s="81">
        <f t="shared" si="40"/>
        <v>68</v>
      </c>
      <c r="T129" s="92">
        <f t="shared" si="41"/>
        <v>270.2</v>
      </c>
      <c r="U129" s="93">
        <f t="shared" si="34"/>
        <v>216.16</v>
      </c>
    </row>
    <row r="130" spans="1:21" x14ac:dyDescent="0.25">
      <c r="A130" s="71">
        <f t="shared" si="26"/>
        <v>2023</v>
      </c>
      <c r="B130" s="72" t="str">
        <f t="shared" si="42"/>
        <v>FEVEREIRO</v>
      </c>
      <c r="C130" s="73" t="str">
        <f t="shared" si="25"/>
        <v>TERÇA</v>
      </c>
      <c r="D130" s="74">
        <v>44978</v>
      </c>
      <c r="E130" s="89">
        <f t="shared" si="27"/>
        <v>7</v>
      </c>
      <c r="F130" s="90">
        <f t="shared" si="28"/>
        <v>7</v>
      </c>
      <c r="G130" s="91"/>
      <c r="H130" s="76">
        <f t="shared" si="29"/>
        <v>14</v>
      </c>
      <c r="I130" s="89">
        <f t="shared" si="30"/>
        <v>8</v>
      </c>
      <c r="J130" s="90">
        <f t="shared" si="31"/>
        <v>8</v>
      </c>
      <c r="K130" s="91">
        <f t="shared" si="32"/>
        <v>8</v>
      </c>
      <c r="L130" s="76">
        <f t="shared" si="33"/>
        <v>24</v>
      </c>
      <c r="N130" s="79">
        <f t="shared" si="35"/>
        <v>52.36</v>
      </c>
      <c r="O130" s="80">
        <f t="shared" si="36"/>
        <v>42</v>
      </c>
      <c r="P130" s="81">
        <f t="shared" si="37"/>
        <v>0</v>
      </c>
      <c r="Q130" s="79">
        <f t="shared" si="38"/>
        <v>59.84</v>
      </c>
      <c r="R130" s="80">
        <f t="shared" si="39"/>
        <v>48</v>
      </c>
      <c r="S130" s="81">
        <f t="shared" si="40"/>
        <v>68</v>
      </c>
      <c r="T130" s="92">
        <f t="shared" si="41"/>
        <v>270.2</v>
      </c>
      <c r="U130" s="93">
        <f t="shared" si="34"/>
        <v>216.16</v>
      </c>
    </row>
    <row r="131" spans="1:21" x14ac:dyDescent="0.25">
      <c r="A131" s="71">
        <f t="shared" si="26"/>
        <v>2023</v>
      </c>
      <c r="B131" s="72" t="str">
        <f t="shared" si="42"/>
        <v>FEVEREIRO</v>
      </c>
      <c r="C131" s="73" t="str">
        <f t="shared" si="25"/>
        <v>QUARTA</v>
      </c>
      <c r="D131" s="74">
        <v>44979</v>
      </c>
      <c r="E131" s="89">
        <f t="shared" si="27"/>
        <v>7</v>
      </c>
      <c r="F131" s="90">
        <f t="shared" si="28"/>
        <v>7</v>
      </c>
      <c r="G131" s="91"/>
      <c r="H131" s="76">
        <f t="shared" si="29"/>
        <v>14</v>
      </c>
      <c r="I131" s="89">
        <f t="shared" si="30"/>
        <v>8</v>
      </c>
      <c r="J131" s="90">
        <f t="shared" si="31"/>
        <v>8</v>
      </c>
      <c r="K131" s="91">
        <f t="shared" si="32"/>
        <v>8</v>
      </c>
      <c r="L131" s="76">
        <f t="shared" si="33"/>
        <v>24</v>
      </c>
      <c r="N131" s="79">
        <f t="shared" si="35"/>
        <v>52.36</v>
      </c>
      <c r="O131" s="80">
        <f t="shared" si="36"/>
        <v>42</v>
      </c>
      <c r="P131" s="81">
        <f t="shared" si="37"/>
        <v>0</v>
      </c>
      <c r="Q131" s="79">
        <f t="shared" si="38"/>
        <v>59.84</v>
      </c>
      <c r="R131" s="80">
        <f t="shared" si="39"/>
        <v>48</v>
      </c>
      <c r="S131" s="81">
        <f t="shared" si="40"/>
        <v>68</v>
      </c>
      <c r="T131" s="92">
        <f t="shared" si="41"/>
        <v>270.2</v>
      </c>
      <c r="U131" s="93">
        <f t="shared" si="34"/>
        <v>216.16</v>
      </c>
    </row>
    <row r="132" spans="1:21" x14ac:dyDescent="0.25">
      <c r="A132" s="71">
        <f t="shared" si="26"/>
        <v>2023</v>
      </c>
      <c r="B132" s="72" t="str">
        <f t="shared" si="42"/>
        <v>FEVEREIRO</v>
      </c>
      <c r="C132" s="73" t="str">
        <f t="shared" si="25"/>
        <v>QUINTA</v>
      </c>
      <c r="D132" s="74">
        <v>44980</v>
      </c>
      <c r="E132" s="89">
        <f t="shared" si="27"/>
        <v>7</v>
      </c>
      <c r="F132" s="90">
        <f t="shared" si="28"/>
        <v>7</v>
      </c>
      <c r="G132" s="91"/>
      <c r="H132" s="76">
        <f t="shared" si="29"/>
        <v>14</v>
      </c>
      <c r="I132" s="89">
        <f t="shared" si="30"/>
        <v>8</v>
      </c>
      <c r="J132" s="90">
        <f t="shared" si="31"/>
        <v>8</v>
      </c>
      <c r="K132" s="91">
        <f t="shared" si="32"/>
        <v>8</v>
      </c>
      <c r="L132" s="76">
        <f t="shared" si="33"/>
        <v>24</v>
      </c>
      <c r="N132" s="79">
        <f t="shared" si="35"/>
        <v>52.36</v>
      </c>
      <c r="O132" s="80">
        <f t="shared" si="36"/>
        <v>42</v>
      </c>
      <c r="P132" s="81">
        <f t="shared" si="37"/>
        <v>0</v>
      </c>
      <c r="Q132" s="79">
        <f t="shared" si="38"/>
        <v>59.84</v>
      </c>
      <c r="R132" s="80">
        <f t="shared" si="39"/>
        <v>48</v>
      </c>
      <c r="S132" s="81">
        <f t="shared" si="40"/>
        <v>68</v>
      </c>
      <c r="T132" s="92">
        <f t="shared" si="41"/>
        <v>270.2</v>
      </c>
      <c r="U132" s="93">
        <f t="shared" si="34"/>
        <v>216.16</v>
      </c>
    </row>
    <row r="133" spans="1:21" x14ac:dyDescent="0.25">
      <c r="A133" s="71">
        <f t="shared" si="26"/>
        <v>2023</v>
      </c>
      <c r="B133" s="72" t="str">
        <f t="shared" si="42"/>
        <v>FEVEREIRO</v>
      </c>
      <c r="C133" s="73" t="str">
        <f t="shared" ref="C133:C196" si="43">VLOOKUP(WEEKDAY(D133),$AE$2:$AF$9,2,0)</f>
        <v>SEXTA</v>
      </c>
      <c r="D133" s="74">
        <v>44981</v>
      </c>
      <c r="E133" s="89">
        <f t="shared" si="27"/>
        <v>7</v>
      </c>
      <c r="F133" s="90">
        <f t="shared" si="28"/>
        <v>7</v>
      </c>
      <c r="G133" s="91"/>
      <c r="H133" s="76">
        <f t="shared" si="29"/>
        <v>14</v>
      </c>
      <c r="I133" s="89">
        <f t="shared" si="30"/>
        <v>8</v>
      </c>
      <c r="J133" s="90">
        <f t="shared" si="31"/>
        <v>8</v>
      </c>
      <c r="K133" s="91">
        <f t="shared" si="32"/>
        <v>8</v>
      </c>
      <c r="L133" s="76">
        <f t="shared" si="33"/>
        <v>24</v>
      </c>
      <c r="N133" s="79">
        <f t="shared" si="35"/>
        <v>52.36</v>
      </c>
      <c r="O133" s="80">
        <f t="shared" si="36"/>
        <v>42</v>
      </c>
      <c r="P133" s="81">
        <f t="shared" si="37"/>
        <v>0</v>
      </c>
      <c r="Q133" s="79">
        <f t="shared" si="38"/>
        <v>59.84</v>
      </c>
      <c r="R133" s="80">
        <f t="shared" si="39"/>
        <v>48</v>
      </c>
      <c r="S133" s="81">
        <f t="shared" si="40"/>
        <v>68</v>
      </c>
      <c r="T133" s="92">
        <f t="shared" si="41"/>
        <v>270.2</v>
      </c>
      <c r="U133" s="93">
        <f t="shared" si="34"/>
        <v>216.16</v>
      </c>
    </row>
    <row r="134" spans="1:21" x14ac:dyDescent="0.25">
      <c r="A134" s="71">
        <f t="shared" ref="A134:A197" si="44">YEAR(D134)</f>
        <v>2023</v>
      </c>
      <c r="B134" s="72" t="str">
        <f t="shared" si="42"/>
        <v>FEVEREIRO</v>
      </c>
      <c r="C134" s="73" t="str">
        <f t="shared" si="43"/>
        <v>SÁBADO</v>
      </c>
      <c r="D134" s="74">
        <v>44982</v>
      </c>
      <c r="E134" s="89">
        <f t="shared" ref="E134:E197" si="45">IF(WEEKDAY($D134)&lt;2,0,IF(WEEKDAY($D134)&gt;6,0,7))</f>
        <v>0</v>
      </c>
      <c r="F134" s="90">
        <f t="shared" ref="F134:F197" si="46">IF(WEEKDAY($D134)&lt;2,0,IF(WEEKDAY($D134)&gt;7,0,7))</f>
        <v>7</v>
      </c>
      <c r="G134" s="91"/>
      <c r="H134" s="76">
        <f t="shared" ref="H134:H197" si="47">SUM(E134:G134)</f>
        <v>7</v>
      </c>
      <c r="I134" s="89">
        <f t="shared" si="30"/>
        <v>0</v>
      </c>
      <c r="J134" s="90">
        <f t="shared" si="31"/>
        <v>8</v>
      </c>
      <c r="K134" s="91">
        <f t="shared" si="32"/>
        <v>0</v>
      </c>
      <c r="L134" s="76">
        <f t="shared" si="33"/>
        <v>8</v>
      </c>
      <c r="N134" s="79">
        <f t="shared" si="35"/>
        <v>0</v>
      </c>
      <c r="O134" s="80">
        <f t="shared" si="36"/>
        <v>42</v>
      </c>
      <c r="P134" s="81">
        <f t="shared" si="37"/>
        <v>0</v>
      </c>
      <c r="Q134" s="79">
        <f t="shared" si="38"/>
        <v>0</v>
      </c>
      <c r="R134" s="80">
        <f t="shared" si="39"/>
        <v>48</v>
      </c>
      <c r="S134" s="81">
        <f t="shared" si="40"/>
        <v>0</v>
      </c>
      <c r="T134" s="92">
        <f t="shared" si="41"/>
        <v>90</v>
      </c>
      <c r="U134" s="93">
        <f t="shared" si="34"/>
        <v>72</v>
      </c>
    </row>
    <row r="135" spans="1:21" x14ac:dyDescent="0.25">
      <c r="A135" s="71">
        <f t="shared" si="44"/>
        <v>2023</v>
      </c>
      <c r="B135" s="72" t="str">
        <f t="shared" si="42"/>
        <v>FEVEREIRO</v>
      </c>
      <c r="C135" s="73" t="str">
        <f t="shared" si="43"/>
        <v>DOMINGO</v>
      </c>
      <c r="D135" s="74">
        <v>44983</v>
      </c>
      <c r="E135" s="89">
        <f t="shared" si="45"/>
        <v>0</v>
      </c>
      <c r="F135" s="90">
        <f t="shared" si="46"/>
        <v>0</v>
      </c>
      <c r="G135" s="91"/>
      <c r="H135" s="76">
        <f t="shared" si="47"/>
        <v>0</v>
      </c>
      <c r="I135" s="89">
        <f t="shared" ref="I135:I198" si="48">IF(WEEKDAY($D135)&lt;2,0,IF(WEEKDAY($D135)&gt;6,0,8))</f>
        <v>0</v>
      </c>
      <c r="J135" s="90">
        <f t="shared" ref="J135:J198" si="49">IF(WEEKDAY($D135)&lt;2,0,IF(WEEKDAY($D135)&gt;7,0,8))</f>
        <v>0</v>
      </c>
      <c r="K135" s="91">
        <f t="shared" ref="K135:K198" si="50">IF(WEEKDAY($D135)&lt;2,0,IF(WEEKDAY($D135)&gt;6,0,8))</f>
        <v>0</v>
      </c>
      <c r="L135" s="76">
        <f t="shared" ref="L135:L198" si="51">SUM(I135:K135)</f>
        <v>0</v>
      </c>
      <c r="N135" s="79">
        <f t="shared" si="35"/>
        <v>0</v>
      </c>
      <c r="O135" s="80">
        <f t="shared" si="36"/>
        <v>0</v>
      </c>
      <c r="P135" s="81">
        <f t="shared" si="37"/>
        <v>0</v>
      </c>
      <c r="Q135" s="79">
        <f t="shared" si="38"/>
        <v>0</v>
      </c>
      <c r="R135" s="80">
        <f t="shared" si="39"/>
        <v>0</v>
      </c>
      <c r="S135" s="81">
        <f t="shared" si="40"/>
        <v>0</v>
      </c>
      <c r="T135" s="92">
        <f t="shared" si="41"/>
        <v>0</v>
      </c>
      <c r="U135" s="93">
        <f t="shared" ref="U135:U198" si="52">T135*0.8</f>
        <v>0</v>
      </c>
    </row>
    <row r="136" spans="1:21" x14ac:dyDescent="0.25">
      <c r="A136" s="71">
        <f t="shared" si="44"/>
        <v>2023</v>
      </c>
      <c r="B136" s="72" t="str">
        <f t="shared" si="42"/>
        <v>FEVEREIRO</v>
      </c>
      <c r="C136" s="73" t="str">
        <f t="shared" si="43"/>
        <v>SEGUNDA</v>
      </c>
      <c r="D136" s="74">
        <v>44984</v>
      </c>
      <c r="E136" s="89">
        <f t="shared" si="45"/>
        <v>7</v>
      </c>
      <c r="F136" s="90">
        <f t="shared" si="46"/>
        <v>7</v>
      </c>
      <c r="G136" s="91"/>
      <c r="H136" s="76">
        <f t="shared" si="47"/>
        <v>14</v>
      </c>
      <c r="I136" s="89">
        <f t="shared" si="48"/>
        <v>8</v>
      </c>
      <c r="J136" s="90">
        <f t="shared" si="49"/>
        <v>8</v>
      </c>
      <c r="K136" s="91">
        <f t="shared" si="50"/>
        <v>8</v>
      </c>
      <c r="L136" s="76">
        <f t="shared" si="51"/>
        <v>24</v>
      </c>
      <c r="N136" s="79">
        <f t="shared" si="35"/>
        <v>52.36</v>
      </c>
      <c r="O136" s="80">
        <f t="shared" si="36"/>
        <v>42</v>
      </c>
      <c r="P136" s="81">
        <f t="shared" si="37"/>
        <v>0</v>
      </c>
      <c r="Q136" s="79">
        <f t="shared" si="38"/>
        <v>59.84</v>
      </c>
      <c r="R136" s="80">
        <f t="shared" si="39"/>
        <v>48</v>
      </c>
      <c r="S136" s="81">
        <f t="shared" si="40"/>
        <v>68</v>
      </c>
      <c r="T136" s="92">
        <f t="shared" si="41"/>
        <v>270.2</v>
      </c>
      <c r="U136" s="93">
        <f t="shared" si="52"/>
        <v>216.16</v>
      </c>
    </row>
    <row r="137" spans="1:21" x14ac:dyDescent="0.25">
      <c r="A137" s="71">
        <f t="shared" si="44"/>
        <v>2023</v>
      </c>
      <c r="B137" s="72" t="str">
        <f t="shared" si="42"/>
        <v>FEVEREIRO</v>
      </c>
      <c r="C137" s="73" t="str">
        <f t="shared" si="43"/>
        <v>TERÇA</v>
      </c>
      <c r="D137" s="74">
        <v>44985</v>
      </c>
      <c r="E137" s="89">
        <f t="shared" si="45"/>
        <v>7</v>
      </c>
      <c r="F137" s="90">
        <f t="shared" si="46"/>
        <v>7</v>
      </c>
      <c r="G137" s="91"/>
      <c r="H137" s="76">
        <f t="shared" si="47"/>
        <v>14</v>
      </c>
      <c r="I137" s="89">
        <f t="shared" si="48"/>
        <v>8</v>
      </c>
      <c r="J137" s="90">
        <f t="shared" si="49"/>
        <v>8</v>
      </c>
      <c r="K137" s="91">
        <f t="shared" si="50"/>
        <v>8</v>
      </c>
      <c r="L137" s="76">
        <f t="shared" si="51"/>
        <v>24</v>
      </c>
      <c r="N137" s="79">
        <f t="shared" si="35"/>
        <v>52.36</v>
      </c>
      <c r="O137" s="80">
        <f t="shared" si="36"/>
        <v>42</v>
      </c>
      <c r="P137" s="81">
        <f t="shared" si="37"/>
        <v>0</v>
      </c>
      <c r="Q137" s="79">
        <f t="shared" si="38"/>
        <v>59.84</v>
      </c>
      <c r="R137" s="80">
        <f t="shared" si="39"/>
        <v>48</v>
      </c>
      <c r="S137" s="81">
        <f t="shared" si="40"/>
        <v>68</v>
      </c>
      <c r="T137" s="92">
        <f t="shared" si="41"/>
        <v>270.2</v>
      </c>
      <c r="U137" s="93">
        <f t="shared" si="52"/>
        <v>216.16</v>
      </c>
    </row>
    <row r="138" spans="1:21" x14ac:dyDescent="0.25">
      <c r="A138" s="71">
        <f t="shared" si="44"/>
        <v>2023</v>
      </c>
      <c r="B138" s="72" t="str">
        <f t="shared" si="42"/>
        <v>MARÇO</v>
      </c>
      <c r="C138" s="73" t="str">
        <f t="shared" si="43"/>
        <v>QUARTA</v>
      </c>
      <c r="D138" s="74">
        <v>44986</v>
      </c>
      <c r="E138" s="89">
        <f t="shared" si="45"/>
        <v>7</v>
      </c>
      <c r="F138" s="90">
        <f t="shared" si="46"/>
        <v>7</v>
      </c>
      <c r="G138" s="91"/>
      <c r="H138" s="76">
        <f t="shared" si="47"/>
        <v>14</v>
      </c>
      <c r="I138" s="89">
        <f t="shared" si="48"/>
        <v>8</v>
      </c>
      <c r="J138" s="90">
        <f t="shared" si="49"/>
        <v>8</v>
      </c>
      <c r="K138" s="91">
        <f t="shared" si="50"/>
        <v>8</v>
      </c>
      <c r="L138" s="76">
        <f t="shared" si="51"/>
        <v>24</v>
      </c>
      <c r="N138" s="79">
        <f t="shared" si="35"/>
        <v>52.36</v>
      </c>
      <c r="O138" s="80">
        <f t="shared" si="36"/>
        <v>42</v>
      </c>
      <c r="P138" s="81">
        <f t="shared" si="37"/>
        <v>0</v>
      </c>
      <c r="Q138" s="79">
        <f t="shared" si="38"/>
        <v>59.84</v>
      </c>
      <c r="R138" s="80">
        <f t="shared" si="39"/>
        <v>48</v>
      </c>
      <c r="S138" s="81">
        <f t="shared" si="40"/>
        <v>68</v>
      </c>
      <c r="T138" s="92">
        <f t="shared" si="41"/>
        <v>270.2</v>
      </c>
      <c r="U138" s="93">
        <f t="shared" si="52"/>
        <v>216.16</v>
      </c>
    </row>
    <row r="139" spans="1:21" x14ac:dyDescent="0.25">
      <c r="A139" s="71">
        <f t="shared" si="44"/>
        <v>2023</v>
      </c>
      <c r="B139" s="72" t="str">
        <f t="shared" si="42"/>
        <v>MARÇO</v>
      </c>
      <c r="C139" s="73" t="str">
        <f t="shared" si="43"/>
        <v>QUINTA</v>
      </c>
      <c r="D139" s="74">
        <v>44987</v>
      </c>
      <c r="E139" s="89">
        <f t="shared" si="45"/>
        <v>7</v>
      </c>
      <c r="F139" s="90">
        <f t="shared" si="46"/>
        <v>7</v>
      </c>
      <c r="G139" s="91"/>
      <c r="H139" s="76">
        <f t="shared" si="47"/>
        <v>14</v>
      </c>
      <c r="I139" s="89">
        <f t="shared" si="48"/>
        <v>8</v>
      </c>
      <c r="J139" s="90">
        <f t="shared" si="49"/>
        <v>8</v>
      </c>
      <c r="K139" s="91">
        <f t="shared" si="50"/>
        <v>8</v>
      </c>
      <c r="L139" s="76">
        <f t="shared" si="51"/>
        <v>24</v>
      </c>
      <c r="N139" s="79">
        <f t="shared" si="35"/>
        <v>52.36</v>
      </c>
      <c r="O139" s="80">
        <f t="shared" si="36"/>
        <v>42</v>
      </c>
      <c r="P139" s="81">
        <f t="shared" si="37"/>
        <v>0</v>
      </c>
      <c r="Q139" s="79">
        <f t="shared" si="38"/>
        <v>59.84</v>
      </c>
      <c r="R139" s="80">
        <f t="shared" si="39"/>
        <v>48</v>
      </c>
      <c r="S139" s="81">
        <f t="shared" si="40"/>
        <v>68</v>
      </c>
      <c r="T139" s="92">
        <f t="shared" si="41"/>
        <v>270.2</v>
      </c>
      <c r="U139" s="93">
        <f t="shared" si="52"/>
        <v>216.16</v>
      </c>
    </row>
    <row r="140" spans="1:21" x14ac:dyDescent="0.25">
      <c r="A140" s="71">
        <f t="shared" si="44"/>
        <v>2023</v>
      </c>
      <c r="B140" s="72" t="str">
        <f t="shared" si="42"/>
        <v>MARÇO</v>
      </c>
      <c r="C140" s="73" t="str">
        <f t="shared" si="43"/>
        <v>SEXTA</v>
      </c>
      <c r="D140" s="74">
        <v>44988</v>
      </c>
      <c r="E140" s="89">
        <f t="shared" si="45"/>
        <v>7</v>
      </c>
      <c r="F140" s="90">
        <f t="shared" si="46"/>
        <v>7</v>
      </c>
      <c r="G140" s="91"/>
      <c r="H140" s="76">
        <f t="shared" si="47"/>
        <v>14</v>
      </c>
      <c r="I140" s="89">
        <f t="shared" si="48"/>
        <v>8</v>
      </c>
      <c r="J140" s="90">
        <f t="shared" si="49"/>
        <v>8</v>
      </c>
      <c r="K140" s="91">
        <f t="shared" si="50"/>
        <v>8</v>
      </c>
      <c r="L140" s="76">
        <f t="shared" si="51"/>
        <v>24</v>
      </c>
      <c r="N140" s="79">
        <f t="shared" si="35"/>
        <v>52.36</v>
      </c>
      <c r="O140" s="80">
        <f t="shared" si="36"/>
        <v>42</v>
      </c>
      <c r="P140" s="81">
        <f t="shared" si="37"/>
        <v>0</v>
      </c>
      <c r="Q140" s="79">
        <f t="shared" si="38"/>
        <v>59.84</v>
      </c>
      <c r="R140" s="80">
        <f t="shared" si="39"/>
        <v>48</v>
      </c>
      <c r="S140" s="81">
        <f t="shared" si="40"/>
        <v>68</v>
      </c>
      <c r="T140" s="92">
        <f t="shared" si="41"/>
        <v>270.2</v>
      </c>
      <c r="U140" s="93">
        <f t="shared" si="52"/>
        <v>216.16</v>
      </c>
    </row>
    <row r="141" spans="1:21" x14ac:dyDescent="0.25">
      <c r="A141" s="71">
        <f t="shared" si="44"/>
        <v>2023</v>
      </c>
      <c r="B141" s="72" t="str">
        <f t="shared" si="42"/>
        <v>MARÇO</v>
      </c>
      <c r="C141" s="73" t="str">
        <f t="shared" si="43"/>
        <v>SÁBADO</v>
      </c>
      <c r="D141" s="74">
        <v>44989</v>
      </c>
      <c r="E141" s="89">
        <f t="shared" si="45"/>
        <v>0</v>
      </c>
      <c r="F141" s="90">
        <f t="shared" si="46"/>
        <v>7</v>
      </c>
      <c r="G141" s="91"/>
      <c r="H141" s="76">
        <f t="shared" si="47"/>
        <v>7</v>
      </c>
      <c r="I141" s="89">
        <f t="shared" si="48"/>
        <v>0</v>
      </c>
      <c r="J141" s="90">
        <f t="shared" si="49"/>
        <v>8</v>
      </c>
      <c r="K141" s="91">
        <f t="shared" si="50"/>
        <v>0</v>
      </c>
      <c r="L141" s="76">
        <f t="shared" si="51"/>
        <v>8</v>
      </c>
      <c r="N141" s="79">
        <f t="shared" si="35"/>
        <v>0</v>
      </c>
      <c r="O141" s="80">
        <f t="shared" si="36"/>
        <v>42</v>
      </c>
      <c r="P141" s="81">
        <f t="shared" si="37"/>
        <v>0</v>
      </c>
      <c r="Q141" s="79">
        <f t="shared" si="38"/>
        <v>0</v>
      </c>
      <c r="R141" s="80">
        <f t="shared" si="39"/>
        <v>48</v>
      </c>
      <c r="S141" s="81">
        <f t="shared" si="40"/>
        <v>0</v>
      </c>
      <c r="T141" s="92">
        <f t="shared" si="41"/>
        <v>90</v>
      </c>
      <c r="U141" s="93">
        <f t="shared" si="52"/>
        <v>72</v>
      </c>
    </row>
    <row r="142" spans="1:21" x14ac:dyDescent="0.25">
      <c r="A142" s="71">
        <f t="shared" si="44"/>
        <v>2023</v>
      </c>
      <c r="B142" s="72" t="str">
        <f t="shared" si="42"/>
        <v>MARÇO</v>
      </c>
      <c r="C142" s="73" t="str">
        <f t="shared" si="43"/>
        <v>DOMINGO</v>
      </c>
      <c r="D142" s="74">
        <v>44990</v>
      </c>
      <c r="E142" s="89">
        <f t="shared" si="45"/>
        <v>0</v>
      </c>
      <c r="F142" s="90">
        <f t="shared" si="46"/>
        <v>0</v>
      </c>
      <c r="G142" s="91"/>
      <c r="H142" s="76">
        <f t="shared" si="47"/>
        <v>0</v>
      </c>
      <c r="I142" s="89">
        <f t="shared" si="48"/>
        <v>0</v>
      </c>
      <c r="J142" s="90">
        <f t="shared" si="49"/>
        <v>0</v>
      </c>
      <c r="K142" s="91">
        <f t="shared" si="50"/>
        <v>0</v>
      </c>
      <c r="L142" s="76">
        <f t="shared" si="51"/>
        <v>0</v>
      </c>
      <c r="N142" s="79">
        <f t="shared" si="35"/>
        <v>0</v>
      </c>
      <c r="O142" s="80">
        <f t="shared" si="36"/>
        <v>0</v>
      </c>
      <c r="P142" s="81">
        <f t="shared" si="37"/>
        <v>0</v>
      </c>
      <c r="Q142" s="79">
        <f t="shared" si="38"/>
        <v>0</v>
      </c>
      <c r="R142" s="80">
        <f t="shared" si="39"/>
        <v>0</v>
      </c>
      <c r="S142" s="81">
        <f t="shared" si="40"/>
        <v>0</v>
      </c>
      <c r="T142" s="92">
        <f t="shared" si="41"/>
        <v>0</v>
      </c>
      <c r="U142" s="93">
        <f t="shared" si="52"/>
        <v>0</v>
      </c>
    </row>
    <row r="143" spans="1:21" x14ac:dyDescent="0.25">
      <c r="A143" s="71">
        <f t="shared" si="44"/>
        <v>2023</v>
      </c>
      <c r="B143" s="72" t="str">
        <f t="shared" si="42"/>
        <v>MARÇO</v>
      </c>
      <c r="C143" s="73" t="str">
        <f t="shared" si="43"/>
        <v>SEGUNDA</v>
      </c>
      <c r="D143" s="74">
        <v>44991</v>
      </c>
      <c r="E143" s="89">
        <f t="shared" si="45"/>
        <v>7</v>
      </c>
      <c r="F143" s="90">
        <f t="shared" si="46"/>
        <v>7</v>
      </c>
      <c r="G143" s="91"/>
      <c r="H143" s="76">
        <f t="shared" si="47"/>
        <v>14</v>
      </c>
      <c r="I143" s="89">
        <f t="shared" si="48"/>
        <v>8</v>
      </c>
      <c r="J143" s="90">
        <f t="shared" si="49"/>
        <v>8</v>
      </c>
      <c r="K143" s="91">
        <f t="shared" si="50"/>
        <v>8</v>
      </c>
      <c r="L143" s="76">
        <f t="shared" si="51"/>
        <v>24</v>
      </c>
      <c r="N143" s="79">
        <f t="shared" si="35"/>
        <v>52.36</v>
      </c>
      <c r="O143" s="80">
        <f t="shared" si="36"/>
        <v>42</v>
      </c>
      <c r="P143" s="81">
        <f t="shared" si="37"/>
        <v>0</v>
      </c>
      <c r="Q143" s="79">
        <f t="shared" si="38"/>
        <v>59.84</v>
      </c>
      <c r="R143" s="80">
        <f t="shared" si="39"/>
        <v>48</v>
      </c>
      <c r="S143" s="81">
        <f t="shared" si="40"/>
        <v>68</v>
      </c>
      <c r="T143" s="92">
        <f t="shared" si="41"/>
        <v>270.2</v>
      </c>
      <c r="U143" s="93">
        <f t="shared" si="52"/>
        <v>216.16</v>
      </c>
    </row>
    <row r="144" spans="1:21" x14ac:dyDescent="0.25">
      <c r="A144" s="71">
        <f t="shared" si="44"/>
        <v>2023</v>
      </c>
      <c r="B144" s="72" t="str">
        <f t="shared" si="42"/>
        <v>MARÇO</v>
      </c>
      <c r="C144" s="73" t="str">
        <f t="shared" si="43"/>
        <v>TERÇA</v>
      </c>
      <c r="D144" s="74">
        <v>44992</v>
      </c>
      <c r="E144" s="89">
        <f t="shared" si="45"/>
        <v>7</v>
      </c>
      <c r="F144" s="90">
        <f t="shared" si="46"/>
        <v>7</v>
      </c>
      <c r="G144" s="91"/>
      <c r="H144" s="76">
        <f t="shared" si="47"/>
        <v>14</v>
      </c>
      <c r="I144" s="89">
        <f t="shared" si="48"/>
        <v>8</v>
      </c>
      <c r="J144" s="90">
        <f t="shared" si="49"/>
        <v>8</v>
      </c>
      <c r="K144" s="91">
        <f t="shared" si="50"/>
        <v>8</v>
      </c>
      <c r="L144" s="76">
        <f t="shared" si="51"/>
        <v>24</v>
      </c>
      <c r="N144" s="79">
        <f t="shared" si="35"/>
        <v>52.36</v>
      </c>
      <c r="O144" s="80">
        <f t="shared" si="36"/>
        <v>42</v>
      </c>
      <c r="P144" s="81">
        <f t="shared" si="37"/>
        <v>0</v>
      </c>
      <c r="Q144" s="79">
        <f t="shared" si="38"/>
        <v>59.84</v>
      </c>
      <c r="R144" s="80">
        <f t="shared" si="39"/>
        <v>48</v>
      </c>
      <c r="S144" s="81">
        <f t="shared" si="40"/>
        <v>68</v>
      </c>
      <c r="T144" s="92">
        <f t="shared" si="41"/>
        <v>270.2</v>
      </c>
      <c r="U144" s="93">
        <f t="shared" si="52"/>
        <v>216.16</v>
      </c>
    </row>
    <row r="145" spans="1:21" x14ac:dyDescent="0.25">
      <c r="A145" s="71">
        <f t="shared" si="44"/>
        <v>2023</v>
      </c>
      <c r="B145" s="72" t="str">
        <f t="shared" si="42"/>
        <v>MARÇO</v>
      </c>
      <c r="C145" s="73" t="str">
        <f t="shared" si="43"/>
        <v>QUARTA</v>
      </c>
      <c r="D145" s="74">
        <v>44993</v>
      </c>
      <c r="E145" s="89">
        <f t="shared" si="45"/>
        <v>7</v>
      </c>
      <c r="F145" s="90">
        <f t="shared" si="46"/>
        <v>7</v>
      </c>
      <c r="G145" s="91"/>
      <c r="H145" s="76">
        <f t="shared" si="47"/>
        <v>14</v>
      </c>
      <c r="I145" s="89">
        <f t="shared" si="48"/>
        <v>8</v>
      </c>
      <c r="J145" s="90">
        <f t="shared" si="49"/>
        <v>8</v>
      </c>
      <c r="K145" s="91">
        <f t="shared" si="50"/>
        <v>8</v>
      </c>
      <c r="L145" s="76">
        <f t="shared" si="51"/>
        <v>24</v>
      </c>
      <c r="N145" s="79">
        <f t="shared" si="35"/>
        <v>52.36</v>
      </c>
      <c r="O145" s="80">
        <f t="shared" si="36"/>
        <v>42</v>
      </c>
      <c r="P145" s="81">
        <f t="shared" si="37"/>
        <v>0</v>
      </c>
      <c r="Q145" s="79">
        <f t="shared" si="38"/>
        <v>59.84</v>
      </c>
      <c r="R145" s="80">
        <f t="shared" si="39"/>
        <v>48</v>
      </c>
      <c r="S145" s="81">
        <f t="shared" si="40"/>
        <v>68</v>
      </c>
      <c r="T145" s="92">
        <f t="shared" si="41"/>
        <v>270.2</v>
      </c>
      <c r="U145" s="93">
        <f t="shared" si="52"/>
        <v>216.16</v>
      </c>
    </row>
    <row r="146" spans="1:21" x14ac:dyDescent="0.25">
      <c r="A146" s="71">
        <f t="shared" si="44"/>
        <v>2023</v>
      </c>
      <c r="B146" s="72" t="str">
        <f t="shared" si="42"/>
        <v>MARÇO</v>
      </c>
      <c r="C146" s="73" t="str">
        <f t="shared" si="43"/>
        <v>QUINTA</v>
      </c>
      <c r="D146" s="74">
        <v>44994</v>
      </c>
      <c r="E146" s="89">
        <f t="shared" si="45"/>
        <v>7</v>
      </c>
      <c r="F146" s="90">
        <f t="shared" si="46"/>
        <v>7</v>
      </c>
      <c r="G146" s="91"/>
      <c r="H146" s="76">
        <f t="shared" si="47"/>
        <v>14</v>
      </c>
      <c r="I146" s="89">
        <f t="shared" si="48"/>
        <v>8</v>
      </c>
      <c r="J146" s="90">
        <f t="shared" si="49"/>
        <v>8</v>
      </c>
      <c r="K146" s="91">
        <f t="shared" si="50"/>
        <v>8</v>
      </c>
      <c r="L146" s="76">
        <f t="shared" si="51"/>
        <v>24</v>
      </c>
      <c r="N146" s="79">
        <f t="shared" si="35"/>
        <v>52.36</v>
      </c>
      <c r="O146" s="80">
        <f t="shared" si="36"/>
        <v>42</v>
      </c>
      <c r="P146" s="81">
        <f t="shared" si="37"/>
        <v>0</v>
      </c>
      <c r="Q146" s="79">
        <f t="shared" si="38"/>
        <v>59.84</v>
      </c>
      <c r="R146" s="80">
        <f t="shared" si="39"/>
        <v>48</v>
      </c>
      <c r="S146" s="81">
        <f t="shared" si="40"/>
        <v>68</v>
      </c>
      <c r="T146" s="92">
        <f t="shared" si="41"/>
        <v>270.2</v>
      </c>
      <c r="U146" s="93">
        <f t="shared" si="52"/>
        <v>216.16</v>
      </c>
    </row>
    <row r="147" spans="1:21" x14ac:dyDescent="0.25">
      <c r="A147" s="71">
        <f t="shared" si="44"/>
        <v>2023</v>
      </c>
      <c r="B147" s="72" t="str">
        <f t="shared" si="42"/>
        <v>MARÇO</v>
      </c>
      <c r="C147" s="73" t="str">
        <f t="shared" si="43"/>
        <v>SEXTA</v>
      </c>
      <c r="D147" s="74">
        <v>44995</v>
      </c>
      <c r="E147" s="89">
        <f t="shared" si="45"/>
        <v>7</v>
      </c>
      <c r="F147" s="90">
        <f t="shared" si="46"/>
        <v>7</v>
      </c>
      <c r="G147" s="91"/>
      <c r="H147" s="76">
        <f t="shared" si="47"/>
        <v>14</v>
      </c>
      <c r="I147" s="89">
        <f t="shared" si="48"/>
        <v>8</v>
      </c>
      <c r="J147" s="90">
        <f t="shared" si="49"/>
        <v>8</v>
      </c>
      <c r="K147" s="91">
        <f t="shared" si="50"/>
        <v>8</v>
      </c>
      <c r="L147" s="76">
        <f t="shared" si="51"/>
        <v>24</v>
      </c>
      <c r="N147" s="79">
        <f t="shared" si="35"/>
        <v>52.36</v>
      </c>
      <c r="O147" s="80">
        <f t="shared" si="36"/>
        <v>42</v>
      </c>
      <c r="P147" s="81">
        <f t="shared" si="37"/>
        <v>0</v>
      </c>
      <c r="Q147" s="79">
        <f t="shared" si="38"/>
        <v>59.84</v>
      </c>
      <c r="R147" s="80">
        <f t="shared" si="39"/>
        <v>48</v>
      </c>
      <c r="S147" s="81">
        <f t="shared" si="40"/>
        <v>68</v>
      </c>
      <c r="T147" s="92">
        <f t="shared" si="41"/>
        <v>270.2</v>
      </c>
      <c r="U147" s="93">
        <f t="shared" si="52"/>
        <v>216.16</v>
      </c>
    </row>
    <row r="148" spans="1:21" x14ac:dyDescent="0.25">
      <c r="A148" s="71">
        <f t="shared" si="44"/>
        <v>2023</v>
      </c>
      <c r="B148" s="72" t="str">
        <f t="shared" si="42"/>
        <v>MARÇO</v>
      </c>
      <c r="C148" s="73" t="str">
        <f t="shared" si="43"/>
        <v>SÁBADO</v>
      </c>
      <c r="D148" s="74">
        <v>44996</v>
      </c>
      <c r="E148" s="89">
        <f t="shared" si="45"/>
        <v>0</v>
      </c>
      <c r="F148" s="90">
        <f t="shared" si="46"/>
        <v>7</v>
      </c>
      <c r="G148" s="91"/>
      <c r="H148" s="76">
        <f t="shared" si="47"/>
        <v>7</v>
      </c>
      <c r="I148" s="89">
        <f t="shared" si="48"/>
        <v>0</v>
      </c>
      <c r="J148" s="90">
        <f t="shared" si="49"/>
        <v>8</v>
      </c>
      <c r="K148" s="91">
        <f t="shared" si="50"/>
        <v>0</v>
      </c>
      <c r="L148" s="76">
        <f t="shared" si="51"/>
        <v>8</v>
      </c>
      <c r="N148" s="79">
        <f t="shared" si="35"/>
        <v>0</v>
      </c>
      <c r="O148" s="80">
        <f t="shared" si="36"/>
        <v>42</v>
      </c>
      <c r="P148" s="81">
        <f t="shared" si="37"/>
        <v>0</v>
      </c>
      <c r="Q148" s="79">
        <f t="shared" si="38"/>
        <v>0</v>
      </c>
      <c r="R148" s="80">
        <f t="shared" si="39"/>
        <v>48</v>
      </c>
      <c r="S148" s="81">
        <f t="shared" si="40"/>
        <v>0</v>
      </c>
      <c r="T148" s="92">
        <f t="shared" si="41"/>
        <v>90</v>
      </c>
      <c r="U148" s="93">
        <f t="shared" si="52"/>
        <v>72</v>
      </c>
    </row>
    <row r="149" spans="1:21" x14ac:dyDescent="0.25">
      <c r="A149" s="71">
        <f t="shared" si="44"/>
        <v>2023</v>
      </c>
      <c r="B149" s="72" t="str">
        <f t="shared" si="42"/>
        <v>MARÇO</v>
      </c>
      <c r="C149" s="73" t="str">
        <f t="shared" si="43"/>
        <v>DOMINGO</v>
      </c>
      <c r="D149" s="74">
        <v>44997</v>
      </c>
      <c r="E149" s="89">
        <f t="shared" si="45"/>
        <v>0</v>
      </c>
      <c r="F149" s="90">
        <f t="shared" si="46"/>
        <v>0</v>
      </c>
      <c r="G149" s="91"/>
      <c r="H149" s="76">
        <f t="shared" si="47"/>
        <v>0</v>
      </c>
      <c r="I149" s="89">
        <f t="shared" si="48"/>
        <v>0</v>
      </c>
      <c r="J149" s="90">
        <f t="shared" si="49"/>
        <v>0</v>
      </c>
      <c r="K149" s="91">
        <f t="shared" si="50"/>
        <v>0</v>
      </c>
      <c r="L149" s="76">
        <f t="shared" si="51"/>
        <v>0</v>
      </c>
      <c r="N149" s="79">
        <f t="shared" si="35"/>
        <v>0</v>
      </c>
      <c r="O149" s="80">
        <f t="shared" si="36"/>
        <v>0</v>
      </c>
      <c r="P149" s="81">
        <f t="shared" si="37"/>
        <v>0</v>
      </c>
      <c r="Q149" s="79">
        <f t="shared" si="38"/>
        <v>0</v>
      </c>
      <c r="R149" s="80">
        <f t="shared" si="39"/>
        <v>0</v>
      </c>
      <c r="S149" s="81">
        <f t="shared" si="40"/>
        <v>0</v>
      </c>
      <c r="T149" s="92">
        <f t="shared" si="41"/>
        <v>0</v>
      </c>
      <c r="U149" s="93">
        <f t="shared" si="52"/>
        <v>0</v>
      </c>
    </row>
    <row r="150" spans="1:21" x14ac:dyDescent="0.25">
      <c r="A150" s="71">
        <f t="shared" si="44"/>
        <v>2023</v>
      </c>
      <c r="B150" s="72" t="str">
        <f t="shared" si="42"/>
        <v>MARÇO</v>
      </c>
      <c r="C150" s="73" t="str">
        <f t="shared" si="43"/>
        <v>SEGUNDA</v>
      </c>
      <c r="D150" s="74">
        <v>44998</v>
      </c>
      <c r="E150" s="89">
        <f t="shared" si="45"/>
        <v>7</v>
      </c>
      <c r="F150" s="90">
        <f t="shared" si="46"/>
        <v>7</v>
      </c>
      <c r="G150" s="91"/>
      <c r="H150" s="76">
        <f t="shared" si="47"/>
        <v>14</v>
      </c>
      <c r="I150" s="89">
        <f t="shared" si="48"/>
        <v>8</v>
      </c>
      <c r="J150" s="90">
        <f t="shared" si="49"/>
        <v>8</v>
      </c>
      <c r="K150" s="91">
        <f t="shared" si="50"/>
        <v>8</v>
      </c>
      <c r="L150" s="76">
        <f t="shared" si="51"/>
        <v>24</v>
      </c>
      <c r="N150" s="79">
        <f t="shared" si="35"/>
        <v>52.36</v>
      </c>
      <c r="O150" s="80">
        <f t="shared" si="36"/>
        <v>42</v>
      </c>
      <c r="P150" s="81">
        <f t="shared" si="37"/>
        <v>0</v>
      </c>
      <c r="Q150" s="79">
        <f t="shared" si="38"/>
        <v>59.84</v>
      </c>
      <c r="R150" s="80">
        <f t="shared" si="39"/>
        <v>48</v>
      </c>
      <c r="S150" s="81">
        <f t="shared" si="40"/>
        <v>68</v>
      </c>
      <c r="T150" s="92">
        <f t="shared" si="41"/>
        <v>270.2</v>
      </c>
      <c r="U150" s="93">
        <f t="shared" si="52"/>
        <v>216.16</v>
      </c>
    </row>
    <row r="151" spans="1:21" x14ac:dyDescent="0.25">
      <c r="A151" s="71">
        <f t="shared" si="44"/>
        <v>2023</v>
      </c>
      <c r="B151" s="72" t="str">
        <f t="shared" si="42"/>
        <v>MARÇO</v>
      </c>
      <c r="C151" s="73" t="str">
        <f t="shared" si="43"/>
        <v>TERÇA</v>
      </c>
      <c r="D151" s="74">
        <v>44999</v>
      </c>
      <c r="E151" s="89">
        <f t="shared" si="45"/>
        <v>7</v>
      </c>
      <c r="F151" s="90">
        <f t="shared" si="46"/>
        <v>7</v>
      </c>
      <c r="G151" s="91"/>
      <c r="H151" s="76">
        <f t="shared" si="47"/>
        <v>14</v>
      </c>
      <c r="I151" s="89">
        <f t="shared" si="48"/>
        <v>8</v>
      </c>
      <c r="J151" s="90">
        <f t="shared" si="49"/>
        <v>8</v>
      </c>
      <c r="K151" s="91">
        <f t="shared" si="50"/>
        <v>8</v>
      </c>
      <c r="L151" s="76">
        <f t="shared" si="51"/>
        <v>24</v>
      </c>
      <c r="N151" s="79">
        <f t="shared" si="35"/>
        <v>52.36</v>
      </c>
      <c r="O151" s="80">
        <f t="shared" si="36"/>
        <v>42</v>
      </c>
      <c r="P151" s="81">
        <f t="shared" si="37"/>
        <v>0</v>
      </c>
      <c r="Q151" s="79">
        <f t="shared" si="38"/>
        <v>59.84</v>
      </c>
      <c r="R151" s="80">
        <f t="shared" si="39"/>
        <v>48</v>
      </c>
      <c r="S151" s="81">
        <f t="shared" si="40"/>
        <v>68</v>
      </c>
      <c r="T151" s="92">
        <f t="shared" si="41"/>
        <v>270.2</v>
      </c>
      <c r="U151" s="93">
        <f t="shared" si="52"/>
        <v>216.16</v>
      </c>
    </row>
    <row r="152" spans="1:21" x14ac:dyDescent="0.25">
      <c r="A152" s="71">
        <f t="shared" si="44"/>
        <v>2023</v>
      </c>
      <c r="B152" s="72" t="str">
        <f t="shared" si="42"/>
        <v>MARÇO</v>
      </c>
      <c r="C152" s="73" t="str">
        <f t="shared" si="43"/>
        <v>QUARTA</v>
      </c>
      <c r="D152" s="74">
        <v>45000</v>
      </c>
      <c r="E152" s="89">
        <f t="shared" si="45"/>
        <v>7</v>
      </c>
      <c r="F152" s="90">
        <f t="shared" si="46"/>
        <v>7</v>
      </c>
      <c r="G152" s="91"/>
      <c r="H152" s="76">
        <f t="shared" si="47"/>
        <v>14</v>
      </c>
      <c r="I152" s="89">
        <f t="shared" si="48"/>
        <v>8</v>
      </c>
      <c r="J152" s="90">
        <f t="shared" si="49"/>
        <v>8</v>
      </c>
      <c r="K152" s="91">
        <f t="shared" si="50"/>
        <v>8</v>
      </c>
      <c r="L152" s="76">
        <f t="shared" si="51"/>
        <v>24</v>
      </c>
      <c r="N152" s="79">
        <f t="shared" si="35"/>
        <v>52.36</v>
      </c>
      <c r="O152" s="80">
        <f t="shared" si="36"/>
        <v>42</v>
      </c>
      <c r="P152" s="81">
        <f t="shared" si="37"/>
        <v>0</v>
      </c>
      <c r="Q152" s="79">
        <f t="shared" si="38"/>
        <v>59.84</v>
      </c>
      <c r="R152" s="80">
        <f t="shared" si="39"/>
        <v>48</v>
      </c>
      <c r="S152" s="81">
        <f t="shared" si="40"/>
        <v>68</v>
      </c>
      <c r="T152" s="92">
        <f t="shared" si="41"/>
        <v>270.2</v>
      </c>
      <c r="U152" s="93">
        <f t="shared" si="52"/>
        <v>216.16</v>
      </c>
    </row>
    <row r="153" spans="1:21" x14ac:dyDescent="0.25">
      <c r="A153" s="71">
        <f t="shared" si="44"/>
        <v>2023</v>
      </c>
      <c r="B153" s="72" t="str">
        <f t="shared" si="42"/>
        <v>MARÇO</v>
      </c>
      <c r="C153" s="73" t="str">
        <f t="shared" si="43"/>
        <v>QUINTA</v>
      </c>
      <c r="D153" s="74">
        <v>45001</v>
      </c>
      <c r="E153" s="89">
        <f t="shared" si="45"/>
        <v>7</v>
      </c>
      <c r="F153" s="90">
        <f t="shared" si="46"/>
        <v>7</v>
      </c>
      <c r="G153" s="91"/>
      <c r="H153" s="76">
        <f t="shared" si="47"/>
        <v>14</v>
      </c>
      <c r="I153" s="89">
        <f t="shared" si="48"/>
        <v>8</v>
      </c>
      <c r="J153" s="90">
        <f t="shared" si="49"/>
        <v>8</v>
      </c>
      <c r="K153" s="91">
        <f t="shared" si="50"/>
        <v>8</v>
      </c>
      <c r="L153" s="76">
        <f t="shared" si="51"/>
        <v>24</v>
      </c>
      <c r="N153" s="79">
        <f t="shared" si="35"/>
        <v>52.36</v>
      </c>
      <c r="O153" s="80">
        <f t="shared" si="36"/>
        <v>42</v>
      </c>
      <c r="P153" s="81">
        <f t="shared" si="37"/>
        <v>0</v>
      </c>
      <c r="Q153" s="79">
        <f t="shared" si="38"/>
        <v>59.84</v>
      </c>
      <c r="R153" s="80">
        <f t="shared" si="39"/>
        <v>48</v>
      </c>
      <c r="S153" s="81">
        <f t="shared" si="40"/>
        <v>68</v>
      </c>
      <c r="T153" s="92">
        <f t="shared" si="41"/>
        <v>270.2</v>
      </c>
      <c r="U153" s="93">
        <f t="shared" si="52"/>
        <v>216.16</v>
      </c>
    </row>
    <row r="154" spans="1:21" x14ac:dyDescent="0.25">
      <c r="A154" s="71">
        <f t="shared" si="44"/>
        <v>2023</v>
      </c>
      <c r="B154" s="72" t="str">
        <f t="shared" si="42"/>
        <v>MARÇO</v>
      </c>
      <c r="C154" s="73" t="str">
        <f t="shared" si="43"/>
        <v>SEXTA</v>
      </c>
      <c r="D154" s="74">
        <v>45002</v>
      </c>
      <c r="E154" s="89">
        <f t="shared" si="45"/>
        <v>7</v>
      </c>
      <c r="F154" s="90">
        <f t="shared" si="46"/>
        <v>7</v>
      </c>
      <c r="G154" s="91"/>
      <c r="H154" s="76">
        <f t="shared" si="47"/>
        <v>14</v>
      </c>
      <c r="I154" s="89">
        <f t="shared" si="48"/>
        <v>8</v>
      </c>
      <c r="J154" s="90">
        <f t="shared" si="49"/>
        <v>8</v>
      </c>
      <c r="K154" s="91">
        <f t="shared" si="50"/>
        <v>8</v>
      </c>
      <c r="L154" s="76">
        <f t="shared" si="51"/>
        <v>24</v>
      </c>
      <c r="N154" s="79">
        <f t="shared" si="35"/>
        <v>52.36</v>
      </c>
      <c r="O154" s="80">
        <f t="shared" si="36"/>
        <v>42</v>
      </c>
      <c r="P154" s="81">
        <f t="shared" si="37"/>
        <v>0</v>
      </c>
      <c r="Q154" s="79">
        <f t="shared" si="38"/>
        <v>59.84</v>
      </c>
      <c r="R154" s="80">
        <f t="shared" si="39"/>
        <v>48</v>
      </c>
      <c r="S154" s="81">
        <f t="shared" si="40"/>
        <v>68</v>
      </c>
      <c r="T154" s="92">
        <f t="shared" si="41"/>
        <v>270.2</v>
      </c>
      <c r="U154" s="93">
        <f t="shared" si="52"/>
        <v>216.16</v>
      </c>
    </row>
    <row r="155" spans="1:21" x14ac:dyDescent="0.25">
      <c r="A155" s="71">
        <f t="shared" si="44"/>
        <v>2023</v>
      </c>
      <c r="B155" s="72" t="str">
        <f t="shared" si="42"/>
        <v>MARÇO</v>
      </c>
      <c r="C155" s="73" t="str">
        <f t="shared" si="43"/>
        <v>SÁBADO</v>
      </c>
      <c r="D155" s="74">
        <v>45003</v>
      </c>
      <c r="E155" s="89">
        <f t="shared" si="45"/>
        <v>0</v>
      </c>
      <c r="F155" s="90">
        <f t="shared" si="46"/>
        <v>7</v>
      </c>
      <c r="G155" s="91"/>
      <c r="H155" s="76">
        <f t="shared" si="47"/>
        <v>7</v>
      </c>
      <c r="I155" s="89">
        <f t="shared" si="48"/>
        <v>0</v>
      </c>
      <c r="J155" s="90">
        <f t="shared" si="49"/>
        <v>8</v>
      </c>
      <c r="K155" s="91">
        <f t="shared" si="50"/>
        <v>0</v>
      </c>
      <c r="L155" s="76">
        <f t="shared" si="51"/>
        <v>8</v>
      </c>
      <c r="N155" s="79">
        <f t="shared" si="35"/>
        <v>0</v>
      </c>
      <c r="O155" s="80">
        <f t="shared" si="36"/>
        <v>42</v>
      </c>
      <c r="P155" s="81">
        <f t="shared" si="37"/>
        <v>0</v>
      </c>
      <c r="Q155" s="79">
        <f t="shared" si="38"/>
        <v>0</v>
      </c>
      <c r="R155" s="80">
        <f t="shared" si="39"/>
        <v>48</v>
      </c>
      <c r="S155" s="81">
        <f t="shared" si="40"/>
        <v>0</v>
      </c>
      <c r="T155" s="92">
        <f t="shared" si="41"/>
        <v>90</v>
      </c>
      <c r="U155" s="93">
        <f t="shared" si="52"/>
        <v>72</v>
      </c>
    </row>
    <row r="156" spans="1:21" x14ac:dyDescent="0.25">
      <c r="A156" s="71">
        <f t="shared" si="44"/>
        <v>2023</v>
      </c>
      <c r="B156" s="72" t="str">
        <f t="shared" si="42"/>
        <v>MARÇO</v>
      </c>
      <c r="C156" s="73" t="str">
        <f t="shared" si="43"/>
        <v>DOMINGO</v>
      </c>
      <c r="D156" s="74">
        <v>45004</v>
      </c>
      <c r="E156" s="89">
        <f t="shared" si="45"/>
        <v>0</v>
      </c>
      <c r="F156" s="90">
        <f t="shared" si="46"/>
        <v>0</v>
      </c>
      <c r="G156" s="91"/>
      <c r="H156" s="76">
        <f t="shared" si="47"/>
        <v>0</v>
      </c>
      <c r="I156" s="89">
        <f t="shared" si="48"/>
        <v>0</v>
      </c>
      <c r="J156" s="90">
        <f t="shared" si="49"/>
        <v>0</v>
      </c>
      <c r="K156" s="91">
        <f t="shared" si="50"/>
        <v>0</v>
      </c>
      <c r="L156" s="76">
        <f t="shared" si="51"/>
        <v>0</v>
      </c>
      <c r="N156" s="79">
        <f t="shared" ref="N156:N219" si="53">E156*7.48</f>
        <v>0</v>
      </c>
      <c r="O156" s="80">
        <f t="shared" ref="O156:O219" si="54">F156*6</f>
        <v>0</v>
      </c>
      <c r="P156" s="81">
        <f t="shared" ref="P156:P219" si="55">G156*8.5</f>
        <v>0</v>
      </c>
      <c r="Q156" s="79">
        <f t="shared" ref="Q156:Q219" si="56">I156*7.48</f>
        <v>0</v>
      </c>
      <c r="R156" s="80">
        <f t="shared" ref="R156:R219" si="57">J156*6</f>
        <v>0</v>
      </c>
      <c r="S156" s="81">
        <f t="shared" ref="S156:S219" si="58">K156*8.5</f>
        <v>0</v>
      </c>
      <c r="T156" s="92">
        <f t="shared" ref="T156:T219" si="59">SUM(N156:S156)</f>
        <v>0</v>
      </c>
      <c r="U156" s="93">
        <f t="shared" si="52"/>
        <v>0</v>
      </c>
    </row>
    <row r="157" spans="1:21" x14ac:dyDescent="0.25">
      <c r="A157" s="71">
        <f t="shared" si="44"/>
        <v>2023</v>
      </c>
      <c r="B157" s="72" t="str">
        <f t="shared" si="42"/>
        <v>MARÇO</v>
      </c>
      <c r="C157" s="73" t="str">
        <f t="shared" si="43"/>
        <v>SEGUNDA</v>
      </c>
      <c r="D157" s="74">
        <v>45005</v>
      </c>
      <c r="E157" s="89">
        <f t="shared" si="45"/>
        <v>7</v>
      </c>
      <c r="F157" s="90">
        <f t="shared" si="46"/>
        <v>7</v>
      </c>
      <c r="G157" s="91"/>
      <c r="H157" s="76">
        <f t="shared" si="47"/>
        <v>14</v>
      </c>
      <c r="I157" s="89">
        <f t="shared" si="48"/>
        <v>8</v>
      </c>
      <c r="J157" s="90">
        <f t="shared" si="49"/>
        <v>8</v>
      </c>
      <c r="K157" s="91">
        <f t="shared" si="50"/>
        <v>8</v>
      </c>
      <c r="L157" s="76">
        <f t="shared" si="51"/>
        <v>24</v>
      </c>
      <c r="N157" s="79">
        <f t="shared" si="53"/>
        <v>52.36</v>
      </c>
      <c r="O157" s="80">
        <f t="shared" si="54"/>
        <v>42</v>
      </c>
      <c r="P157" s="81">
        <f t="shared" si="55"/>
        <v>0</v>
      </c>
      <c r="Q157" s="79">
        <f t="shared" si="56"/>
        <v>59.84</v>
      </c>
      <c r="R157" s="80">
        <f t="shared" si="57"/>
        <v>48</v>
      </c>
      <c r="S157" s="81">
        <f t="shared" si="58"/>
        <v>68</v>
      </c>
      <c r="T157" s="92">
        <f t="shared" si="59"/>
        <v>270.2</v>
      </c>
      <c r="U157" s="93">
        <f t="shared" si="52"/>
        <v>216.16</v>
      </c>
    </row>
    <row r="158" spans="1:21" x14ac:dyDescent="0.25">
      <c r="A158" s="71">
        <f t="shared" si="44"/>
        <v>2023</v>
      </c>
      <c r="B158" s="72" t="str">
        <f t="shared" si="42"/>
        <v>MARÇO</v>
      </c>
      <c r="C158" s="73" t="str">
        <f t="shared" si="43"/>
        <v>TERÇA</v>
      </c>
      <c r="D158" s="74">
        <v>45006</v>
      </c>
      <c r="E158" s="89">
        <f t="shared" si="45"/>
        <v>7</v>
      </c>
      <c r="F158" s="90">
        <f t="shared" si="46"/>
        <v>7</v>
      </c>
      <c r="G158" s="91"/>
      <c r="H158" s="76">
        <f t="shared" si="47"/>
        <v>14</v>
      </c>
      <c r="I158" s="89">
        <f t="shared" si="48"/>
        <v>8</v>
      </c>
      <c r="J158" s="90">
        <f t="shared" si="49"/>
        <v>8</v>
      </c>
      <c r="K158" s="91">
        <f t="shared" si="50"/>
        <v>8</v>
      </c>
      <c r="L158" s="76">
        <f t="shared" si="51"/>
        <v>24</v>
      </c>
      <c r="N158" s="79">
        <f t="shared" si="53"/>
        <v>52.36</v>
      </c>
      <c r="O158" s="80">
        <f t="shared" si="54"/>
        <v>42</v>
      </c>
      <c r="P158" s="81">
        <f t="shared" si="55"/>
        <v>0</v>
      </c>
      <c r="Q158" s="79">
        <f t="shared" si="56"/>
        <v>59.84</v>
      </c>
      <c r="R158" s="80">
        <f t="shared" si="57"/>
        <v>48</v>
      </c>
      <c r="S158" s="81">
        <f t="shared" si="58"/>
        <v>68</v>
      </c>
      <c r="T158" s="92">
        <f t="shared" si="59"/>
        <v>270.2</v>
      </c>
      <c r="U158" s="93">
        <f t="shared" si="52"/>
        <v>216.16</v>
      </c>
    </row>
    <row r="159" spans="1:21" x14ac:dyDescent="0.25">
      <c r="A159" s="71">
        <f t="shared" si="44"/>
        <v>2023</v>
      </c>
      <c r="B159" s="72" t="str">
        <f t="shared" si="42"/>
        <v>MARÇO</v>
      </c>
      <c r="C159" s="73" t="str">
        <f t="shared" si="43"/>
        <v>QUARTA</v>
      </c>
      <c r="D159" s="74">
        <v>45007</v>
      </c>
      <c r="E159" s="89">
        <f t="shared" si="45"/>
        <v>7</v>
      </c>
      <c r="F159" s="90">
        <f t="shared" si="46"/>
        <v>7</v>
      </c>
      <c r="G159" s="91"/>
      <c r="H159" s="76">
        <f t="shared" si="47"/>
        <v>14</v>
      </c>
      <c r="I159" s="89">
        <f t="shared" si="48"/>
        <v>8</v>
      </c>
      <c r="J159" s="90">
        <f t="shared" si="49"/>
        <v>8</v>
      </c>
      <c r="K159" s="91">
        <f t="shared" si="50"/>
        <v>8</v>
      </c>
      <c r="L159" s="76">
        <f t="shared" si="51"/>
        <v>24</v>
      </c>
      <c r="N159" s="79">
        <f t="shared" si="53"/>
        <v>52.36</v>
      </c>
      <c r="O159" s="80">
        <f t="shared" si="54"/>
        <v>42</v>
      </c>
      <c r="P159" s="81">
        <f t="shared" si="55"/>
        <v>0</v>
      </c>
      <c r="Q159" s="79">
        <f t="shared" si="56"/>
        <v>59.84</v>
      </c>
      <c r="R159" s="80">
        <f t="shared" si="57"/>
        <v>48</v>
      </c>
      <c r="S159" s="81">
        <f t="shared" si="58"/>
        <v>68</v>
      </c>
      <c r="T159" s="92">
        <f t="shared" si="59"/>
        <v>270.2</v>
      </c>
      <c r="U159" s="93">
        <f t="shared" si="52"/>
        <v>216.16</v>
      </c>
    </row>
    <row r="160" spans="1:21" x14ac:dyDescent="0.25">
      <c r="A160" s="71">
        <f t="shared" si="44"/>
        <v>2023</v>
      </c>
      <c r="B160" s="72" t="str">
        <f t="shared" si="42"/>
        <v>MARÇO</v>
      </c>
      <c r="C160" s="73" t="str">
        <f t="shared" si="43"/>
        <v>QUINTA</v>
      </c>
      <c r="D160" s="74">
        <v>45008</v>
      </c>
      <c r="E160" s="89">
        <f t="shared" si="45"/>
        <v>7</v>
      </c>
      <c r="F160" s="90">
        <f t="shared" si="46"/>
        <v>7</v>
      </c>
      <c r="G160" s="91"/>
      <c r="H160" s="76">
        <f t="shared" si="47"/>
        <v>14</v>
      </c>
      <c r="I160" s="89">
        <f t="shared" si="48"/>
        <v>8</v>
      </c>
      <c r="J160" s="90">
        <f t="shared" si="49"/>
        <v>8</v>
      </c>
      <c r="K160" s="91">
        <f t="shared" si="50"/>
        <v>8</v>
      </c>
      <c r="L160" s="76">
        <f t="shared" si="51"/>
        <v>24</v>
      </c>
      <c r="N160" s="79">
        <f t="shared" si="53"/>
        <v>52.36</v>
      </c>
      <c r="O160" s="80">
        <f t="shared" si="54"/>
        <v>42</v>
      </c>
      <c r="P160" s="81">
        <f t="shared" si="55"/>
        <v>0</v>
      </c>
      <c r="Q160" s="79">
        <f t="shared" si="56"/>
        <v>59.84</v>
      </c>
      <c r="R160" s="80">
        <f t="shared" si="57"/>
        <v>48</v>
      </c>
      <c r="S160" s="81">
        <f t="shared" si="58"/>
        <v>68</v>
      </c>
      <c r="T160" s="92">
        <f t="shared" si="59"/>
        <v>270.2</v>
      </c>
      <c r="U160" s="93">
        <f t="shared" si="52"/>
        <v>216.16</v>
      </c>
    </row>
    <row r="161" spans="1:21" x14ac:dyDescent="0.25">
      <c r="A161" s="71">
        <f t="shared" si="44"/>
        <v>2023</v>
      </c>
      <c r="B161" s="72" t="str">
        <f t="shared" si="42"/>
        <v>MARÇO</v>
      </c>
      <c r="C161" s="73" t="str">
        <f t="shared" si="43"/>
        <v>SEXTA</v>
      </c>
      <c r="D161" s="74">
        <v>45009</v>
      </c>
      <c r="E161" s="89">
        <f t="shared" si="45"/>
        <v>7</v>
      </c>
      <c r="F161" s="90">
        <f t="shared" si="46"/>
        <v>7</v>
      </c>
      <c r="G161" s="91"/>
      <c r="H161" s="76">
        <f t="shared" si="47"/>
        <v>14</v>
      </c>
      <c r="I161" s="89">
        <f t="shared" si="48"/>
        <v>8</v>
      </c>
      <c r="J161" s="90">
        <f t="shared" si="49"/>
        <v>8</v>
      </c>
      <c r="K161" s="91">
        <f t="shared" si="50"/>
        <v>8</v>
      </c>
      <c r="L161" s="76">
        <f t="shared" si="51"/>
        <v>24</v>
      </c>
      <c r="N161" s="79">
        <f t="shared" si="53"/>
        <v>52.36</v>
      </c>
      <c r="O161" s="80">
        <f t="shared" si="54"/>
        <v>42</v>
      </c>
      <c r="P161" s="81">
        <f t="shared" si="55"/>
        <v>0</v>
      </c>
      <c r="Q161" s="79">
        <f t="shared" si="56"/>
        <v>59.84</v>
      </c>
      <c r="R161" s="80">
        <f t="shared" si="57"/>
        <v>48</v>
      </c>
      <c r="S161" s="81">
        <f t="shared" si="58"/>
        <v>68</v>
      </c>
      <c r="T161" s="92">
        <f t="shared" si="59"/>
        <v>270.2</v>
      </c>
      <c r="U161" s="93">
        <f t="shared" si="52"/>
        <v>216.16</v>
      </c>
    </row>
    <row r="162" spans="1:21" x14ac:dyDescent="0.25">
      <c r="A162" s="71">
        <f t="shared" si="44"/>
        <v>2023</v>
      </c>
      <c r="B162" s="72" t="str">
        <f t="shared" si="42"/>
        <v>MARÇO</v>
      </c>
      <c r="C162" s="73" t="str">
        <f t="shared" si="43"/>
        <v>SÁBADO</v>
      </c>
      <c r="D162" s="74">
        <v>45010</v>
      </c>
      <c r="E162" s="89">
        <f t="shared" si="45"/>
        <v>0</v>
      </c>
      <c r="F162" s="90">
        <f t="shared" si="46"/>
        <v>7</v>
      </c>
      <c r="G162" s="91"/>
      <c r="H162" s="76">
        <f t="shared" si="47"/>
        <v>7</v>
      </c>
      <c r="I162" s="89">
        <f t="shared" si="48"/>
        <v>0</v>
      </c>
      <c r="J162" s="90">
        <f t="shared" si="49"/>
        <v>8</v>
      </c>
      <c r="K162" s="91">
        <f t="shared" si="50"/>
        <v>0</v>
      </c>
      <c r="L162" s="76">
        <f t="shared" si="51"/>
        <v>8</v>
      </c>
      <c r="N162" s="79">
        <f t="shared" si="53"/>
        <v>0</v>
      </c>
      <c r="O162" s="80">
        <f t="shared" si="54"/>
        <v>42</v>
      </c>
      <c r="P162" s="81">
        <f t="shared" si="55"/>
        <v>0</v>
      </c>
      <c r="Q162" s="79">
        <f t="shared" si="56"/>
        <v>0</v>
      </c>
      <c r="R162" s="80">
        <f t="shared" si="57"/>
        <v>48</v>
      </c>
      <c r="S162" s="81">
        <f t="shared" si="58"/>
        <v>0</v>
      </c>
      <c r="T162" s="92">
        <f t="shared" si="59"/>
        <v>90</v>
      </c>
      <c r="U162" s="93">
        <f t="shared" si="52"/>
        <v>72</v>
      </c>
    </row>
    <row r="163" spans="1:21" x14ac:dyDescent="0.25">
      <c r="A163" s="71">
        <f t="shared" si="44"/>
        <v>2023</v>
      </c>
      <c r="B163" s="72" t="str">
        <f t="shared" si="42"/>
        <v>MARÇO</v>
      </c>
      <c r="C163" s="73" t="str">
        <f t="shared" si="43"/>
        <v>DOMINGO</v>
      </c>
      <c r="D163" s="74">
        <v>45011</v>
      </c>
      <c r="E163" s="89">
        <f t="shared" si="45"/>
        <v>0</v>
      </c>
      <c r="F163" s="90">
        <f t="shared" si="46"/>
        <v>0</v>
      </c>
      <c r="G163" s="91"/>
      <c r="H163" s="76">
        <f t="shared" si="47"/>
        <v>0</v>
      </c>
      <c r="I163" s="89">
        <f t="shared" si="48"/>
        <v>0</v>
      </c>
      <c r="J163" s="90">
        <f t="shared" si="49"/>
        <v>0</v>
      </c>
      <c r="K163" s="91">
        <f t="shared" si="50"/>
        <v>0</v>
      </c>
      <c r="L163" s="76">
        <f t="shared" si="51"/>
        <v>0</v>
      </c>
      <c r="N163" s="79">
        <f t="shared" si="53"/>
        <v>0</v>
      </c>
      <c r="O163" s="80">
        <f t="shared" si="54"/>
        <v>0</v>
      </c>
      <c r="P163" s="81">
        <f t="shared" si="55"/>
        <v>0</v>
      </c>
      <c r="Q163" s="79">
        <f t="shared" si="56"/>
        <v>0</v>
      </c>
      <c r="R163" s="80">
        <f t="shared" si="57"/>
        <v>0</v>
      </c>
      <c r="S163" s="81">
        <f t="shared" si="58"/>
        <v>0</v>
      </c>
      <c r="T163" s="92">
        <f t="shared" si="59"/>
        <v>0</v>
      </c>
      <c r="U163" s="93">
        <f t="shared" si="52"/>
        <v>0</v>
      </c>
    </row>
    <row r="164" spans="1:21" x14ac:dyDescent="0.25">
      <c r="A164" s="71">
        <f t="shared" si="44"/>
        <v>2023</v>
      </c>
      <c r="B164" s="72" t="str">
        <f t="shared" si="42"/>
        <v>MARÇO</v>
      </c>
      <c r="C164" s="73" t="str">
        <f t="shared" si="43"/>
        <v>SEGUNDA</v>
      </c>
      <c r="D164" s="74">
        <v>45012</v>
      </c>
      <c r="E164" s="89">
        <f t="shared" si="45"/>
        <v>7</v>
      </c>
      <c r="F164" s="90">
        <f t="shared" si="46"/>
        <v>7</v>
      </c>
      <c r="G164" s="91"/>
      <c r="H164" s="76">
        <f t="shared" si="47"/>
        <v>14</v>
      </c>
      <c r="I164" s="89">
        <f t="shared" si="48"/>
        <v>8</v>
      </c>
      <c r="J164" s="90">
        <f t="shared" si="49"/>
        <v>8</v>
      </c>
      <c r="K164" s="91">
        <f t="shared" si="50"/>
        <v>8</v>
      </c>
      <c r="L164" s="76">
        <f t="shared" si="51"/>
        <v>24</v>
      </c>
      <c r="N164" s="79">
        <f t="shared" si="53"/>
        <v>52.36</v>
      </c>
      <c r="O164" s="80">
        <f t="shared" si="54"/>
        <v>42</v>
      </c>
      <c r="P164" s="81">
        <f t="shared" si="55"/>
        <v>0</v>
      </c>
      <c r="Q164" s="79">
        <f t="shared" si="56"/>
        <v>59.84</v>
      </c>
      <c r="R164" s="80">
        <f t="shared" si="57"/>
        <v>48</v>
      </c>
      <c r="S164" s="81">
        <f t="shared" si="58"/>
        <v>68</v>
      </c>
      <c r="T164" s="92">
        <f t="shared" si="59"/>
        <v>270.2</v>
      </c>
      <c r="U164" s="93">
        <f t="shared" si="52"/>
        <v>216.16</v>
      </c>
    </row>
    <row r="165" spans="1:21" x14ac:dyDescent="0.25">
      <c r="A165" s="71">
        <f t="shared" si="44"/>
        <v>2023</v>
      </c>
      <c r="B165" s="72" t="str">
        <f t="shared" si="42"/>
        <v>MARÇO</v>
      </c>
      <c r="C165" s="73" t="str">
        <f t="shared" si="43"/>
        <v>TERÇA</v>
      </c>
      <c r="D165" s="74">
        <v>45013</v>
      </c>
      <c r="E165" s="89">
        <f t="shared" si="45"/>
        <v>7</v>
      </c>
      <c r="F165" s="90">
        <f t="shared" si="46"/>
        <v>7</v>
      </c>
      <c r="G165" s="91"/>
      <c r="H165" s="76">
        <f t="shared" si="47"/>
        <v>14</v>
      </c>
      <c r="I165" s="89">
        <f t="shared" si="48"/>
        <v>8</v>
      </c>
      <c r="J165" s="90">
        <f t="shared" si="49"/>
        <v>8</v>
      </c>
      <c r="K165" s="91">
        <f t="shared" si="50"/>
        <v>8</v>
      </c>
      <c r="L165" s="76">
        <f t="shared" si="51"/>
        <v>24</v>
      </c>
      <c r="N165" s="79">
        <f t="shared" si="53"/>
        <v>52.36</v>
      </c>
      <c r="O165" s="80">
        <f t="shared" si="54"/>
        <v>42</v>
      </c>
      <c r="P165" s="81">
        <f t="shared" si="55"/>
        <v>0</v>
      </c>
      <c r="Q165" s="79">
        <f t="shared" si="56"/>
        <v>59.84</v>
      </c>
      <c r="R165" s="80">
        <f t="shared" si="57"/>
        <v>48</v>
      </c>
      <c r="S165" s="81">
        <f t="shared" si="58"/>
        <v>68</v>
      </c>
      <c r="T165" s="92">
        <f t="shared" si="59"/>
        <v>270.2</v>
      </c>
      <c r="U165" s="93">
        <f t="shared" si="52"/>
        <v>216.16</v>
      </c>
    </row>
    <row r="166" spans="1:21" x14ac:dyDescent="0.25">
      <c r="A166" s="71">
        <f t="shared" si="44"/>
        <v>2023</v>
      </c>
      <c r="B166" s="72" t="str">
        <f t="shared" si="42"/>
        <v>MARÇO</v>
      </c>
      <c r="C166" s="73" t="str">
        <f t="shared" si="43"/>
        <v>QUARTA</v>
      </c>
      <c r="D166" s="74">
        <v>45014</v>
      </c>
      <c r="E166" s="89">
        <f t="shared" si="45"/>
        <v>7</v>
      </c>
      <c r="F166" s="90">
        <f t="shared" si="46"/>
        <v>7</v>
      </c>
      <c r="G166" s="91"/>
      <c r="H166" s="76">
        <f t="shared" si="47"/>
        <v>14</v>
      </c>
      <c r="I166" s="89">
        <f t="shared" si="48"/>
        <v>8</v>
      </c>
      <c r="J166" s="90">
        <f t="shared" si="49"/>
        <v>8</v>
      </c>
      <c r="K166" s="91">
        <f t="shared" si="50"/>
        <v>8</v>
      </c>
      <c r="L166" s="76">
        <f t="shared" si="51"/>
        <v>24</v>
      </c>
      <c r="N166" s="79">
        <f t="shared" si="53"/>
        <v>52.36</v>
      </c>
      <c r="O166" s="80">
        <f t="shared" si="54"/>
        <v>42</v>
      </c>
      <c r="P166" s="81">
        <f t="shared" si="55"/>
        <v>0</v>
      </c>
      <c r="Q166" s="79">
        <f t="shared" si="56"/>
        <v>59.84</v>
      </c>
      <c r="R166" s="80">
        <f t="shared" si="57"/>
        <v>48</v>
      </c>
      <c r="S166" s="81">
        <f t="shared" si="58"/>
        <v>68</v>
      </c>
      <c r="T166" s="92">
        <f t="shared" si="59"/>
        <v>270.2</v>
      </c>
      <c r="U166" s="93">
        <f t="shared" si="52"/>
        <v>216.16</v>
      </c>
    </row>
    <row r="167" spans="1:21" x14ac:dyDescent="0.25">
      <c r="A167" s="71">
        <f t="shared" si="44"/>
        <v>2023</v>
      </c>
      <c r="B167" s="72" t="str">
        <f t="shared" si="42"/>
        <v>MARÇO</v>
      </c>
      <c r="C167" s="73" t="str">
        <f t="shared" si="43"/>
        <v>QUINTA</v>
      </c>
      <c r="D167" s="74">
        <v>45015</v>
      </c>
      <c r="E167" s="89">
        <f t="shared" si="45"/>
        <v>7</v>
      </c>
      <c r="F167" s="90">
        <f t="shared" si="46"/>
        <v>7</v>
      </c>
      <c r="G167" s="91"/>
      <c r="H167" s="76">
        <f t="shared" si="47"/>
        <v>14</v>
      </c>
      <c r="I167" s="89">
        <f t="shared" si="48"/>
        <v>8</v>
      </c>
      <c r="J167" s="90">
        <f t="shared" si="49"/>
        <v>8</v>
      </c>
      <c r="K167" s="91">
        <f t="shared" si="50"/>
        <v>8</v>
      </c>
      <c r="L167" s="76">
        <f t="shared" si="51"/>
        <v>24</v>
      </c>
      <c r="N167" s="79">
        <f t="shared" si="53"/>
        <v>52.36</v>
      </c>
      <c r="O167" s="80">
        <f t="shared" si="54"/>
        <v>42</v>
      </c>
      <c r="P167" s="81">
        <f t="shared" si="55"/>
        <v>0</v>
      </c>
      <c r="Q167" s="79">
        <f t="shared" si="56"/>
        <v>59.84</v>
      </c>
      <c r="R167" s="80">
        <f t="shared" si="57"/>
        <v>48</v>
      </c>
      <c r="S167" s="81">
        <f t="shared" si="58"/>
        <v>68</v>
      </c>
      <c r="T167" s="92">
        <f t="shared" si="59"/>
        <v>270.2</v>
      </c>
      <c r="U167" s="93">
        <f t="shared" si="52"/>
        <v>216.16</v>
      </c>
    </row>
    <row r="168" spans="1:21" x14ac:dyDescent="0.25">
      <c r="A168" s="71">
        <f t="shared" si="44"/>
        <v>2023</v>
      </c>
      <c r="B168" s="72" t="str">
        <f t="shared" si="42"/>
        <v>MARÇO</v>
      </c>
      <c r="C168" s="73" t="str">
        <f t="shared" si="43"/>
        <v>SEXTA</v>
      </c>
      <c r="D168" s="74">
        <v>45016</v>
      </c>
      <c r="E168" s="89">
        <f t="shared" si="45"/>
        <v>7</v>
      </c>
      <c r="F168" s="90">
        <f t="shared" si="46"/>
        <v>7</v>
      </c>
      <c r="G168" s="91"/>
      <c r="H168" s="76">
        <f t="shared" si="47"/>
        <v>14</v>
      </c>
      <c r="I168" s="89">
        <f t="shared" si="48"/>
        <v>8</v>
      </c>
      <c r="J168" s="90">
        <f t="shared" si="49"/>
        <v>8</v>
      </c>
      <c r="K168" s="91">
        <f t="shared" si="50"/>
        <v>8</v>
      </c>
      <c r="L168" s="76">
        <f t="shared" si="51"/>
        <v>24</v>
      </c>
      <c r="N168" s="79">
        <f t="shared" si="53"/>
        <v>52.36</v>
      </c>
      <c r="O168" s="80">
        <f t="shared" si="54"/>
        <v>42</v>
      </c>
      <c r="P168" s="81">
        <f t="shared" si="55"/>
        <v>0</v>
      </c>
      <c r="Q168" s="79">
        <f t="shared" si="56"/>
        <v>59.84</v>
      </c>
      <c r="R168" s="80">
        <f t="shared" si="57"/>
        <v>48</v>
      </c>
      <c r="S168" s="81">
        <f t="shared" si="58"/>
        <v>68</v>
      </c>
      <c r="T168" s="92">
        <f t="shared" si="59"/>
        <v>270.2</v>
      </c>
      <c r="U168" s="93">
        <f t="shared" si="52"/>
        <v>216.16</v>
      </c>
    </row>
    <row r="169" spans="1:21" x14ac:dyDescent="0.25">
      <c r="A169" s="71">
        <f t="shared" si="44"/>
        <v>2023</v>
      </c>
      <c r="B169" s="72" t="str">
        <f t="shared" si="42"/>
        <v>ABRIL</v>
      </c>
      <c r="C169" s="73" t="str">
        <f t="shared" si="43"/>
        <v>SÁBADO</v>
      </c>
      <c r="D169" s="74">
        <v>45017</v>
      </c>
      <c r="E169" s="89">
        <f t="shared" si="45"/>
        <v>0</v>
      </c>
      <c r="F169" s="90">
        <f t="shared" si="46"/>
        <v>7</v>
      </c>
      <c r="G169" s="91"/>
      <c r="H169" s="76">
        <f t="shared" si="47"/>
        <v>7</v>
      </c>
      <c r="I169" s="89">
        <f t="shared" si="48"/>
        <v>0</v>
      </c>
      <c r="J169" s="90">
        <f t="shared" si="49"/>
        <v>8</v>
      </c>
      <c r="K169" s="91">
        <f t="shared" si="50"/>
        <v>0</v>
      </c>
      <c r="L169" s="76">
        <f t="shared" si="51"/>
        <v>8</v>
      </c>
      <c r="N169" s="79">
        <f t="shared" si="53"/>
        <v>0</v>
      </c>
      <c r="O169" s="80">
        <f t="shared" si="54"/>
        <v>42</v>
      </c>
      <c r="P169" s="81">
        <f t="shared" si="55"/>
        <v>0</v>
      </c>
      <c r="Q169" s="79">
        <f t="shared" si="56"/>
        <v>0</v>
      </c>
      <c r="R169" s="80">
        <f t="shared" si="57"/>
        <v>48</v>
      </c>
      <c r="S169" s="81">
        <f t="shared" si="58"/>
        <v>0</v>
      </c>
      <c r="T169" s="92">
        <f t="shared" si="59"/>
        <v>90</v>
      </c>
      <c r="U169" s="93">
        <f t="shared" si="52"/>
        <v>72</v>
      </c>
    </row>
    <row r="170" spans="1:21" x14ac:dyDescent="0.25">
      <c r="A170" s="71">
        <f t="shared" si="44"/>
        <v>2023</v>
      </c>
      <c r="B170" s="72" t="str">
        <f t="shared" si="42"/>
        <v>ABRIL</v>
      </c>
      <c r="C170" s="73" t="str">
        <f t="shared" si="43"/>
        <v>DOMINGO</v>
      </c>
      <c r="D170" s="74">
        <v>45018</v>
      </c>
      <c r="E170" s="89">
        <f t="shared" si="45"/>
        <v>0</v>
      </c>
      <c r="F170" s="90">
        <f t="shared" si="46"/>
        <v>0</v>
      </c>
      <c r="G170" s="91"/>
      <c r="H170" s="76">
        <f t="shared" si="47"/>
        <v>0</v>
      </c>
      <c r="I170" s="89">
        <f t="shared" si="48"/>
        <v>0</v>
      </c>
      <c r="J170" s="90">
        <f t="shared" si="49"/>
        <v>0</v>
      </c>
      <c r="K170" s="91">
        <f t="shared" si="50"/>
        <v>0</v>
      </c>
      <c r="L170" s="76">
        <f t="shared" si="51"/>
        <v>0</v>
      </c>
      <c r="N170" s="79">
        <f t="shared" si="53"/>
        <v>0</v>
      </c>
      <c r="O170" s="80">
        <f t="shared" si="54"/>
        <v>0</v>
      </c>
      <c r="P170" s="81">
        <f t="shared" si="55"/>
        <v>0</v>
      </c>
      <c r="Q170" s="79">
        <f t="shared" si="56"/>
        <v>0</v>
      </c>
      <c r="R170" s="80">
        <f t="shared" si="57"/>
        <v>0</v>
      </c>
      <c r="S170" s="81">
        <f t="shared" si="58"/>
        <v>0</v>
      </c>
      <c r="T170" s="92">
        <f t="shared" si="59"/>
        <v>0</v>
      </c>
      <c r="U170" s="93">
        <f t="shared" si="52"/>
        <v>0</v>
      </c>
    </row>
    <row r="171" spans="1:21" x14ac:dyDescent="0.25">
      <c r="A171" s="71">
        <f t="shared" si="44"/>
        <v>2023</v>
      </c>
      <c r="B171" s="72" t="str">
        <f t="shared" si="42"/>
        <v>ABRIL</v>
      </c>
      <c r="C171" s="73" t="str">
        <f t="shared" si="43"/>
        <v>SEGUNDA</v>
      </c>
      <c r="D171" s="74">
        <v>45019</v>
      </c>
      <c r="E171" s="89">
        <f t="shared" si="45"/>
        <v>7</v>
      </c>
      <c r="F171" s="90">
        <f t="shared" si="46"/>
        <v>7</v>
      </c>
      <c r="G171" s="91"/>
      <c r="H171" s="76">
        <f t="shared" si="47"/>
        <v>14</v>
      </c>
      <c r="I171" s="89">
        <f t="shared" si="48"/>
        <v>8</v>
      </c>
      <c r="J171" s="90">
        <f t="shared" si="49"/>
        <v>8</v>
      </c>
      <c r="K171" s="91">
        <f t="shared" si="50"/>
        <v>8</v>
      </c>
      <c r="L171" s="76">
        <f t="shared" si="51"/>
        <v>24</v>
      </c>
      <c r="N171" s="79">
        <f t="shared" si="53"/>
        <v>52.36</v>
      </c>
      <c r="O171" s="80">
        <f t="shared" si="54"/>
        <v>42</v>
      </c>
      <c r="P171" s="81">
        <f t="shared" si="55"/>
        <v>0</v>
      </c>
      <c r="Q171" s="79">
        <f t="shared" si="56"/>
        <v>59.84</v>
      </c>
      <c r="R171" s="80">
        <f t="shared" si="57"/>
        <v>48</v>
      </c>
      <c r="S171" s="81">
        <f t="shared" si="58"/>
        <v>68</v>
      </c>
      <c r="T171" s="92">
        <f t="shared" si="59"/>
        <v>270.2</v>
      </c>
      <c r="U171" s="93">
        <f t="shared" si="52"/>
        <v>216.16</v>
      </c>
    </row>
    <row r="172" spans="1:21" x14ac:dyDescent="0.25">
      <c r="A172" s="71">
        <f t="shared" si="44"/>
        <v>2023</v>
      </c>
      <c r="B172" s="72" t="str">
        <f t="shared" si="42"/>
        <v>ABRIL</v>
      </c>
      <c r="C172" s="73" t="str">
        <f t="shared" si="43"/>
        <v>TERÇA</v>
      </c>
      <c r="D172" s="74">
        <v>45020</v>
      </c>
      <c r="E172" s="89">
        <f t="shared" si="45"/>
        <v>7</v>
      </c>
      <c r="F172" s="90">
        <f t="shared" si="46"/>
        <v>7</v>
      </c>
      <c r="G172" s="91"/>
      <c r="H172" s="76">
        <f t="shared" si="47"/>
        <v>14</v>
      </c>
      <c r="I172" s="89">
        <f t="shared" si="48"/>
        <v>8</v>
      </c>
      <c r="J172" s="90">
        <f t="shared" si="49"/>
        <v>8</v>
      </c>
      <c r="K172" s="91">
        <f t="shared" si="50"/>
        <v>8</v>
      </c>
      <c r="L172" s="76">
        <f t="shared" si="51"/>
        <v>24</v>
      </c>
      <c r="N172" s="79">
        <f t="shared" si="53"/>
        <v>52.36</v>
      </c>
      <c r="O172" s="80">
        <f t="shared" si="54"/>
        <v>42</v>
      </c>
      <c r="P172" s="81">
        <f t="shared" si="55"/>
        <v>0</v>
      </c>
      <c r="Q172" s="79">
        <f t="shared" si="56"/>
        <v>59.84</v>
      </c>
      <c r="R172" s="80">
        <f t="shared" si="57"/>
        <v>48</v>
      </c>
      <c r="S172" s="81">
        <f t="shared" si="58"/>
        <v>68</v>
      </c>
      <c r="T172" s="92">
        <f t="shared" si="59"/>
        <v>270.2</v>
      </c>
      <c r="U172" s="93">
        <f t="shared" si="52"/>
        <v>216.16</v>
      </c>
    </row>
    <row r="173" spans="1:21" x14ac:dyDescent="0.25">
      <c r="A173" s="71">
        <f t="shared" si="44"/>
        <v>2023</v>
      </c>
      <c r="B173" s="72" t="str">
        <f t="shared" si="42"/>
        <v>ABRIL</v>
      </c>
      <c r="C173" s="73" t="str">
        <f t="shared" si="43"/>
        <v>QUARTA</v>
      </c>
      <c r="D173" s="74">
        <v>45021</v>
      </c>
      <c r="E173" s="89">
        <f t="shared" si="45"/>
        <v>7</v>
      </c>
      <c r="F173" s="90">
        <f t="shared" si="46"/>
        <v>7</v>
      </c>
      <c r="G173" s="91"/>
      <c r="H173" s="76">
        <f t="shared" si="47"/>
        <v>14</v>
      </c>
      <c r="I173" s="89">
        <f t="shared" si="48"/>
        <v>8</v>
      </c>
      <c r="J173" s="90">
        <f t="shared" si="49"/>
        <v>8</v>
      </c>
      <c r="K173" s="91">
        <f t="shared" si="50"/>
        <v>8</v>
      </c>
      <c r="L173" s="76">
        <f t="shared" si="51"/>
        <v>24</v>
      </c>
      <c r="N173" s="79">
        <f t="shared" si="53"/>
        <v>52.36</v>
      </c>
      <c r="O173" s="80">
        <f t="shared" si="54"/>
        <v>42</v>
      </c>
      <c r="P173" s="81">
        <f t="shared" si="55"/>
        <v>0</v>
      </c>
      <c r="Q173" s="79">
        <f t="shared" si="56"/>
        <v>59.84</v>
      </c>
      <c r="R173" s="80">
        <f t="shared" si="57"/>
        <v>48</v>
      </c>
      <c r="S173" s="81">
        <f t="shared" si="58"/>
        <v>68</v>
      </c>
      <c r="T173" s="92">
        <f t="shared" si="59"/>
        <v>270.2</v>
      </c>
      <c r="U173" s="93">
        <f t="shared" si="52"/>
        <v>216.16</v>
      </c>
    </row>
    <row r="174" spans="1:21" x14ac:dyDescent="0.25">
      <c r="A174" s="71">
        <f t="shared" si="44"/>
        <v>2023</v>
      </c>
      <c r="B174" s="72" t="str">
        <f t="shared" si="42"/>
        <v>ABRIL</v>
      </c>
      <c r="C174" s="73" t="str">
        <f t="shared" si="43"/>
        <v>QUINTA</v>
      </c>
      <c r="D174" s="74">
        <v>45022</v>
      </c>
      <c r="E174" s="89">
        <f t="shared" si="45"/>
        <v>7</v>
      </c>
      <c r="F174" s="90">
        <f t="shared" si="46"/>
        <v>7</v>
      </c>
      <c r="G174" s="91"/>
      <c r="H174" s="76">
        <f t="shared" si="47"/>
        <v>14</v>
      </c>
      <c r="I174" s="89">
        <f t="shared" si="48"/>
        <v>8</v>
      </c>
      <c r="J174" s="90">
        <f t="shared" si="49"/>
        <v>8</v>
      </c>
      <c r="K174" s="91">
        <f t="shared" si="50"/>
        <v>8</v>
      </c>
      <c r="L174" s="76">
        <f t="shared" si="51"/>
        <v>24</v>
      </c>
      <c r="N174" s="79">
        <f t="shared" si="53"/>
        <v>52.36</v>
      </c>
      <c r="O174" s="80">
        <f t="shared" si="54"/>
        <v>42</v>
      </c>
      <c r="P174" s="81">
        <f t="shared" si="55"/>
        <v>0</v>
      </c>
      <c r="Q174" s="79">
        <f t="shared" si="56"/>
        <v>59.84</v>
      </c>
      <c r="R174" s="80">
        <f t="shared" si="57"/>
        <v>48</v>
      </c>
      <c r="S174" s="81">
        <f t="shared" si="58"/>
        <v>68</v>
      </c>
      <c r="T174" s="92">
        <f t="shared" si="59"/>
        <v>270.2</v>
      </c>
      <c r="U174" s="93">
        <f t="shared" si="52"/>
        <v>216.16</v>
      </c>
    </row>
    <row r="175" spans="1:21" x14ac:dyDescent="0.25">
      <c r="A175" s="71">
        <f t="shared" si="44"/>
        <v>2023</v>
      </c>
      <c r="B175" s="72" t="str">
        <f t="shared" si="42"/>
        <v>ABRIL</v>
      </c>
      <c r="C175" s="73" t="str">
        <f t="shared" si="43"/>
        <v>SEXTA</v>
      </c>
      <c r="D175" s="74">
        <v>45023</v>
      </c>
      <c r="E175" s="89">
        <f t="shared" si="45"/>
        <v>7</v>
      </c>
      <c r="F175" s="90">
        <f t="shared" si="46"/>
        <v>7</v>
      </c>
      <c r="G175" s="91"/>
      <c r="H175" s="76">
        <f t="shared" si="47"/>
        <v>14</v>
      </c>
      <c r="I175" s="89">
        <f t="shared" si="48"/>
        <v>8</v>
      </c>
      <c r="J175" s="90">
        <f t="shared" si="49"/>
        <v>8</v>
      </c>
      <c r="K175" s="91">
        <f t="shared" si="50"/>
        <v>8</v>
      </c>
      <c r="L175" s="76">
        <f t="shared" si="51"/>
        <v>24</v>
      </c>
      <c r="N175" s="79">
        <f t="shared" si="53"/>
        <v>52.36</v>
      </c>
      <c r="O175" s="80">
        <f t="shared" si="54"/>
        <v>42</v>
      </c>
      <c r="P175" s="81">
        <f t="shared" si="55"/>
        <v>0</v>
      </c>
      <c r="Q175" s="79">
        <f t="shared" si="56"/>
        <v>59.84</v>
      </c>
      <c r="R175" s="80">
        <f t="shared" si="57"/>
        <v>48</v>
      </c>
      <c r="S175" s="81">
        <f t="shared" si="58"/>
        <v>68</v>
      </c>
      <c r="T175" s="92">
        <f t="shared" si="59"/>
        <v>270.2</v>
      </c>
      <c r="U175" s="93">
        <f t="shared" si="52"/>
        <v>216.16</v>
      </c>
    </row>
    <row r="176" spans="1:21" x14ac:dyDescent="0.25">
      <c r="A176" s="71">
        <f t="shared" si="44"/>
        <v>2023</v>
      </c>
      <c r="B176" s="72" t="str">
        <f t="shared" si="42"/>
        <v>ABRIL</v>
      </c>
      <c r="C176" s="73" t="str">
        <f t="shared" si="43"/>
        <v>SÁBADO</v>
      </c>
      <c r="D176" s="74">
        <v>45024</v>
      </c>
      <c r="E176" s="89">
        <f t="shared" si="45"/>
        <v>0</v>
      </c>
      <c r="F176" s="90">
        <f t="shared" si="46"/>
        <v>7</v>
      </c>
      <c r="G176" s="91"/>
      <c r="H176" s="76">
        <f t="shared" si="47"/>
        <v>7</v>
      </c>
      <c r="I176" s="89">
        <f t="shared" si="48"/>
        <v>0</v>
      </c>
      <c r="J176" s="90">
        <f t="shared" si="49"/>
        <v>8</v>
      </c>
      <c r="K176" s="91">
        <f t="shared" si="50"/>
        <v>0</v>
      </c>
      <c r="L176" s="76">
        <f t="shared" si="51"/>
        <v>8</v>
      </c>
      <c r="N176" s="79">
        <f t="shared" si="53"/>
        <v>0</v>
      </c>
      <c r="O176" s="80">
        <f t="shared" si="54"/>
        <v>42</v>
      </c>
      <c r="P176" s="81">
        <f t="shared" si="55"/>
        <v>0</v>
      </c>
      <c r="Q176" s="79">
        <f t="shared" si="56"/>
        <v>0</v>
      </c>
      <c r="R176" s="80">
        <f t="shared" si="57"/>
        <v>48</v>
      </c>
      <c r="S176" s="81">
        <f t="shared" si="58"/>
        <v>0</v>
      </c>
      <c r="T176" s="92">
        <f t="shared" si="59"/>
        <v>90</v>
      </c>
      <c r="U176" s="93">
        <f t="shared" si="52"/>
        <v>72</v>
      </c>
    </row>
    <row r="177" spans="1:21" x14ac:dyDescent="0.25">
      <c r="A177" s="71">
        <f t="shared" si="44"/>
        <v>2023</v>
      </c>
      <c r="B177" s="72" t="str">
        <f t="shared" si="42"/>
        <v>ABRIL</v>
      </c>
      <c r="C177" s="73" t="str">
        <f t="shared" si="43"/>
        <v>DOMINGO</v>
      </c>
      <c r="D177" s="74">
        <v>45025</v>
      </c>
      <c r="E177" s="89">
        <f t="shared" si="45"/>
        <v>0</v>
      </c>
      <c r="F177" s="90">
        <f t="shared" si="46"/>
        <v>0</v>
      </c>
      <c r="G177" s="91"/>
      <c r="H177" s="76">
        <f t="shared" si="47"/>
        <v>0</v>
      </c>
      <c r="I177" s="89">
        <f t="shared" si="48"/>
        <v>0</v>
      </c>
      <c r="J177" s="90">
        <f t="shared" si="49"/>
        <v>0</v>
      </c>
      <c r="K177" s="91">
        <f t="shared" si="50"/>
        <v>0</v>
      </c>
      <c r="L177" s="76">
        <f t="shared" si="51"/>
        <v>0</v>
      </c>
      <c r="N177" s="79">
        <f t="shared" si="53"/>
        <v>0</v>
      </c>
      <c r="O177" s="80">
        <f t="shared" si="54"/>
        <v>0</v>
      </c>
      <c r="P177" s="81">
        <f t="shared" si="55"/>
        <v>0</v>
      </c>
      <c r="Q177" s="79">
        <f t="shared" si="56"/>
        <v>0</v>
      </c>
      <c r="R177" s="80">
        <f t="shared" si="57"/>
        <v>0</v>
      </c>
      <c r="S177" s="81">
        <f t="shared" si="58"/>
        <v>0</v>
      </c>
      <c r="T177" s="92">
        <f t="shared" si="59"/>
        <v>0</v>
      </c>
      <c r="U177" s="93">
        <f t="shared" si="52"/>
        <v>0</v>
      </c>
    </row>
    <row r="178" spans="1:21" x14ac:dyDescent="0.25">
      <c r="A178" s="71">
        <f t="shared" si="44"/>
        <v>2023</v>
      </c>
      <c r="B178" s="72" t="str">
        <f t="shared" si="42"/>
        <v>ABRIL</v>
      </c>
      <c r="C178" s="73" t="str">
        <f t="shared" si="43"/>
        <v>SEGUNDA</v>
      </c>
      <c r="D178" s="74">
        <v>45026</v>
      </c>
      <c r="E178" s="89">
        <f t="shared" si="45"/>
        <v>7</v>
      </c>
      <c r="F178" s="90">
        <f t="shared" si="46"/>
        <v>7</v>
      </c>
      <c r="G178" s="91"/>
      <c r="H178" s="76">
        <f t="shared" si="47"/>
        <v>14</v>
      </c>
      <c r="I178" s="89">
        <f t="shared" si="48"/>
        <v>8</v>
      </c>
      <c r="J178" s="90">
        <f t="shared" si="49"/>
        <v>8</v>
      </c>
      <c r="K178" s="91">
        <f t="shared" si="50"/>
        <v>8</v>
      </c>
      <c r="L178" s="76">
        <f t="shared" si="51"/>
        <v>24</v>
      </c>
      <c r="N178" s="79">
        <f t="shared" si="53"/>
        <v>52.36</v>
      </c>
      <c r="O178" s="80">
        <f t="shared" si="54"/>
        <v>42</v>
      </c>
      <c r="P178" s="81">
        <f t="shared" si="55"/>
        <v>0</v>
      </c>
      <c r="Q178" s="79">
        <f t="shared" si="56"/>
        <v>59.84</v>
      </c>
      <c r="R178" s="80">
        <f t="shared" si="57"/>
        <v>48</v>
      </c>
      <c r="S178" s="81">
        <f t="shared" si="58"/>
        <v>68</v>
      </c>
      <c r="T178" s="92">
        <f t="shared" si="59"/>
        <v>270.2</v>
      </c>
      <c r="U178" s="93">
        <f t="shared" si="52"/>
        <v>216.16</v>
      </c>
    </row>
    <row r="179" spans="1:21" x14ac:dyDescent="0.25">
      <c r="A179" s="71">
        <f t="shared" si="44"/>
        <v>2023</v>
      </c>
      <c r="B179" s="72" t="str">
        <f t="shared" si="42"/>
        <v>ABRIL</v>
      </c>
      <c r="C179" s="73" t="str">
        <f t="shared" si="43"/>
        <v>TERÇA</v>
      </c>
      <c r="D179" s="74">
        <v>45027</v>
      </c>
      <c r="E179" s="89">
        <f t="shared" si="45"/>
        <v>7</v>
      </c>
      <c r="F179" s="90">
        <f t="shared" si="46"/>
        <v>7</v>
      </c>
      <c r="G179" s="91"/>
      <c r="H179" s="76">
        <f t="shared" si="47"/>
        <v>14</v>
      </c>
      <c r="I179" s="89">
        <f t="shared" si="48"/>
        <v>8</v>
      </c>
      <c r="J179" s="90">
        <f t="shared" si="49"/>
        <v>8</v>
      </c>
      <c r="K179" s="91">
        <f t="shared" si="50"/>
        <v>8</v>
      </c>
      <c r="L179" s="76">
        <f t="shared" si="51"/>
        <v>24</v>
      </c>
      <c r="N179" s="79">
        <f t="shared" si="53"/>
        <v>52.36</v>
      </c>
      <c r="O179" s="80">
        <f t="shared" si="54"/>
        <v>42</v>
      </c>
      <c r="P179" s="81">
        <f t="shared" si="55"/>
        <v>0</v>
      </c>
      <c r="Q179" s="79">
        <f t="shared" si="56"/>
        <v>59.84</v>
      </c>
      <c r="R179" s="80">
        <f t="shared" si="57"/>
        <v>48</v>
      </c>
      <c r="S179" s="81">
        <f t="shared" si="58"/>
        <v>68</v>
      </c>
      <c r="T179" s="92">
        <f t="shared" si="59"/>
        <v>270.2</v>
      </c>
      <c r="U179" s="93">
        <f t="shared" si="52"/>
        <v>216.16</v>
      </c>
    </row>
    <row r="180" spans="1:21" x14ac:dyDescent="0.25">
      <c r="A180" s="71">
        <f t="shared" si="44"/>
        <v>2023</v>
      </c>
      <c r="B180" s="72" t="str">
        <f t="shared" si="42"/>
        <v>ABRIL</v>
      </c>
      <c r="C180" s="73" t="str">
        <f t="shared" si="43"/>
        <v>QUARTA</v>
      </c>
      <c r="D180" s="74">
        <v>45028</v>
      </c>
      <c r="E180" s="89">
        <f t="shared" si="45"/>
        <v>7</v>
      </c>
      <c r="F180" s="90">
        <f t="shared" si="46"/>
        <v>7</v>
      </c>
      <c r="G180" s="91"/>
      <c r="H180" s="76">
        <f t="shared" si="47"/>
        <v>14</v>
      </c>
      <c r="I180" s="89">
        <f t="shared" si="48"/>
        <v>8</v>
      </c>
      <c r="J180" s="90">
        <f t="shared" si="49"/>
        <v>8</v>
      </c>
      <c r="K180" s="91">
        <f t="shared" si="50"/>
        <v>8</v>
      </c>
      <c r="L180" s="76">
        <f t="shared" si="51"/>
        <v>24</v>
      </c>
      <c r="N180" s="79">
        <f t="shared" si="53"/>
        <v>52.36</v>
      </c>
      <c r="O180" s="80">
        <f t="shared" si="54"/>
        <v>42</v>
      </c>
      <c r="P180" s="81">
        <f t="shared" si="55"/>
        <v>0</v>
      </c>
      <c r="Q180" s="79">
        <f t="shared" si="56"/>
        <v>59.84</v>
      </c>
      <c r="R180" s="80">
        <f t="shared" si="57"/>
        <v>48</v>
      </c>
      <c r="S180" s="81">
        <f t="shared" si="58"/>
        <v>68</v>
      </c>
      <c r="T180" s="92">
        <f t="shared" si="59"/>
        <v>270.2</v>
      </c>
      <c r="U180" s="93">
        <f t="shared" si="52"/>
        <v>216.16</v>
      </c>
    </row>
    <row r="181" spans="1:21" x14ac:dyDescent="0.25">
      <c r="A181" s="71">
        <f t="shared" si="44"/>
        <v>2023</v>
      </c>
      <c r="B181" s="72" t="str">
        <f t="shared" si="42"/>
        <v>ABRIL</v>
      </c>
      <c r="C181" s="73" t="str">
        <f t="shared" si="43"/>
        <v>QUINTA</v>
      </c>
      <c r="D181" s="74">
        <v>45029</v>
      </c>
      <c r="E181" s="89">
        <f t="shared" si="45"/>
        <v>7</v>
      </c>
      <c r="F181" s="90">
        <f t="shared" si="46"/>
        <v>7</v>
      </c>
      <c r="G181" s="91"/>
      <c r="H181" s="76">
        <f t="shared" si="47"/>
        <v>14</v>
      </c>
      <c r="I181" s="89">
        <f t="shared" si="48"/>
        <v>8</v>
      </c>
      <c r="J181" s="90">
        <f t="shared" si="49"/>
        <v>8</v>
      </c>
      <c r="K181" s="91">
        <f t="shared" si="50"/>
        <v>8</v>
      </c>
      <c r="L181" s="76">
        <f t="shared" si="51"/>
        <v>24</v>
      </c>
      <c r="N181" s="79">
        <f t="shared" si="53"/>
        <v>52.36</v>
      </c>
      <c r="O181" s="80">
        <f t="shared" si="54"/>
        <v>42</v>
      </c>
      <c r="P181" s="81">
        <f t="shared" si="55"/>
        <v>0</v>
      </c>
      <c r="Q181" s="79">
        <f t="shared" si="56"/>
        <v>59.84</v>
      </c>
      <c r="R181" s="80">
        <f t="shared" si="57"/>
        <v>48</v>
      </c>
      <c r="S181" s="81">
        <f t="shared" si="58"/>
        <v>68</v>
      </c>
      <c r="T181" s="92">
        <f t="shared" si="59"/>
        <v>270.2</v>
      </c>
      <c r="U181" s="93">
        <f t="shared" si="52"/>
        <v>216.16</v>
      </c>
    </row>
    <row r="182" spans="1:21" x14ac:dyDescent="0.25">
      <c r="A182" s="71">
        <f t="shared" si="44"/>
        <v>2023</v>
      </c>
      <c r="B182" s="72" t="str">
        <f t="shared" si="42"/>
        <v>ABRIL</v>
      </c>
      <c r="C182" s="73" t="str">
        <f t="shared" si="43"/>
        <v>SEXTA</v>
      </c>
      <c r="D182" s="74">
        <v>45030</v>
      </c>
      <c r="E182" s="89">
        <f t="shared" si="45"/>
        <v>7</v>
      </c>
      <c r="F182" s="90">
        <f t="shared" si="46"/>
        <v>7</v>
      </c>
      <c r="G182" s="91"/>
      <c r="H182" s="76">
        <f t="shared" si="47"/>
        <v>14</v>
      </c>
      <c r="I182" s="89">
        <f t="shared" si="48"/>
        <v>8</v>
      </c>
      <c r="J182" s="90">
        <f t="shared" si="49"/>
        <v>8</v>
      </c>
      <c r="K182" s="91">
        <f t="shared" si="50"/>
        <v>8</v>
      </c>
      <c r="L182" s="76">
        <f t="shared" si="51"/>
        <v>24</v>
      </c>
      <c r="N182" s="79">
        <f t="shared" si="53"/>
        <v>52.36</v>
      </c>
      <c r="O182" s="80">
        <f t="shared" si="54"/>
        <v>42</v>
      </c>
      <c r="P182" s="81">
        <f t="shared" si="55"/>
        <v>0</v>
      </c>
      <c r="Q182" s="79">
        <f t="shared" si="56"/>
        <v>59.84</v>
      </c>
      <c r="R182" s="80">
        <f t="shared" si="57"/>
        <v>48</v>
      </c>
      <c r="S182" s="81">
        <f t="shared" si="58"/>
        <v>68</v>
      </c>
      <c r="T182" s="92">
        <f t="shared" si="59"/>
        <v>270.2</v>
      </c>
      <c r="U182" s="93">
        <f t="shared" si="52"/>
        <v>216.16</v>
      </c>
    </row>
    <row r="183" spans="1:21" x14ac:dyDescent="0.25">
      <c r="A183" s="71">
        <f t="shared" si="44"/>
        <v>2023</v>
      </c>
      <c r="B183" s="72" t="str">
        <f t="shared" si="42"/>
        <v>ABRIL</v>
      </c>
      <c r="C183" s="73" t="str">
        <f t="shared" si="43"/>
        <v>SÁBADO</v>
      </c>
      <c r="D183" s="74">
        <v>45031</v>
      </c>
      <c r="E183" s="89">
        <f t="shared" si="45"/>
        <v>0</v>
      </c>
      <c r="F183" s="90">
        <f t="shared" si="46"/>
        <v>7</v>
      </c>
      <c r="G183" s="91"/>
      <c r="H183" s="76">
        <f t="shared" si="47"/>
        <v>7</v>
      </c>
      <c r="I183" s="89">
        <f t="shared" si="48"/>
        <v>0</v>
      </c>
      <c r="J183" s="90">
        <f t="shared" si="49"/>
        <v>8</v>
      </c>
      <c r="K183" s="91">
        <f t="shared" si="50"/>
        <v>0</v>
      </c>
      <c r="L183" s="76">
        <f t="shared" si="51"/>
        <v>8</v>
      </c>
      <c r="N183" s="79">
        <f t="shared" si="53"/>
        <v>0</v>
      </c>
      <c r="O183" s="80">
        <f t="shared" si="54"/>
        <v>42</v>
      </c>
      <c r="P183" s="81">
        <f t="shared" si="55"/>
        <v>0</v>
      </c>
      <c r="Q183" s="79">
        <f t="shared" si="56"/>
        <v>0</v>
      </c>
      <c r="R183" s="80">
        <f t="shared" si="57"/>
        <v>48</v>
      </c>
      <c r="S183" s="81">
        <f t="shared" si="58"/>
        <v>0</v>
      </c>
      <c r="T183" s="92">
        <f t="shared" si="59"/>
        <v>90</v>
      </c>
      <c r="U183" s="93">
        <f t="shared" si="52"/>
        <v>72</v>
      </c>
    </row>
    <row r="184" spans="1:21" x14ac:dyDescent="0.25">
      <c r="A184" s="71">
        <f t="shared" si="44"/>
        <v>2023</v>
      </c>
      <c r="B184" s="72" t="str">
        <f t="shared" si="42"/>
        <v>ABRIL</v>
      </c>
      <c r="C184" s="73" t="str">
        <f t="shared" si="43"/>
        <v>DOMINGO</v>
      </c>
      <c r="D184" s="74">
        <v>45032</v>
      </c>
      <c r="E184" s="89">
        <f t="shared" si="45"/>
        <v>0</v>
      </c>
      <c r="F184" s="90">
        <f t="shared" si="46"/>
        <v>0</v>
      </c>
      <c r="G184" s="91"/>
      <c r="H184" s="76">
        <f t="shared" si="47"/>
        <v>0</v>
      </c>
      <c r="I184" s="89">
        <f t="shared" si="48"/>
        <v>0</v>
      </c>
      <c r="J184" s="90">
        <f t="shared" si="49"/>
        <v>0</v>
      </c>
      <c r="K184" s="91">
        <f t="shared" si="50"/>
        <v>0</v>
      </c>
      <c r="L184" s="76">
        <f t="shared" si="51"/>
        <v>0</v>
      </c>
      <c r="N184" s="79">
        <f t="shared" si="53"/>
        <v>0</v>
      </c>
      <c r="O184" s="80">
        <f t="shared" si="54"/>
        <v>0</v>
      </c>
      <c r="P184" s="81">
        <f t="shared" si="55"/>
        <v>0</v>
      </c>
      <c r="Q184" s="79">
        <f t="shared" si="56"/>
        <v>0</v>
      </c>
      <c r="R184" s="80">
        <f t="shared" si="57"/>
        <v>0</v>
      </c>
      <c r="S184" s="81">
        <f t="shared" si="58"/>
        <v>0</v>
      </c>
      <c r="T184" s="92">
        <f t="shared" si="59"/>
        <v>0</v>
      </c>
      <c r="U184" s="93">
        <f t="shared" si="52"/>
        <v>0</v>
      </c>
    </row>
    <row r="185" spans="1:21" x14ac:dyDescent="0.25">
      <c r="A185" s="71">
        <f t="shared" si="44"/>
        <v>2023</v>
      </c>
      <c r="B185" s="72" t="str">
        <f t="shared" si="42"/>
        <v>ABRIL</v>
      </c>
      <c r="C185" s="73" t="str">
        <f t="shared" si="43"/>
        <v>SEGUNDA</v>
      </c>
      <c r="D185" s="74">
        <v>45033</v>
      </c>
      <c r="E185" s="89">
        <f t="shared" si="45"/>
        <v>7</v>
      </c>
      <c r="F185" s="90">
        <f t="shared" si="46"/>
        <v>7</v>
      </c>
      <c r="G185" s="91"/>
      <c r="H185" s="76">
        <f t="shared" si="47"/>
        <v>14</v>
      </c>
      <c r="I185" s="89">
        <f t="shared" si="48"/>
        <v>8</v>
      </c>
      <c r="J185" s="90">
        <f t="shared" si="49"/>
        <v>8</v>
      </c>
      <c r="K185" s="91">
        <f t="shared" si="50"/>
        <v>8</v>
      </c>
      <c r="L185" s="76">
        <f t="shared" si="51"/>
        <v>24</v>
      </c>
      <c r="N185" s="79">
        <f t="shared" si="53"/>
        <v>52.36</v>
      </c>
      <c r="O185" s="80">
        <f t="shared" si="54"/>
        <v>42</v>
      </c>
      <c r="P185" s="81">
        <f t="shared" si="55"/>
        <v>0</v>
      </c>
      <c r="Q185" s="79">
        <f t="shared" si="56"/>
        <v>59.84</v>
      </c>
      <c r="R185" s="80">
        <f t="shared" si="57"/>
        <v>48</v>
      </c>
      <c r="S185" s="81">
        <f t="shared" si="58"/>
        <v>68</v>
      </c>
      <c r="T185" s="92">
        <f t="shared" si="59"/>
        <v>270.2</v>
      </c>
      <c r="U185" s="93">
        <f t="shared" si="52"/>
        <v>216.16</v>
      </c>
    </row>
    <row r="186" spans="1:21" x14ac:dyDescent="0.25">
      <c r="A186" s="71">
        <f t="shared" si="44"/>
        <v>2023</v>
      </c>
      <c r="B186" s="72" t="str">
        <f t="shared" si="42"/>
        <v>ABRIL</v>
      </c>
      <c r="C186" s="73" t="str">
        <f t="shared" si="43"/>
        <v>TERÇA</v>
      </c>
      <c r="D186" s="74">
        <v>45034</v>
      </c>
      <c r="E186" s="89">
        <f t="shared" si="45"/>
        <v>7</v>
      </c>
      <c r="F186" s="90">
        <f t="shared" si="46"/>
        <v>7</v>
      </c>
      <c r="G186" s="91"/>
      <c r="H186" s="76">
        <f t="shared" si="47"/>
        <v>14</v>
      </c>
      <c r="I186" s="89">
        <f t="shared" si="48"/>
        <v>8</v>
      </c>
      <c r="J186" s="90">
        <f t="shared" si="49"/>
        <v>8</v>
      </c>
      <c r="K186" s="91">
        <f t="shared" si="50"/>
        <v>8</v>
      </c>
      <c r="L186" s="76">
        <f t="shared" si="51"/>
        <v>24</v>
      </c>
      <c r="N186" s="79">
        <f t="shared" si="53"/>
        <v>52.36</v>
      </c>
      <c r="O186" s="80">
        <f t="shared" si="54"/>
        <v>42</v>
      </c>
      <c r="P186" s="81">
        <f t="shared" si="55"/>
        <v>0</v>
      </c>
      <c r="Q186" s="79">
        <f t="shared" si="56"/>
        <v>59.84</v>
      </c>
      <c r="R186" s="80">
        <f t="shared" si="57"/>
        <v>48</v>
      </c>
      <c r="S186" s="81">
        <f t="shared" si="58"/>
        <v>68</v>
      </c>
      <c r="T186" s="92">
        <f t="shared" si="59"/>
        <v>270.2</v>
      </c>
      <c r="U186" s="93">
        <f t="shared" si="52"/>
        <v>216.16</v>
      </c>
    </row>
    <row r="187" spans="1:21" x14ac:dyDescent="0.25">
      <c r="A187" s="71">
        <f t="shared" si="44"/>
        <v>2023</v>
      </c>
      <c r="B187" s="72" t="str">
        <f t="shared" si="42"/>
        <v>ABRIL</v>
      </c>
      <c r="C187" s="73" t="str">
        <f t="shared" si="43"/>
        <v>QUARTA</v>
      </c>
      <c r="D187" s="74">
        <v>45035</v>
      </c>
      <c r="E187" s="89">
        <f t="shared" si="45"/>
        <v>7</v>
      </c>
      <c r="F187" s="90">
        <f t="shared" si="46"/>
        <v>7</v>
      </c>
      <c r="G187" s="91"/>
      <c r="H187" s="76">
        <f t="shared" si="47"/>
        <v>14</v>
      </c>
      <c r="I187" s="89">
        <f t="shared" si="48"/>
        <v>8</v>
      </c>
      <c r="J187" s="90">
        <f t="shared" si="49"/>
        <v>8</v>
      </c>
      <c r="K187" s="91">
        <f t="shared" si="50"/>
        <v>8</v>
      </c>
      <c r="L187" s="76">
        <f t="shared" si="51"/>
        <v>24</v>
      </c>
      <c r="N187" s="79">
        <f t="shared" si="53"/>
        <v>52.36</v>
      </c>
      <c r="O187" s="80">
        <f t="shared" si="54"/>
        <v>42</v>
      </c>
      <c r="P187" s="81">
        <f t="shared" si="55"/>
        <v>0</v>
      </c>
      <c r="Q187" s="79">
        <f t="shared" si="56"/>
        <v>59.84</v>
      </c>
      <c r="R187" s="80">
        <f t="shared" si="57"/>
        <v>48</v>
      </c>
      <c r="S187" s="81">
        <f t="shared" si="58"/>
        <v>68</v>
      </c>
      <c r="T187" s="92">
        <f t="shared" si="59"/>
        <v>270.2</v>
      </c>
      <c r="U187" s="93">
        <f t="shared" si="52"/>
        <v>216.16</v>
      </c>
    </row>
    <row r="188" spans="1:21" x14ac:dyDescent="0.25">
      <c r="A188" s="71">
        <f t="shared" si="44"/>
        <v>2023</v>
      </c>
      <c r="B188" s="72" t="str">
        <f t="shared" si="42"/>
        <v>ABRIL</v>
      </c>
      <c r="C188" s="73" t="str">
        <f t="shared" si="43"/>
        <v>QUINTA</v>
      </c>
      <c r="D188" s="74">
        <v>45036</v>
      </c>
      <c r="E188" s="89">
        <f t="shared" si="45"/>
        <v>7</v>
      </c>
      <c r="F188" s="90">
        <f t="shared" si="46"/>
        <v>7</v>
      </c>
      <c r="G188" s="91"/>
      <c r="H188" s="76">
        <f t="shared" si="47"/>
        <v>14</v>
      </c>
      <c r="I188" s="89">
        <f t="shared" si="48"/>
        <v>8</v>
      </c>
      <c r="J188" s="90">
        <f t="shared" si="49"/>
        <v>8</v>
      </c>
      <c r="K188" s="91">
        <f t="shared" si="50"/>
        <v>8</v>
      </c>
      <c r="L188" s="76">
        <f t="shared" si="51"/>
        <v>24</v>
      </c>
      <c r="N188" s="79">
        <f t="shared" si="53"/>
        <v>52.36</v>
      </c>
      <c r="O188" s="80">
        <f t="shared" si="54"/>
        <v>42</v>
      </c>
      <c r="P188" s="81">
        <f t="shared" si="55"/>
        <v>0</v>
      </c>
      <c r="Q188" s="79">
        <f t="shared" si="56"/>
        <v>59.84</v>
      </c>
      <c r="R188" s="80">
        <f t="shared" si="57"/>
        <v>48</v>
      </c>
      <c r="S188" s="81">
        <f t="shared" si="58"/>
        <v>68</v>
      </c>
      <c r="T188" s="92">
        <f t="shared" si="59"/>
        <v>270.2</v>
      </c>
      <c r="U188" s="93">
        <f t="shared" si="52"/>
        <v>216.16</v>
      </c>
    </row>
    <row r="189" spans="1:21" x14ac:dyDescent="0.25">
      <c r="A189" s="71">
        <f t="shared" si="44"/>
        <v>2023</v>
      </c>
      <c r="B189" s="72" t="str">
        <f t="shared" si="42"/>
        <v>ABRIL</v>
      </c>
      <c r="C189" s="73" t="str">
        <f t="shared" si="43"/>
        <v>SEXTA</v>
      </c>
      <c r="D189" s="74">
        <v>45037</v>
      </c>
      <c r="E189" s="89">
        <f t="shared" si="45"/>
        <v>7</v>
      </c>
      <c r="F189" s="90">
        <f t="shared" si="46"/>
        <v>7</v>
      </c>
      <c r="G189" s="91"/>
      <c r="H189" s="76">
        <f t="shared" si="47"/>
        <v>14</v>
      </c>
      <c r="I189" s="89">
        <f t="shared" si="48"/>
        <v>8</v>
      </c>
      <c r="J189" s="90">
        <f t="shared" si="49"/>
        <v>8</v>
      </c>
      <c r="K189" s="91">
        <f t="shared" si="50"/>
        <v>8</v>
      </c>
      <c r="L189" s="76">
        <f t="shared" si="51"/>
        <v>24</v>
      </c>
      <c r="N189" s="79">
        <f t="shared" si="53"/>
        <v>52.36</v>
      </c>
      <c r="O189" s="80">
        <f t="shared" si="54"/>
        <v>42</v>
      </c>
      <c r="P189" s="81">
        <f t="shared" si="55"/>
        <v>0</v>
      </c>
      <c r="Q189" s="79">
        <f t="shared" si="56"/>
        <v>59.84</v>
      </c>
      <c r="R189" s="80">
        <f t="shared" si="57"/>
        <v>48</v>
      </c>
      <c r="S189" s="81">
        <f t="shared" si="58"/>
        <v>68</v>
      </c>
      <c r="T189" s="92">
        <f t="shared" si="59"/>
        <v>270.2</v>
      </c>
      <c r="U189" s="93">
        <f t="shared" si="52"/>
        <v>216.16</v>
      </c>
    </row>
    <row r="190" spans="1:21" x14ac:dyDescent="0.25">
      <c r="A190" s="71">
        <f t="shared" si="44"/>
        <v>2023</v>
      </c>
      <c r="B190" s="72" t="str">
        <f t="shared" si="42"/>
        <v>ABRIL</v>
      </c>
      <c r="C190" s="73" t="str">
        <f t="shared" si="43"/>
        <v>SÁBADO</v>
      </c>
      <c r="D190" s="74">
        <v>45038</v>
      </c>
      <c r="E190" s="89">
        <f t="shared" si="45"/>
        <v>0</v>
      </c>
      <c r="F190" s="90">
        <f t="shared" si="46"/>
        <v>7</v>
      </c>
      <c r="G190" s="91"/>
      <c r="H190" s="76">
        <f t="shared" si="47"/>
        <v>7</v>
      </c>
      <c r="I190" s="89">
        <f t="shared" si="48"/>
        <v>0</v>
      </c>
      <c r="J190" s="90">
        <f t="shared" si="49"/>
        <v>8</v>
      </c>
      <c r="K190" s="91">
        <f t="shared" si="50"/>
        <v>0</v>
      </c>
      <c r="L190" s="76">
        <f t="shared" si="51"/>
        <v>8</v>
      </c>
      <c r="N190" s="79">
        <f t="shared" si="53"/>
        <v>0</v>
      </c>
      <c r="O190" s="80">
        <f t="shared" si="54"/>
        <v>42</v>
      </c>
      <c r="P190" s="81">
        <f t="shared" si="55"/>
        <v>0</v>
      </c>
      <c r="Q190" s="79">
        <f t="shared" si="56"/>
        <v>0</v>
      </c>
      <c r="R190" s="80">
        <f t="shared" si="57"/>
        <v>48</v>
      </c>
      <c r="S190" s="81">
        <f t="shared" si="58"/>
        <v>0</v>
      </c>
      <c r="T190" s="92">
        <f t="shared" si="59"/>
        <v>90</v>
      </c>
      <c r="U190" s="93">
        <f t="shared" si="52"/>
        <v>72</v>
      </c>
    </row>
    <row r="191" spans="1:21" x14ac:dyDescent="0.25">
      <c r="A191" s="71">
        <f t="shared" si="44"/>
        <v>2023</v>
      </c>
      <c r="B191" s="72" t="str">
        <f t="shared" ref="B191:B254" si="60">VLOOKUP(MONTH(D191),$AG$2:$AH$14,2,0)</f>
        <v>ABRIL</v>
      </c>
      <c r="C191" s="73" t="str">
        <f t="shared" si="43"/>
        <v>DOMINGO</v>
      </c>
      <c r="D191" s="74">
        <v>45039</v>
      </c>
      <c r="E191" s="89">
        <f t="shared" si="45"/>
        <v>0</v>
      </c>
      <c r="F191" s="90">
        <f t="shared" si="46"/>
        <v>0</v>
      </c>
      <c r="G191" s="91"/>
      <c r="H191" s="76">
        <f t="shared" si="47"/>
        <v>0</v>
      </c>
      <c r="I191" s="89">
        <f t="shared" si="48"/>
        <v>0</v>
      </c>
      <c r="J191" s="90">
        <f t="shared" si="49"/>
        <v>0</v>
      </c>
      <c r="K191" s="91">
        <f t="shared" si="50"/>
        <v>0</v>
      </c>
      <c r="L191" s="76">
        <f t="shared" si="51"/>
        <v>0</v>
      </c>
      <c r="N191" s="79">
        <f t="shared" si="53"/>
        <v>0</v>
      </c>
      <c r="O191" s="80">
        <f t="shared" si="54"/>
        <v>0</v>
      </c>
      <c r="P191" s="81">
        <f t="shared" si="55"/>
        <v>0</v>
      </c>
      <c r="Q191" s="79">
        <f t="shared" si="56"/>
        <v>0</v>
      </c>
      <c r="R191" s="80">
        <f t="shared" si="57"/>
        <v>0</v>
      </c>
      <c r="S191" s="81">
        <f t="shared" si="58"/>
        <v>0</v>
      </c>
      <c r="T191" s="92">
        <f t="shared" si="59"/>
        <v>0</v>
      </c>
      <c r="U191" s="93">
        <f t="shared" si="52"/>
        <v>0</v>
      </c>
    </row>
    <row r="192" spans="1:21" x14ac:dyDescent="0.25">
      <c r="A192" s="71">
        <f t="shared" si="44"/>
        <v>2023</v>
      </c>
      <c r="B192" s="72" t="str">
        <f t="shared" si="60"/>
        <v>ABRIL</v>
      </c>
      <c r="C192" s="73" t="str">
        <f t="shared" si="43"/>
        <v>SEGUNDA</v>
      </c>
      <c r="D192" s="74">
        <v>45040</v>
      </c>
      <c r="E192" s="89">
        <f t="shared" si="45"/>
        <v>7</v>
      </c>
      <c r="F192" s="90">
        <f t="shared" si="46"/>
        <v>7</v>
      </c>
      <c r="G192" s="91"/>
      <c r="H192" s="76">
        <f t="shared" si="47"/>
        <v>14</v>
      </c>
      <c r="I192" s="89">
        <f t="shared" si="48"/>
        <v>8</v>
      </c>
      <c r="J192" s="90">
        <f t="shared" si="49"/>
        <v>8</v>
      </c>
      <c r="K192" s="91">
        <f t="shared" si="50"/>
        <v>8</v>
      </c>
      <c r="L192" s="76">
        <f t="shared" si="51"/>
        <v>24</v>
      </c>
      <c r="N192" s="79">
        <f t="shared" si="53"/>
        <v>52.36</v>
      </c>
      <c r="O192" s="80">
        <f t="shared" si="54"/>
        <v>42</v>
      </c>
      <c r="P192" s="81">
        <f t="shared" si="55"/>
        <v>0</v>
      </c>
      <c r="Q192" s="79">
        <f t="shared" si="56"/>
        <v>59.84</v>
      </c>
      <c r="R192" s="80">
        <f t="shared" si="57"/>
        <v>48</v>
      </c>
      <c r="S192" s="81">
        <f t="shared" si="58"/>
        <v>68</v>
      </c>
      <c r="T192" s="92">
        <f t="shared" si="59"/>
        <v>270.2</v>
      </c>
      <c r="U192" s="93">
        <f t="shared" si="52"/>
        <v>216.16</v>
      </c>
    </row>
    <row r="193" spans="1:21" x14ac:dyDescent="0.25">
      <c r="A193" s="71">
        <f t="shared" si="44"/>
        <v>2023</v>
      </c>
      <c r="B193" s="72" t="str">
        <f t="shared" si="60"/>
        <v>ABRIL</v>
      </c>
      <c r="C193" s="73" t="str">
        <f t="shared" si="43"/>
        <v>TERÇA</v>
      </c>
      <c r="D193" s="74">
        <v>45041</v>
      </c>
      <c r="E193" s="89">
        <f t="shared" si="45"/>
        <v>7</v>
      </c>
      <c r="F193" s="90">
        <f t="shared" si="46"/>
        <v>7</v>
      </c>
      <c r="G193" s="91"/>
      <c r="H193" s="76">
        <f t="shared" si="47"/>
        <v>14</v>
      </c>
      <c r="I193" s="89">
        <f t="shared" si="48"/>
        <v>8</v>
      </c>
      <c r="J193" s="90">
        <f t="shared" si="49"/>
        <v>8</v>
      </c>
      <c r="K193" s="91">
        <f t="shared" si="50"/>
        <v>8</v>
      </c>
      <c r="L193" s="76">
        <f t="shared" si="51"/>
        <v>24</v>
      </c>
      <c r="N193" s="79">
        <f t="shared" si="53"/>
        <v>52.36</v>
      </c>
      <c r="O193" s="80">
        <f t="shared" si="54"/>
        <v>42</v>
      </c>
      <c r="P193" s="81">
        <f t="shared" si="55"/>
        <v>0</v>
      </c>
      <c r="Q193" s="79">
        <f t="shared" si="56"/>
        <v>59.84</v>
      </c>
      <c r="R193" s="80">
        <f t="shared" si="57"/>
        <v>48</v>
      </c>
      <c r="S193" s="81">
        <f t="shared" si="58"/>
        <v>68</v>
      </c>
      <c r="T193" s="92">
        <f t="shared" si="59"/>
        <v>270.2</v>
      </c>
      <c r="U193" s="93">
        <f t="shared" si="52"/>
        <v>216.16</v>
      </c>
    </row>
    <row r="194" spans="1:21" x14ac:dyDescent="0.25">
      <c r="A194" s="71">
        <f t="shared" si="44"/>
        <v>2023</v>
      </c>
      <c r="B194" s="72" t="str">
        <f t="shared" si="60"/>
        <v>ABRIL</v>
      </c>
      <c r="C194" s="73" t="str">
        <f t="shared" si="43"/>
        <v>QUARTA</v>
      </c>
      <c r="D194" s="74">
        <v>45042</v>
      </c>
      <c r="E194" s="89">
        <f t="shared" si="45"/>
        <v>7</v>
      </c>
      <c r="F194" s="90">
        <f t="shared" si="46"/>
        <v>7</v>
      </c>
      <c r="G194" s="91"/>
      <c r="H194" s="76">
        <f t="shared" si="47"/>
        <v>14</v>
      </c>
      <c r="I194" s="89">
        <f t="shared" si="48"/>
        <v>8</v>
      </c>
      <c r="J194" s="90">
        <f t="shared" si="49"/>
        <v>8</v>
      </c>
      <c r="K194" s="91">
        <f t="shared" si="50"/>
        <v>8</v>
      </c>
      <c r="L194" s="76">
        <f t="shared" si="51"/>
        <v>24</v>
      </c>
      <c r="N194" s="79">
        <f t="shared" si="53"/>
        <v>52.36</v>
      </c>
      <c r="O194" s="80">
        <f t="shared" si="54"/>
        <v>42</v>
      </c>
      <c r="P194" s="81">
        <f t="shared" si="55"/>
        <v>0</v>
      </c>
      <c r="Q194" s="79">
        <f t="shared" si="56"/>
        <v>59.84</v>
      </c>
      <c r="R194" s="80">
        <f t="shared" si="57"/>
        <v>48</v>
      </c>
      <c r="S194" s="81">
        <f t="shared" si="58"/>
        <v>68</v>
      </c>
      <c r="T194" s="92">
        <f t="shared" si="59"/>
        <v>270.2</v>
      </c>
      <c r="U194" s="93">
        <f t="shared" si="52"/>
        <v>216.16</v>
      </c>
    </row>
    <row r="195" spans="1:21" x14ac:dyDescent="0.25">
      <c r="A195" s="71">
        <f t="shared" si="44"/>
        <v>2023</v>
      </c>
      <c r="B195" s="72" t="str">
        <f t="shared" si="60"/>
        <v>ABRIL</v>
      </c>
      <c r="C195" s="73" t="str">
        <f t="shared" si="43"/>
        <v>QUINTA</v>
      </c>
      <c r="D195" s="74">
        <v>45043</v>
      </c>
      <c r="E195" s="89">
        <f t="shared" si="45"/>
        <v>7</v>
      </c>
      <c r="F195" s="90">
        <f t="shared" si="46"/>
        <v>7</v>
      </c>
      <c r="G195" s="91"/>
      <c r="H195" s="76">
        <f t="shared" si="47"/>
        <v>14</v>
      </c>
      <c r="I195" s="89">
        <f t="shared" si="48"/>
        <v>8</v>
      </c>
      <c r="J195" s="90">
        <f t="shared" si="49"/>
        <v>8</v>
      </c>
      <c r="K195" s="91">
        <f t="shared" si="50"/>
        <v>8</v>
      </c>
      <c r="L195" s="76">
        <f t="shared" si="51"/>
        <v>24</v>
      </c>
      <c r="N195" s="79">
        <f t="shared" si="53"/>
        <v>52.36</v>
      </c>
      <c r="O195" s="80">
        <f t="shared" si="54"/>
        <v>42</v>
      </c>
      <c r="P195" s="81">
        <f t="shared" si="55"/>
        <v>0</v>
      </c>
      <c r="Q195" s="79">
        <f t="shared" si="56"/>
        <v>59.84</v>
      </c>
      <c r="R195" s="80">
        <f t="shared" si="57"/>
        <v>48</v>
      </c>
      <c r="S195" s="81">
        <f t="shared" si="58"/>
        <v>68</v>
      </c>
      <c r="T195" s="92">
        <f t="shared" si="59"/>
        <v>270.2</v>
      </c>
      <c r="U195" s="93">
        <f t="shared" si="52"/>
        <v>216.16</v>
      </c>
    </row>
    <row r="196" spans="1:21" x14ac:dyDescent="0.25">
      <c r="A196" s="71">
        <f t="shared" si="44"/>
        <v>2023</v>
      </c>
      <c r="B196" s="72" t="str">
        <f t="shared" si="60"/>
        <v>ABRIL</v>
      </c>
      <c r="C196" s="73" t="str">
        <f t="shared" si="43"/>
        <v>SEXTA</v>
      </c>
      <c r="D196" s="74">
        <v>45044</v>
      </c>
      <c r="E196" s="89">
        <f t="shared" si="45"/>
        <v>7</v>
      </c>
      <c r="F196" s="90">
        <f t="shared" si="46"/>
        <v>7</v>
      </c>
      <c r="G196" s="91"/>
      <c r="H196" s="76">
        <f t="shared" si="47"/>
        <v>14</v>
      </c>
      <c r="I196" s="89">
        <f t="shared" si="48"/>
        <v>8</v>
      </c>
      <c r="J196" s="90">
        <f t="shared" si="49"/>
        <v>8</v>
      </c>
      <c r="K196" s="91">
        <f t="shared" si="50"/>
        <v>8</v>
      </c>
      <c r="L196" s="76">
        <f t="shared" si="51"/>
        <v>24</v>
      </c>
      <c r="N196" s="79">
        <f t="shared" si="53"/>
        <v>52.36</v>
      </c>
      <c r="O196" s="80">
        <f t="shared" si="54"/>
        <v>42</v>
      </c>
      <c r="P196" s="81">
        <f t="shared" si="55"/>
        <v>0</v>
      </c>
      <c r="Q196" s="79">
        <f t="shared" si="56"/>
        <v>59.84</v>
      </c>
      <c r="R196" s="80">
        <f t="shared" si="57"/>
        <v>48</v>
      </c>
      <c r="S196" s="81">
        <f t="shared" si="58"/>
        <v>68</v>
      </c>
      <c r="T196" s="92">
        <f t="shared" si="59"/>
        <v>270.2</v>
      </c>
      <c r="U196" s="93">
        <f t="shared" si="52"/>
        <v>216.16</v>
      </c>
    </row>
    <row r="197" spans="1:21" x14ac:dyDescent="0.25">
      <c r="A197" s="71">
        <f t="shared" si="44"/>
        <v>2023</v>
      </c>
      <c r="B197" s="72" t="str">
        <f t="shared" si="60"/>
        <v>ABRIL</v>
      </c>
      <c r="C197" s="73" t="str">
        <f t="shared" ref="C197:C260" si="61">VLOOKUP(WEEKDAY(D197),$AE$2:$AF$9,2,0)</f>
        <v>SÁBADO</v>
      </c>
      <c r="D197" s="74">
        <v>45045</v>
      </c>
      <c r="E197" s="89">
        <f t="shared" si="45"/>
        <v>0</v>
      </c>
      <c r="F197" s="90">
        <f t="shared" si="46"/>
        <v>7</v>
      </c>
      <c r="G197" s="91"/>
      <c r="H197" s="76">
        <f t="shared" si="47"/>
        <v>7</v>
      </c>
      <c r="I197" s="89">
        <f t="shared" si="48"/>
        <v>0</v>
      </c>
      <c r="J197" s="90">
        <f t="shared" si="49"/>
        <v>8</v>
      </c>
      <c r="K197" s="91">
        <f t="shared" si="50"/>
        <v>0</v>
      </c>
      <c r="L197" s="76">
        <f t="shared" si="51"/>
        <v>8</v>
      </c>
      <c r="N197" s="79">
        <f t="shared" si="53"/>
        <v>0</v>
      </c>
      <c r="O197" s="80">
        <f t="shared" si="54"/>
        <v>42</v>
      </c>
      <c r="P197" s="81">
        <f t="shared" si="55"/>
        <v>0</v>
      </c>
      <c r="Q197" s="79">
        <f t="shared" si="56"/>
        <v>0</v>
      </c>
      <c r="R197" s="80">
        <f t="shared" si="57"/>
        <v>48</v>
      </c>
      <c r="S197" s="81">
        <f t="shared" si="58"/>
        <v>0</v>
      </c>
      <c r="T197" s="92">
        <f t="shared" si="59"/>
        <v>90</v>
      </c>
      <c r="U197" s="93">
        <f t="shared" si="52"/>
        <v>72</v>
      </c>
    </row>
    <row r="198" spans="1:21" x14ac:dyDescent="0.25">
      <c r="A198" s="71">
        <f t="shared" ref="A198:A261" si="62">YEAR(D198)</f>
        <v>2023</v>
      </c>
      <c r="B198" s="72" t="str">
        <f t="shared" si="60"/>
        <v>ABRIL</v>
      </c>
      <c r="C198" s="73" t="str">
        <f t="shared" si="61"/>
        <v>DOMINGO</v>
      </c>
      <c r="D198" s="74">
        <v>45046</v>
      </c>
      <c r="E198" s="89">
        <f t="shared" ref="E198:E261" si="63">IF(WEEKDAY($D198)&lt;2,0,IF(WEEKDAY($D198)&gt;6,0,7))</f>
        <v>0</v>
      </c>
      <c r="F198" s="90">
        <f t="shared" ref="F198:F261" si="64">IF(WEEKDAY($D198)&lt;2,0,IF(WEEKDAY($D198)&gt;7,0,7))</f>
        <v>0</v>
      </c>
      <c r="G198" s="91"/>
      <c r="H198" s="76">
        <f t="shared" ref="H198:H261" si="65">SUM(E198:G198)</f>
        <v>0</v>
      </c>
      <c r="I198" s="89">
        <f t="shared" si="48"/>
        <v>0</v>
      </c>
      <c r="J198" s="90">
        <f t="shared" si="49"/>
        <v>0</v>
      </c>
      <c r="K198" s="91">
        <f t="shared" si="50"/>
        <v>0</v>
      </c>
      <c r="L198" s="76">
        <f t="shared" si="51"/>
        <v>0</v>
      </c>
      <c r="N198" s="79">
        <f t="shared" si="53"/>
        <v>0</v>
      </c>
      <c r="O198" s="80">
        <f t="shared" si="54"/>
        <v>0</v>
      </c>
      <c r="P198" s="81">
        <f t="shared" si="55"/>
        <v>0</v>
      </c>
      <c r="Q198" s="79">
        <f t="shared" si="56"/>
        <v>0</v>
      </c>
      <c r="R198" s="80">
        <f t="shared" si="57"/>
        <v>0</v>
      </c>
      <c r="S198" s="81">
        <f t="shared" si="58"/>
        <v>0</v>
      </c>
      <c r="T198" s="92">
        <f t="shared" si="59"/>
        <v>0</v>
      </c>
      <c r="U198" s="93">
        <f t="shared" si="52"/>
        <v>0</v>
      </c>
    </row>
    <row r="199" spans="1:21" x14ac:dyDescent="0.25">
      <c r="A199" s="71">
        <f t="shared" si="62"/>
        <v>2023</v>
      </c>
      <c r="B199" s="72" t="str">
        <f t="shared" si="60"/>
        <v>MAIO</v>
      </c>
      <c r="C199" s="73" t="str">
        <f t="shared" si="61"/>
        <v>SEGUNDA</v>
      </c>
      <c r="D199" s="74">
        <v>45047</v>
      </c>
      <c r="E199" s="89">
        <f t="shared" si="63"/>
        <v>7</v>
      </c>
      <c r="F199" s="90">
        <f t="shared" si="64"/>
        <v>7</v>
      </c>
      <c r="G199" s="91"/>
      <c r="H199" s="76">
        <f t="shared" si="65"/>
        <v>14</v>
      </c>
      <c r="I199" s="89">
        <f t="shared" ref="I199:I262" si="66">IF(WEEKDAY($D199)&lt;2,0,IF(WEEKDAY($D199)&gt;6,0,8))</f>
        <v>8</v>
      </c>
      <c r="J199" s="90">
        <f t="shared" ref="J199:J262" si="67">IF(WEEKDAY($D199)&lt;2,0,IF(WEEKDAY($D199)&gt;7,0,8))</f>
        <v>8</v>
      </c>
      <c r="K199" s="91">
        <f t="shared" ref="K199:K262" si="68">IF(WEEKDAY($D199)&lt;2,0,IF(WEEKDAY($D199)&gt;6,0,8))</f>
        <v>8</v>
      </c>
      <c r="L199" s="76">
        <f t="shared" ref="L199:L262" si="69">SUM(I199:K199)</f>
        <v>24</v>
      </c>
      <c r="N199" s="79">
        <f t="shared" si="53"/>
        <v>52.36</v>
      </c>
      <c r="O199" s="80">
        <f t="shared" si="54"/>
        <v>42</v>
      </c>
      <c r="P199" s="81">
        <f t="shared" si="55"/>
        <v>0</v>
      </c>
      <c r="Q199" s="79">
        <f t="shared" si="56"/>
        <v>59.84</v>
      </c>
      <c r="R199" s="80">
        <f t="shared" si="57"/>
        <v>48</v>
      </c>
      <c r="S199" s="81">
        <f t="shared" si="58"/>
        <v>68</v>
      </c>
      <c r="T199" s="92">
        <f t="shared" si="59"/>
        <v>270.2</v>
      </c>
      <c r="U199" s="93">
        <f t="shared" ref="U199:U262" si="70">T199*0.8</f>
        <v>216.16</v>
      </c>
    </row>
    <row r="200" spans="1:21" x14ac:dyDescent="0.25">
      <c r="A200" s="71">
        <f t="shared" si="62"/>
        <v>2023</v>
      </c>
      <c r="B200" s="72" t="str">
        <f t="shared" si="60"/>
        <v>MAIO</v>
      </c>
      <c r="C200" s="73" t="str">
        <f t="shared" si="61"/>
        <v>TERÇA</v>
      </c>
      <c r="D200" s="74">
        <v>45048</v>
      </c>
      <c r="E200" s="89">
        <f t="shared" si="63"/>
        <v>7</v>
      </c>
      <c r="F200" s="90">
        <f t="shared" si="64"/>
        <v>7</v>
      </c>
      <c r="G200" s="91"/>
      <c r="H200" s="76">
        <f t="shared" si="65"/>
        <v>14</v>
      </c>
      <c r="I200" s="89">
        <f t="shared" si="66"/>
        <v>8</v>
      </c>
      <c r="J200" s="90">
        <f t="shared" si="67"/>
        <v>8</v>
      </c>
      <c r="K200" s="91">
        <f t="shared" si="68"/>
        <v>8</v>
      </c>
      <c r="L200" s="76">
        <f t="shared" si="69"/>
        <v>24</v>
      </c>
      <c r="N200" s="79">
        <f t="shared" si="53"/>
        <v>52.36</v>
      </c>
      <c r="O200" s="80">
        <f t="shared" si="54"/>
        <v>42</v>
      </c>
      <c r="P200" s="81">
        <f t="shared" si="55"/>
        <v>0</v>
      </c>
      <c r="Q200" s="79">
        <f t="shared" si="56"/>
        <v>59.84</v>
      </c>
      <c r="R200" s="80">
        <f t="shared" si="57"/>
        <v>48</v>
      </c>
      <c r="S200" s="81">
        <f t="shared" si="58"/>
        <v>68</v>
      </c>
      <c r="T200" s="92">
        <f t="shared" si="59"/>
        <v>270.2</v>
      </c>
      <c r="U200" s="93">
        <f t="shared" si="70"/>
        <v>216.16</v>
      </c>
    </row>
    <row r="201" spans="1:21" x14ac:dyDescent="0.25">
      <c r="A201" s="71">
        <f t="shared" si="62"/>
        <v>2023</v>
      </c>
      <c r="B201" s="72" t="str">
        <f t="shared" si="60"/>
        <v>MAIO</v>
      </c>
      <c r="C201" s="73" t="str">
        <f t="shared" si="61"/>
        <v>QUARTA</v>
      </c>
      <c r="D201" s="74">
        <v>45049</v>
      </c>
      <c r="E201" s="89">
        <f t="shared" si="63"/>
        <v>7</v>
      </c>
      <c r="F201" s="90">
        <f t="shared" si="64"/>
        <v>7</v>
      </c>
      <c r="G201" s="91"/>
      <c r="H201" s="76">
        <f t="shared" si="65"/>
        <v>14</v>
      </c>
      <c r="I201" s="89">
        <f t="shared" si="66"/>
        <v>8</v>
      </c>
      <c r="J201" s="90">
        <f t="shared" si="67"/>
        <v>8</v>
      </c>
      <c r="K201" s="91">
        <f t="shared" si="68"/>
        <v>8</v>
      </c>
      <c r="L201" s="76">
        <f t="shared" si="69"/>
        <v>24</v>
      </c>
      <c r="N201" s="79">
        <f t="shared" si="53"/>
        <v>52.36</v>
      </c>
      <c r="O201" s="80">
        <f t="shared" si="54"/>
        <v>42</v>
      </c>
      <c r="P201" s="81">
        <f t="shared" si="55"/>
        <v>0</v>
      </c>
      <c r="Q201" s="79">
        <f t="shared" si="56"/>
        <v>59.84</v>
      </c>
      <c r="R201" s="80">
        <f t="shared" si="57"/>
        <v>48</v>
      </c>
      <c r="S201" s="81">
        <f t="shared" si="58"/>
        <v>68</v>
      </c>
      <c r="T201" s="92">
        <f t="shared" si="59"/>
        <v>270.2</v>
      </c>
      <c r="U201" s="93">
        <f t="shared" si="70"/>
        <v>216.16</v>
      </c>
    </row>
    <row r="202" spans="1:21" x14ac:dyDescent="0.25">
      <c r="A202" s="71">
        <f t="shared" si="62"/>
        <v>2023</v>
      </c>
      <c r="B202" s="72" t="str">
        <f t="shared" si="60"/>
        <v>MAIO</v>
      </c>
      <c r="C202" s="73" t="str">
        <f t="shared" si="61"/>
        <v>QUINTA</v>
      </c>
      <c r="D202" s="74">
        <v>45050</v>
      </c>
      <c r="E202" s="89">
        <f t="shared" si="63"/>
        <v>7</v>
      </c>
      <c r="F202" s="90">
        <f t="shared" si="64"/>
        <v>7</v>
      </c>
      <c r="G202" s="91"/>
      <c r="H202" s="76">
        <f t="shared" si="65"/>
        <v>14</v>
      </c>
      <c r="I202" s="89">
        <f t="shared" si="66"/>
        <v>8</v>
      </c>
      <c r="J202" s="90">
        <f t="shared" si="67"/>
        <v>8</v>
      </c>
      <c r="K202" s="91">
        <f t="shared" si="68"/>
        <v>8</v>
      </c>
      <c r="L202" s="76">
        <f t="shared" si="69"/>
        <v>24</v>
      </c>
      <c r="N202" s="79">
        <f t="shared" si="53"/>
        <v>52.36</v>
      </c>
      <c r="O202" s="80">
        <f t="shared" si="54"/>
        <v>42</v>
      </c>
      <c r="P202" s="81">
        <f t="shared" si="55"/>
        <v>0</v>
      </c>
      <c r="Q202" s="79">
        <f t="shared" si="56"/>
        <v>59.84</v>
      </c>
      <c r="R202" s="80">
        <f t="shared" si="57"/>
        <v>48</v>
      </c>
      <c r="S202" s="81">
        <f t="shared" si="58"/>
        <v>68</v>
      </c>
      <c r="T202" s="92">
        <f t="shared" si="59"/>
        <v>270.2</v>
      </c>
      <c r="U202" s="93">
        <f t="shared" si="70"/>
        <v>216.16</v>
      </c>
    </row>
    <row r="203" spans="1:21" x14ac:dyDescent="0.25">
      <c r="A203" s="71">
        <f t="shared" si="62"/>
        <v>2023</v>
      </c>
      <c r="B203" s="72" t="str">
        <f t="shared" si="60"/>
        <v>MAIO</v>
      </c>
      <c r="C203" s="73" t="str">
        <f t="shared" si="61"/>
        <v>SEXTA</v>
      </c>
      <c r="D203" s="74">
        <v>45051</v>
      </c>
      <c r="E203" s="89">
        <f t="shared" si="63"/>
        <v>7</v>
      </c>
      <c r="F203" s="90">
        <f t="shared" si="64"/>
        <v>7</v>
      </c>
      <c r="G203" s="91"/>
      <c r="H203" s="76">
        <f t="shared" si="65"/>
        <v>14</v>
      </c>
      <c r="I203" s="89">
        <f t="shared" si="66"/>
        <v>8</v>
      </c>
      <c r="J203" s="90">
        <f t="shared" si="67"/>
        <v>8</v>
      </c>
      <c r="K203" s="91">
        <f t="shared" si="68"/>
        <v>8</v>
      </c>
      <c r="L203" s="76">
        <f t="shared" si="69"/>
        <v>24</v>
      </c>
      <c r="N203" s="79">
        <f t="shared" si="53"/>
        <v>52.36</v>
      </c>
      <c r="O203" s="80">
        <f t="shared" si="54"/>
        <v>42</v>
      </c>
      <c r="P203" s="81">
        <f t="shared" si="55"/>
        <v>0</v>
      </c>
      <c r="Q203" s="79">
        <f t="shared" si="56"/>
        <v>59.84</v>
      </c>
      <c r="R203" s="80">
        <f t="shared" si="57"/>
        <v>48</v>
      </c>
      <c r="S203" s="81">
        <f t="shared" si="58"/>
        <v>68</v>
      </c>
      <c r="T203" s="92">
        <f t="shared" si="59"/>
        <v>270.2</v>
      </c>
      <c r="U203" s="93">
        <f t="shared" si="70"/>
        <v>216.16</v>
      </c>
    </row>
    <row r="204" spans="1:21" x14ac:dyDescent="0.25">
      <c r="A204" s="71">
        <f t="shared" si="62"/>
        <v>2023</v>
      </c>
      <c r="B204" s="72" t="str">
        <f t="shared" si="60"/>
        <v>MAIO</v>
      </c>
      <c r="C204" s="73" t="str">
        <f t="shared" si="61"/>
        <v>SÁBADO</v>
      </c>
      <c r="D204" s="74">
        <v>45052</v>
      </c>
      <c r="E204" s="89">
        <f t="shared" si="63"/>
        <v>0</v>
      </c>
      <c r="F204" s="90">
        <f t="shared" si="64"/>
        <v>7</v>
      </c>
      <c r="G204" s="91"/>
      <c r="H204" s="76">
        <f t="shared" si="65"/>
        <v>7</v>
      </c>
      <c r="I204" s="89">
        <f t="shared" si="66"/>
        <v>0</v>
      </c>
      <c r="J204" s="90">
        <f t="shared" si="67"/>
        <v>8</v>
      </c>
      <c r="K204" s="91">
        <f t="shared" si="68"/>
        <v>0</v>
      </c>
      <c r="L204" s="76">
        <f t="shared" si="69"/>
        <v>8</v>
      </c>
      <c r="N204" s="79">
        <f t="shared" si="53"/>
        <v>0</v>
      </c>
      <c r="O204" s="80">
        <f t="shared" si="54"/>
        <v>42</v>
      </c>
      <c r="P204" s="81">
        <f t="shared" si="55"/>
        <v>0</v>
      </c>
      <c r="Q204" s="79">
        <f t="shared" si="56"/>
        <v>0</v>
      </c>
      <c r="R204" s="80">
        <f t="shared" si="57"/>
        <v>48</v>
      </c>
      <c r="S204" s="81">
        <f t="shared" si="58"/>
        <v>0</v>
      </c>
      <c r="T204" s="92">
        <f t="shared" si="59"/>
        <v>90</v>
      </c>
      <c r="U204" s="93">
        <f t="shared" si="70"/>
        <v>72</v>
      </c>
    </row>
    <row r="205" spans="1:21" x14ac:dyDescent="0.25">
      <c r="A205" s="71">
        <f t="shared" si="62"/>
        <v>2023</v>
      </c>
      <c r="B205" s="72" t="str">
        <f t="shared" si="60"/>
        <v>MAIO</v>
      </c>
      <c r="C205" s="73" t="str">
        <f t="shared" si="61"/>
        <v>DOMINGO</v>
      </c>
      <c r="D205" s="74">
        <v>45053</v>
      </c>
      <c r="E205" s="89">
        <f t="shared" si="63"/>
        <v>0</v>
      </c>
      <c r="F205" s="90">
        <f t="shared" si="64"/>
        <v>0</v>
      </c>
      <c r="G205" s="91"/>
      <c r="H205" s="76">
        <f t="shared" si="65"/>
        <v>0</v>
      </c>
      <c r="I205" s="89">
        <f t="shared" si="66"/>
        <v>0</v>
      </c>
      <c r="J205" s="90">
        <f t="shared" si="67"/>
        <v>0</v>
      </c>
      <c r="K205" s="91">
        <f t="shared" si="68"/>
        <v>0</v>
      </c>
      <c r="L205" s="76">
        <f t="shared" si="69"/>
        <v>0</v>
      </c>
      <c r="N205" s="79">
        <f t="shared" si="53"/>
        <v>0</v>
      </c>
      <c r="O205" s="80">
        <f t="shared" si="54"/>
        <v>0</v>
      </c>
      <c r="P205" s="81">
        <f t="shared" si="55"/>
        <v>0</v>
      </c>
      <c r="Q205" s="79">
        <f t="shared" si="56"/>
        <v>0</v>
      </c>
      <c r="R205" s="80">
        <f t="shared" si="57"/>
        <v>0</v>
      </c>
      <c r="S205" s="81">
        <f t="shared" si="58"/>
        <v>0</v>
      </c>
      <c r="T205" s="92">
        <f t="shared" si="59"/>
        <v>0</v>
      </c>
      <c r="U205" s="93">
        <f t="shared" si="70"/>
        <v>0</v>
      </c>
    </row>
    <row r="206" spans="1:21" x14ac:dyDescent="0.25">
      <c r="A206" s="71">
        <f t="shared" si="62"/>
        <v>2023</v>
      </c>
      <c r="B206" s="72" t="str">
        <f t="shared" si="60"/>
        <v>MAIO</v>
      </c>
      <c r="C206" s="73" t="str">
        <f t="shared" si="61"/>
        <v>SEGUNDA</v>
      </c>
      <c r="D206" s="74">
        <v>45054</v>
      </c>
      <c r="E206" s="89">
        <f t="shared" si="63"/>
        <v>7</v>
      </c>
      <c r="F206" s="90">
        <f t="shared" si="64"/>
        <v>7</v>
      </c>
      <c r="G206" s="91"/>
      <c r="H206" s="76">
        <f t="shared" si="65"/>
        <v>14</v>
      </c>
      <c r="I206" s="89">
        <f t="shared" si="66"/>
        <v>8</v>
      </c>
      <c r="J206" s="90">
        <f t="shared" si="67"/>
        <v>8</v>
      </c>
      <c r="K206" s="91">
        <f t="shared" si="68"/>
        <v>8</v>
      </c>
      <c r="L206" s="76">
        <f t="shared" si="69"/>
        <v>24</v>
      </c>
      <c r="N206" s="79">
        <f t="shared" si="53"/>
        <v>52.36</v>
      </c>
      <c r="O206" s="80">
        <f t="shared" si="54"/>
        <v>42</v>
      </c>
      <c r="P206" s="81">
        <f t="shared" si="55"/>
        <v>0</v>
      </c>
      <c r="Q206" s="79">
        <f t="shared" si="56"/>
        <v>59.84</v>
      </c>
      <c r="R206" s="80">
        <f t="shared" si="57"/>
        <v>48</v>
      </c>
      <c r="S206" s="81">
        <f t="shared" si="58"/>
        <v>68</v>
      </c>
      <c r="T206" s="92">
        <f t="shared" si="59"/>
        <v>270.2</v>
      </c>
      <c r="U206" s="93">
        <f t="shared" si="70"/>
        <v>216.16</v>
      </c>
    </row>
    <row r="207" spans="1:21" x14ac:dyDescent="0.25">
      <c r="A207" s="71">
        <f t="shared" si="62"/>
        <v>2023</v>
      </c>
      <c r="B207" s="72" t="str">
        <f t="shared" si="60"/>
        <v>MAIO</v>
      </c>
      <c r="C207" s="73" t="str">
        <f t="shared" si="61"/>
        <v>TERÇA</v>
      </c>
      <c r="D207" s="74">
        <v>45055</v>
      </c>
      <c r="E207" s="89">
        <f t="shared" si="63"/>
        <v>7</v>
      </c>
      <c r="F207" s="90">
        <f t="shared" si="64"/>
        <v>7</v>
      </c>
      <c r="G207" s="91"/>
      <c r="H207" s="76">
        <f t="shared" si="65"/>
        <v>14</v>
      </c>
      <c r="I207" s="89">
        <f t="shared" si="66"/>
        <v>8</v>
      </c>
      <c r="J207" s="90">
        <f t="shared" si="67"/>
        <v>8</v>
      </c>
      <c r="K207" s="91">
        <f t="shared" si="68"/>
        <v>8</v>
      </c>
      <c r="L207" s="76">
        <f t="shared" si="69"/>
        <v>24</v>
      </c>
      <c r="N207" s="79">
        <f t="shared" si="53"/>
        <v>52.36</v>
      </c>
      <c r="O207" s="80">
        <f t="shared" si="54"/>
        <v>42</v>
      </c>
      <c r="P207" s="81">
        <f t="shared" si="55"/>
        <v>0</v>
      </c>
      <c r="Q207" s="79">
        <f t="shared" si="56"/>
        <v>59.84</v>
      </c>
      <c r="R207" s="80">
        <f t="shared" si="57"/>
        <v>48</v>
      </c>
      <c r="S207" s="81">
        <f t="shared" si="58"/>
        <v>68</v>
      </c>
      <c r="T207" s="92">
        <f t="shared" si="59"/>
        <v>270.2</v>
      </c>
      <c r="U207" s="93">
        <f t="shared" si="70"/>
        <v>216.16</v>
      </c>
    </row>
    <row r="208" spans="1:21" x14ac:dyDescent="0.25">
      <c r="A208" s="71">
        <f t="shared" si="62"/>
        <v>2023</v>
      </c>
      <c r="B208" s="72" t="str">
        <f t="shared" si="60"/>
        <v>MAIO</v>
      </c>
      <c r="C208" s="73" t="str">
        <f t="shared" si="61"/>
        <v>QUARTA</v>
      </c>
      <c r="D208" s="74">
        <v>45056</v>
      </c>
      <c r="E208" s="89">
        <f t="shared" si="63"/>
        <v>7</v>
      </c>
      <c r="F208" s="90">
        <f t="shared" si="64"/>
        <v>7</v>
      </c>
      <c r="G208" s="91"/>
      <c r="H208" s="76">
        <f t="shared" si="65"/>
        <v>14</v>
      </c>
      <c r="I208" s="89">
        <f t="shared" si="66"/>
        <v>8</v>
      </c>
      <c r="J208" s="90">
        <f t="shared" si="67"/>
        <v>8</v>
      </c>
      <c r="K208" s="91">
        <f t="shared" si="68"/>
        <v>8</v>
      </c>
      <c r="L208" s="76">
        <f t="shared" si="69"/>
        <v>24</v>
      </c>
      <c r="N208" s="79">
        <f t="shared" si="53"/>
        <v>52.36</v>
      </c>
      <c r="O208" s="80">
        <f t="shared" si="54"/>
        <v>42</v>
      </c>
      <c r="P208" s="81">
        <f t="shared" si="55"/>
        <v>0</v>
      </c>
      <c r="Q208" s="79">
        <f t="shared" si="56"/>
        <v>59.84</v>
      </c>
      <c r="R208" s="80">
        <f t="shared" si="57"/>
        <v>48</v>
      </c>
      <c r="S208" s="81">
        <f t="shared" si="58"/>
        <v>68</v>
      </c>
      <c r="T208" s="92">
        <f t="shared" si="59"/>
        <v>270.2</v>
      </c>
      <c r="U208" s="93">
        <f t="shared" si="70"/>
        <v>216.16</v>
      </c>
    </row>
    <row r="209" spans="1:21" x14ac:dyDescent="0.25">
      <c r="A209" s="71">
        <f t="shared" si="62"/>
        <v>2023</v>
      </c>
      <c r="B209" s="72" t="str">
        <f t="shared" si="60"/>
        <v>MAIO</v>
      </c>
      <c r="C209" s="73" t="str">
        <f t="shared" si="61"/>
        <v>QUINTA</v>
      </c>
      <c r="D209" s="74">
        <v>45057</v>
      </c>
      <c r="E209" s="89">
        <f t="shared" si="63"/>
        <v>7</v>
      </c>
      <c r="F209" s="90">
        <f t="shared" si="64"/>
        <v>7</v>
      </c>
      <c r="G209" s="91"/>
      <c r="H209" s="76">
        <f t="shared" si="65"/>
        <v>14</v>
      </c>
      <c r="I209" s="89">
        <f t="shared" si="66"/>
        <v>8</v>
      </c>
      <c r="J209" s="90">
        <f t="shared" si="67"/>
        <v>8</v>
      </c>
      <c r="K209" s="91">
        <f t="shared" si="68"/>
        <v>8</v>
      </c>
      <c r="L209" s="76">
        <f t="shared" si="69"/>
        <v>24</v>
      </c>
      <c r="N209" s="79">
        <f t="shared" si="53"/>
        <v>52.36</v>
      </c>
      <c r="O209" s="80">
        <f t="shared" si="54"/>
        <v>42</v>
      </c>
      <c r="P209" s="81">
        <f t="shared" si="55"/>
        <v>0</v>
      </c>
      <c r="Q209" s="79">
        <f t="shared" si="56"/>
        <v>59.84</v>
      </c>
      <c r="R209" s="80">
        <f t="shared" si="57"/>
        <v>48</v>
      </c>
      <c r="S209" s="81">
        <f t="shared" si="58"/>
        <v>68</v>
      </c>
      <c r="T209" s="92">
        <f t="shared" si="59"/>
        <v>270.2</v>
      </c>
      <c r="U209" s="93">
        <f t="shared" si="70"/>
        <v>216.16</v>
      </c>
    </row>
    <row r="210" spans="1:21" x14ac:dyDescent="0.25">
      <c r="A210" s="71">
        <f t="shared" si="62"/>
        <v>2023</v>
      </c>
      <c r="B210" s="72" t="str">
        <f t="shared" si="60"/>
        <v>MAIO</v>
      </c>
      <c r="C210" s="73" t="str">
        <f t="shared" si="61"/>
        <v>SEXTA</v>
      </c>
      <c r="D210" s="74">
        <v>45058</v>
      </c>
      <c r="E210" s="89">
        <f t="shared" si="63"/>
        <v>7</v>
      </c>
      <c r="F210" s="90">
        <f t="shared" si="64"/>
        <v>7</v>
      </c>
      <c r="G210" s="91"/>
      <c r="H210" s="76">
        <f t="shared" si="65"/>
        <v>14</v>
      </c>
      <c r="I210" s="89">
        <f t="shared" si="66"/>
        <v>8</v>
      </c>
      <c r="J210" s="90">
        <f t="shared" si="67"/>
        <v>8</v>
      </c>
      <c r="K210" s="91">
        <f t="shared" si="68"/>
        <v>8</v>
      </c>
      <c r="L210" s="76">
        <f t="shared" si="69"/>
        <v>24</v>
      </c>
      <c r="N210" s="79">
        <f t="shared" si="53"/>
        <v>52.36</v>
      </c>
      <c r="O210" s="80">
        <f t="shared" si="54"/>
        <v>42</v>
      </c>
      <c r="P210" s="81">
        <f t="shared" si="55"/>
        <v>0</v>
      </c>
      <c r="Q210" s="79">
        <f t="shared" si="56"/>
        <v>59.84</v>
      </c>
      <c r="R210" s="80">
        <f t="shared" si="57"/>
        <v>48</v>
      </c>
      <c r="S210" s="81">
        <f t="shared" si="58"/>
        <v>68</v>
      </c>
      <c r="T210" s="92">
        <f t="shared" si="59"/>
        <v>270.2</v>
      </c>
      <c r="U210" s="93">
        <f t="shared" si="70"/>
        <v>216.16</v>
      </c>
    </row>
    <row r="211" spans="1:21" x14ac:dyDescent="0.25">
      <c r="A211" s="71">
        <f t="shared" si="62"/>
        <v>2023</v>
      </c>
      <c r="B211" s="72" t="str">
        <f t="shared" si="60"/>
        <v>MAIO</v>
      </c>
      <c r="C211" s="73" t="str">
        <f t="shared" si="61"/>
        <v>SÁBADO</v>
      </c>
      <c r="D211" s="74">
        <v>45059</v>
      </c>
      <c r="E211" s="89">
        <f t="shared" si="63"/>
        <v>0</v>
      </c>
      <c r="F211" s="90">
        <f t="shared" si="64"/>
        <v>7</v>
      </c>
      <c r="G211" s="91"/>
      <c r="H211" s="76">
        <f t="shared" si="65"/>
        <v>7</v>
      </c>
      <c r="I211" s="89">
        <f t="shared" si="66"/>
        <v>0</v>
      </c>
      <c r="J211" s="90">
        <f t="shared" si="67"/>
        <v>8</v>
      </c>
      <c r="K211" s="91">
        <f t="shared" si="68"/>
        <v>0</v>
      </c>
      <c r="L211" s="76">
        <f t="shared" si="69"/>
        <v>8</v>
      </c>
      <c r="N211" s="79">
        <f t="shared" si="53"/>
        <v>0</v>
      </c>
      <c r="O211" s="80">
        <f t="shared" si="54"/>
        <v>42</v>
      </c>
      <c r="P211" s="81">
        <f t="shared" si="55"/>
        <v>0</v>
      </c>
      <c r="Q211" s="79">
        <f t="shared" si="56"/>
        <v>0</v>
      </c>
      <c r="R211" s="80">
        <f t="shared" si="57"/>
        <v>48</v>
      </c>
      <c r="S211" s="81">
        <f t="shared" si="58"/>
        <v>0</v>
      </c>
      <c r="T211" s="92">
        <f t="shared" si="59"/>
        <v>90</v>
      </c>
      <c r="U211" s="93">
        <f t="shared" si="70"/>
        <v>72</v>
      </c>
    </row>
    <row r="212" spans="1:21" x14ac:dyDescent="0.25">
      <c r="A212" s="71">
        <f t="shared" si="62"/>
        <v>2023</v>
      </c>
      <c r="B212" s="72" t="str">
        <f t="shared" si="60"/>
        <v>MAIO</v>
      </c>
      <c r="C212" s="73" t="str">
        <f t="shared" si="61"/>
        <v>DOMINGO</v>
      </c>
      <c r="D212" s="74">
        <v>45060</v>
      </c>
      <c r="E212" s="89">
        <f t="shared" si="63"/>
        <v>0</v>
      </c>
      <c r="F212" s="90">
        <f t="shared" si="64"/>
        <v>0</v>
      </c>
      <c r="G212" s="91"/>
      <c r="H212" s="76">
        <f t="shared" si="65"/>
        <v>0</v>
      </c>
      <c r="I212" s="89">
        <f t="shared" si="66"/>
        <v>0</v>
      </c>
      <c r="J212" s="90">
        <f t="shared" si="67"/>
        <v>0</v>
      </c>
      <c r="K212" s="91">
        <f t="shared" si="68"/>
        <v>0</v>
      </c>
      <c r="L212" s="76">
        <f t="shared" si="69"/>
        <v>0</v>
      </c>
      <c r="N212" s="79">
        <f t="shared" si="53"/>
        <v>0</v>
      </c>
      <c r="O212" s="80">
        <f t="shared" si="54"/>
        <v>0</v>
      </c>
      <c r="P212" s="81">
        <f t="shared" si="55"/>
        <v>0</v>
      </c>
      <c r="Q212" s="79">
        <f t="shared" si="56"/>
        <v>0</v>
      </c>
      <c r="R212" s="80">
        <f t="shared" si="57"/>
        <v>0</v>
      </c>
      <c r="S212" s="81">
        <f t="shared" si="58"/>
        <v>0</v>
      </c>
      <c r="T212" s="92">
        <f t="shared" si="59"/>
        <v>0</v>
      </c>
      <c r="U212" s="93">
        <f t="shared" si="70"/>
        <v>0</v>
      </c>
    </row>
    <row r="213" spans="1:21" x14ac:dyDescent="0.25">
      <c r="A213" s="71">
        <f t="shared" si="62"/>
        <v>2023</v>
      </c>
      <c r="B213" s="72" t="str">
        <f t="shared" si="60"/>
        <v>MAIO</v>
      </c>
      <c r="C213" s="73" t="str">
        <f t="shared" si="61"/>
        <v>SEGUNDA</v>
      </c>
      <c r="D213" s="74">
        <v>45061</v>
      </c>
      <c r="E213" s="89">
        <f t="shared" si="63"/>
        <v>7</v>
      </c>
      <c r="F213" s="90">
        <f t="shared" si="64"/>
        <v>7</v>
      </c>
      <c r="G213" s="91"/>
      <c r="H213" s="76">
        <f t="shared" si="65"/>
        <v>14</v>
      </c>
      <c r="I213" s="89">
        <f t="shared" si="66"/>
        <v>8</v>
      </c>
      <c r="J213" s="90">
        <f t="shared" si="67"/>
        <v>8</v>
      </c>
      <c r="K213" s="91">
        <f t="shared" si="68"/>
        <v>8</v>
      </c>
      <c r="L213" s="76">
        <f t="shared" si="69"/>
        <v>24</v>
      </c>
      <c r="N213" s="79">
        <f t="shared" si="53"/>
        <v>52.36</v>
      </c>
      <c r="O213" s="80">
        <f t="shared" si="54"/>
        <v>42</v>
      </c>
      <c r="P213" s="81">
        <f t="shared" si="55"/>
        <v>0</v>
      </c>
      <c r="Q213" s="79">
        <f t="shared" si="56"/>
        <v>59.84</v>
      </c>
      <c r="R213" s="80">
        <f t="shared" si="57"/>
        <v>48</v>
      </c>
      <c r="S213" s="81">
        <f t="shared" si="58"/>
        <v>68</v>
      </c>
      <c r="T213" s="92">
        <f t="shared" si="59"/>
        <v>270.2</v>
      </c>
      <c r="U213" s="93">
        <f t="shared" si="70"/>
        <v>216.16</v>
      </c>
    </row>
    <row r="214" spans="1:21" x14ac:dyDescent="0.25">
      <c r="A214" s="71">
        <f t="shared" si="62"/>
        <v>2023</v>
      </c>
      <c r="B214" s="72" t="str">
        <f t="shared" si="60"/>
        <v>MAIO</v>
      </c>
      <c r="C214" s="73" t="str">
        <f t="shared" si="61"/>
        <v>TERÇA</v>
      </c>
      <c r="D214" s="74">
        <v>45062</v>
      </c>
      <c r="E214" s="89">
        <f t="shared" si="63"/>
        <v>7</v>
      </c>
      <c r="F214" s="90">
        <f t="shared" si="64"/>
        <v>7</v>
      </c>
      <c r="G214" s="91"/>
      <c r="H214" s="76">
        <f t="shared" si="65"/>
        <v>14</v>
      </c>
      <c r="I214" s="89">
        <f t="shared" si="66"/>
        <v>8</v>
      </c>
      <c r="J214" s="90">
        <f t="shared" si="67"/>
        <v>8</v>
      </c>
      <c r="K214" s="91">
        <f t="shared" si="68"/>
        <v>8</v>
      </c>
      <c r="L214" s="76">
        <f t="shared" si="69"/>
        <v>24</v>
      </c>
      <c r="N214" s="79">
        <f t="shared" si="53"/>
        <v>52.36</v>
      </c>
      <c r="O214" s="80">
        <f t="shared" si="54"/>
        <v>42</v>
      </c>
      <c r="P214" s="81">
        <f t="shared" si="55"/>
        <v>0</v>
      </c>
      <c r="Q214" s="79">
        <f t="shared" si="56"/>
        <v>59.84</v>
      </c>
      <c r="R214" s="80">
        <f t="shared" si="57"/>
        <v>48</v>
      </c>
      <c r="S214" s="81">
        <f t="shared" si="58"/>
        <v>68</v>
      </c>
      <c r="T214" s="92">
        <f t="shared" si="59"/>
        <v>270.2</v>
      </c>
      <c r="U214" s="93">
        <f t="shared" si="70"/>
        <v>216.16</v>
      </c>
    </row>
    <row r="215" spans="1:21" x14ac:dyDescent="0.25">
      <c r="A215" s="71">
        <f t="shared" si="62"/>
        <v>2023</v>
      </c>
      <c r="B215" s="72" t="str">
        <f t="shared" si="60"/>
        <v>MAIO</v>
      </c>
      <c r="C215" s="73" t="str">
        <f t="shared" si="61"/>
        <v>QUARTA</v>
      </c>
      <c r="D215" s="74">
        <v>45063</v>
      </c>
      <c r="E215" s="89">
        <f t="shared" si="63"/>
        <v>7</v>
      </c>
      <c r="F215" s="90">
        <f t="shared" si="64"/>
        <v>7</v>
      </c>
      <c r="G215" s="91"/>
      <c r="H215" s="76">
        <f t="shared" si="65"/>
        <v>14</v>
      </c>
      <c r="I215" s="89">
        <f t="shared" si="66"/>
        <v>8</v>
      </c>
      <c r="J215" s="90">
        <f t="shared" si="67"/>
        <v>8</v>
      </c>
      <c r="K215" s="91">
        <f t="shared" si="68"/>
        <v>8</v>
      </c>
      <c r="L215" s="76">
        <f t="shared" si="69"/>
        <v>24</v>
      </c>
      <c r="N215" s="79">
        <f t="shared" si="53"/>
        <v>52.36</v>
      </c>
      <c r="O215" s="80">
        <f t="shared" si="54"/>
        <v>42</v>
      </c>
      <c r="P215" s="81">
        <f t="shared" si="55"/>
        <v>0</v>
      </c>
      <c r="Q215" s="79">
        <f t="shared" si="56"/>
        <v>59.84</v>
      </c>
      <c r="R215" s="80">
        <f t="shared" si="57"/>
        <v>48</v>
      </c>
      <c r="S215" s="81">
        <f t="shared" si="58"/>
        <v>68</v>
      </c>
      <c r="T215" s="92">
        <f t="shared" si="59"/>
        <v>270.2</v>
      </c>
      <c r="U215" s="93">
        <f t="shared" si="70"/>
        <v>216.16</v>
      </c>
    </row>
    <row r="216" spans="1:21" x14ac:dyDescent="0.25">
      <c r="A216" s="71">
        <f t="shared" si="62"/>
        <v>2023</v>
      </c>
      <c r="B216" s="72" t="str">
        <f t="shared" si="60"/>
        <v>MAIO</v>
      </c>
      <c r="C216" s="73" t="str">
        <f t="shared" si="61"/>
        <v>QUINTA</v>
      </c>
      <c r="D216" s="74">
        <v>45064</v>
      </c>
      <c r="E216" s="89">
        <f t="shared" si="63"/>
        <v>7</v>
      </c>
      <c r="F216" s="90">
        <f t="shared" si="64"/>
        <v>7</v>
      </c>
      <c r="G216" s="91"/>
      <c r="H216" s="76">
        <f t="shared" si="65"/>
        <v>14</v>
      </c>
      <c r="I216" s="89">
        <f t="shared" si="66"/>
        <v>8</v>
      </c>
      <c r="J216" s="90">
        <f t="shared" si="67"/>
        <v>8</v>
      </c>
      <c r="K216" s="91">
        <f t="shared" si="68"/>
        <v>8</v>
      </c>
      <c r="L216" s="76">
        <f t="shared" si="69"/>
        <v>24</v>
      </c>
      <c r="N216" s="79">
        <f t="shared" si="53"/>
        <v>52.36</v>
      </c>
      <c r="O216" s="80">
        <f t="shared" si="54"/>
        <v>42</v>
      </c>
      <c r="P216" s="81">
        <f t="shared" si="55"/>
        <v>0</v>
      </c>
      <c r="Q216" s="79">
        <f t="shared" si="56"/>
        <v>59.84</v>
      </c>
      <c r="R216" s="80">
        <f t="shared" si="57"/>
        <v>48</v>
      </c>
      <c r="S216" s="81">
        <f t="shared" si="58"/>
        <v>68</v>
      </c>
      <c r="T216" s="92">
        <f t="shared" si="59"/>
        <v>270.2</v>
      </c>
      <c r="U216" s="93">
        <f t="shared" si="70"/>
        <v>216.16</v>
      </c>
    </row>
    <row r="217" spans="1:21" x14ac:dyDescent="0.25">
      <c r="A217" s="71">
        <f t="shared" si="62"/>
        <v>2023</v>
      </c>
      <c r="B217" s="72" t="str">
        <f t="shared" si="60"/>
        <v>MAIO</v>
      </c>
      <c r="C217" s="73" t="str">
        <f t="shared" si="61"/>
        <v>SEXTA</v>
      </c>
      <c r="D217" s="74">
        <v>45065</v>
      </c>
      <c r="E217" s="89">
        <f t="shared" si="63"/>
        <v>7</v>
      </c>
      <c r="F217" s="90">
        <f t="shared" si="64"/>
        <v>7</v>
      </c>
      <c r="G217" s="91"/>
      <c r="H217" s="76">
        <f t="shared" si="65"/>
        <v>14</v>
      </c>
      <c r="I217" s="89">
        <f t="shared" si="66"/>
        <v>8</v>
      </c>
      <c r="J217" s="90">
        <f t="shared" si="67"/>
        <v>8</v>
      </c>
      <c r="K217" s="91">
        <f t="shared" si="68"/>
        <v>8</v>
      </c>
      <c r="L217" s="76">
        <f t="shared" si="69"/>
        <v>24</v>
      </c>
      <c r="N217" s="79">
        <f t="shared" si="53"/>
        <v>52.36</v>
      </c>
      <c r="O217" s="80">
        <f t="shared" si="54"/>
        <v>42</v>
      </c>
      <c r="P217" s="81">
        <f t="shared" si="55"/>
        <v>0</v>
      </c>
      <c r="Q217" s="79">
        <f t="shared" si="56"/>
        <v>59.84</v>
      </c>
      <c r="R217" s="80">
        <f t="shared" si="57"/>
        <v>48</v>
      </c>
      <c r="S217" s="81">
        <f t="shared" si="58"/>
        <v>68</v>
      </c>
      <c r="T217" s="92">
        <f t="shared" si="59"/>
        <v>270.2</v>
      </c>
      <c r="U217" s="93">
        <f t="shared" si="70"/>
        <v>216.16</v>
      </c>
    </row>
    <row r="218" spans="1:21" x14ac:dyDescent="0.25">
      <c r="A218" s="71">
        <f t="shared" si="62"/>
        <v>2023</v>
      </c>
      <c r="B218" s="72" t="str">
        <f t="shared" si="60"/>
        <v>MAIO</v>
      </c>
      <c r="C218" s="73" t="str">
        <f t="shared" si="61"/>
        <v>SÁBADO</v>
      </c>
      <c r="D218" s="74">
        <v>45066</v>
      </c>
      <c r="E218" s="89">
        <f t="shared" si="63"/>
        <v>0</v>
      </c>
      <c r="F218" s="90">
        <f t="shared" si="64"/>
        <v>7</v>
      </c>
      <c r="G218" s="91"/>
      <c r="H218" s="76">
        <f t="shared" si="65"/>
        <v>7</v>
      </c>
      <c r="I218" s="89">
        <f t="shared" si="66"/>
        <v>0</v>
      </c>
      <c r="J218" s="90">
        <f t="shared" si="67"/>
        <v>8</v>
      </c>
      <c r="K218" s="91">
        <f t="shared" si="68"/>
        <v>0</v>
      </c>
      <c r="L218" s="76">
        <f t="shared" si="69"/>
        <v>8</v>
      </c>
      <c r="N218" s="79">
        <f t="shared" si="53"/>
        <v>0</v>
      </c>
      <c r="O218" s="80">
        <f t="shared" si="54"/>
        <v>42</v>
      </c>
      <c r="P218" s="81">
        <f t="shared" si="55"/>
        <v>0</v>
      </c>
      <c r="Q218" s="79">
        <f t="shared" si="56"/>
        <v>0</v>
      </c>
      <c r="R218" s="80">
        <f t="shared" si="57"/>
        <v>48</v>
      </c>
      <c r="S218" s="81">
        <f t="shared" si="58"/>
        <v>0</v>
      </c>
      <c r="T218" s="92">
        <f t="shared" si="59"/>
        <v>90</v>
      </c>
      <c r="U218" s="93">
        <f t="shared" si="70"/>
        <v>72</v>
      </c>
    </row>
    <row r="219" spans="1:21" x14ac:dyDescent="0.25">
      <c r="A219" s="71">
        <f t="shared" si="62"/>
        <v>2023</v>
      </c>
      <c r="B219" s="72" t="str">
        <f t="shared" si="60"/>
        <v>MAIO</v>
      </c>
      <c r="C219" s="73" t="str">
        <f t="shared" si="61"/>
        <v>DOMINGO</v>
      </c>
      <c r="D219" s="74">
        <v>45067</v>
      </c>
      <c r="E219" s="89">
        <f t="shared" si="63"/>
        <v>0</v>
      </c>
      <c r="F219" s="90">
        <f t="shared" si="64"/>
        <v>0</v>
      </c>
      <c r="G219" s="91"/>
      <c r="H219" s="76">
        <f t="shared" si="65"/>
        <v>0</v>
      </c>
      <c r="I219" s="89">
        <f t="shared" si="66"/>
        <v>0</v>
      </c>
      <c r="J219" s="90">
        <f t="shared" si="67"/>
        <v>0</v>
      </c>
      <c r="K219" s="91">
        <f t="shared" si="68"/>
        <v>0</v>
      </c>
      <c r="L219" s="76">
        <f t="shared" si="69"/>
        <v>0</v>
      </c>
      <c r="N219" s="79">
        <f t="shared" si="53"/>
        <v>0</v>
      </c>
      <c r="O219" s="80">
        <f t="shared" si="54"/>
        <v>0</v>
      </c>
      <c r="P219" s="81">
        <f t="shared" si="55"/>
        <v>0</v>
      </c>
      <c r="Q219" s="79">
        <f t="shared" si="56"/>
        <v>0</v>
      </c>
      <c r="R219" s="80">
        <f t="shared" si="57"/>
        <v>0</v>
      </c>
      <c r="S219" s="81">
        <f t="shared" si="58"/>
        <v>0</v>
      </c>
      <c r="T219" s="92">
        <f t="shared" si="59"/>
        <v>0</v>
      </c>
      <c r="U219" s="93">
        <f t="shared" si="70"/>
        <v>0</v>
      </c>
    </row>
    <row r="220" spans="1:21" x14ac:dyDescent="0.25">
      <c r="A220" s="71">
        <f t="shared" si="62"/>
        <v>2023</v>
      </c>
      <c r="B220" s="72" t="str">
        <f t="shared" si="60"/>
        <v>MAIO</v>
      </c>
      <c r="C220" s="73" t="str">
        <f t="shared" si="61"/>
        <v>SEGUNDA</v>
      </c>
      <c r="D220" s="74">
        <v>45068</v>
      </c>
      <c r="E220" s="89">
        <f t="shared" si="63"/>
        <v>7</v>
      </c>
      <c r="F220" s="90">
        <f t="shared" si="64"/>
        <v>7</v>
      </c>
      <c r="G220" s="91"/>
      <c r="H220" s="76">
        <f t="shared" si="65"/>
        <v>14</v>
      </c>
      <c r="I220" s="89">
        <f t="shared" si="66"/>
        <v>8</v>
      </c>
      <c r="J220" s="90">
        <f t="shared" si="67"/>
        <v>8</v>
      </c>
      <c r="K220" s="91">
        <f t="shared" si="68"/>
        <v>8</v>
      </c>
      <c r="L220" s="76">
        <f t="shared" si="69"/>
        <v>24</v>
      </c>
      <c r="N220" s="79">
        <f t="shared" ref="N220:N283" si="71">E220*7.48</f>
        <v>52.36</v>
      </c>
      <c r="O220" s="80">
        <f t="shared" ref="O220:O283" si="72">F220*6</f>
        <v>42</v>
      </c>
      <c r="P220" s="81">
        <f t="shared" ref="P220:P283" si="73">G220*8.5</f>
        <v>0</v>
      </c>
      <c r="Q220" s="79">
        <f t="shared" ref="Q220:Q283" si="74">I220*7.48</f>
        <v>59.84</v>
      </c>
      <c r="R220" s="80">
        <f t="shared" ref="R220:R283" si="75">J220*6</f>
        <v>48</v>
      </c>
      <c r="S220" s="81">
        <f t="shared" ref="S220:S283" si="76">K220*8.5</f>
        <v>68</v>
      </c>
      <c r="T220" s="92">
        <f t="shared" ref="T220:T283" si="77">SUM(N220:S220)</f>
        <v>270.2</v>
      </c>
      <c r="U220" s="93">
        <f t="shared" si="70"/>
        <v>216.16</v>
      </c>
    </row>
    <row r="221" spans="1:21" x14ac:dyDescent="0.25">
      <c r="A221" s="71">
        <f t="shared" si="62"/>
        <v>2023</v>
      </c>
      <c r="B221" s="72" t="str">
        <f t="shared" si="60"/>
        <v>MAIO</v>
      </c>
      <c r="C221" s="73" t="str">
        <f t="shared" si="61"/>
        <v>TERÇA</v>
      </c>
      <c r="D221" s="74">
        <v>45069</v>
      </c>
      <c r="E221" s="89">
        <f t="shared" si="63"/>
        <v>7</v>
      </c>
      <c r="F221" s="90">
        <f t="shared" si="64"/>
        <v>7</v>
      </c>
      <c r="G221" s="91"/>
      <c r="H221" s="76">
        <f t="shared" si="65"/>
        <v>14</v>
      </c>
      <c r="I221" s="89">
        <f t="shared" si="66"/>
        <v>8</v>
      </c>
      <c r="J221" s="90">
        <f t="shared" si="67"/>
        <v>8</v>
      </c>
      <c r="K221" s="91">
        <f t="shared" si="68"/>
        <v>8</v>
      </c>
      <c r="L221" s="76">
        <f t="shared" si="69"/>
        <v>24</v>
      </c>
      <c r="N221" s="79">
        <f t="shared" si="71"/>
        <v>52.36</v>
      </c>
      <c r="O221" s="80">
        <f t="shared" si="72"/>
        <v>42</v>
      </c>
      <c r="P221" s="81">
        <f t="shared" si="73"/>
        <v>0</v>
      </c>
      <c r="Q221" s="79">
        <f t="shared" si="74"/>
        <v>59.84</v>
      </c>
      <c r="R221" s="80">
        <f t="shared" si="75"/>
        <v>48</v>
      </c>
      <c r="S221" s="81">
        <f t="shared" si="76"/>
        <v>68</v>
      </c>
      <c r="T221" s="92">
        <f t="shared" si="77"/>
        <v>270.2</v>
      </c>
      <c r="U221" s="93">
        <f t="shared" si="70"/>
        <v>216.16</v>
      </c>
    </row>
    <row r="222" spans="1:21" x14ac:dyDescent="0.25">
      <c r="A222" s="71">
        <f t="shared" si="62"/>
        <v>2023</v>
      </c>
      <c r="B222" s="72" t="str">
        <f t="shared" si="60"/>
        <v>MAIO</v>
      </c>
      <c r="C222" s="73" t="str">
        <f t="shared" si="61"/>
        <v>QUARTA</v>
      </c>
      <c r="D222" s="74">
        <v>45070</v>
      </c>
      <c r="E222" s="89">
        <f t="shared" si="63"/>
        <v>7</v>
      </c>
      <c r="F222" s="90">
        <f t="shared" si="64"/>
        <v>7</v>
      </c>
      <c r="G222" s="91"/>
      <c r="H222" s="76">
        <f t="shared" si="65"/>
        <v>14</v>
      </c>
      <c r="I222" s="89">
        <f t="shared" si="66"/>
        <v>8</v>
      </c>
      <c r="J222" s="90">
        <f t="shared" si="67"/>
        <v>8</v>
      </c>
      <c r="K222" s="91">
        <f t="shared" si="68"/>
        <v>8</v>
      </c>
      <c r="L222" s="76">
        <f t="shared" si="69"/>
        <v>24</v>
      </c>
      <c r="N222" s="79">
        <f t="shared" si="71"/>
        <v>52.36</v>
      </c>
      <c r="O222" s="80">
        <f t="shared" si="72"/>
        <v>42</v>
      </c>
      <c r="P222" s="81">
        <f t="shared" si="73"/>
        <v>0</v>
      </c>
      <c r="Q222" s="79">
        <f t="shared" si="74"/>
        <v>59.84</v>
      </c>
      <c r="R222" s="80">
        <f t="shared" si="75"/>
        <v>48</v>
      </c>
      <c r="S222" s="81">
        <f t="shared" si="76"/>
        <v>68</v>
      </c>
      <c r="T222" s="92">
        <f t="shared" si="77"/>
        <v>270.2</v>
      </c>
      <c r="U222" s="93">
        <f t="shared" si="70"/>
        <v>216.16</v>
      </c>
    </row>
    <row r="223" spans="1:21" x14ac:dyDescent="0.25">
      <c r="A223" s="71">
        <f t="shared" si="62"/>
        <v>2023</v>
      </c>
      <c r="B223" s="72" t="str">
        <f t="shared" si="60"/>
        <v>MAIO</v>
      </c>
      <c r="C223" s="73" t="str">
        <f t="shared" si="61"/>
        <v>QUINTA</v>
      </c>
      <c r="D223" s="74">
        <v>45071</v>
      </c>
      <c r="E223" s="89">
        <f t="shared" si="63"/>
        <v>7</v>
      </c>
      <c r="F223" s="90">
        <f t="shared" si="64"/>
        <v>7</v>
      </c>
      <c r="G223" s="91"/>
      <c r="H223" s="76">
        <f t="shared" si="65"/>
        <v>14</v>
      </c>
      <c r="I223" s="89">
        <f t="shared" si="66"/>
        <v>8</v>
      </c>
      <c r="J223" s="90">
        <f t="shared" si="67"/>
        <v>8</v>
      </c>
      <c r="K223" s="91">
        <f t="shared" si="68"/>
        <v>8</v>
      </c>
      <c r="L223" s="76">
        <f t="shared" si="69"/>
        <v>24</v>
      </c>
      <c r="N223" s="79">
        <f t="shared" si="71"/>
        <v>52.36</v>
      </c>
      <c r="O223" s="80">
        <f t="shared" si="72"/>
        <v>42</v>
      </c>
      <c r="P223" s="81">
        <f t="shared" si="73"/>
        <v>0</v>
      </c>
      <c r="Q223" s="79">
        <f t="shared" si="74"/>
        <v>59.84</v>
      </c>
      <c r="R223" s="80">
        <f t="shared" si="75"/>
        <v>48</v>
      </c>
      <c r="S223" s="81">
        <f t="shared" si="76"/>
        <v>68</v>
      </c>
      <c r="T223" s="92">
        <f t="shared" si="77"/>
        <v>270.2</v>
      </c>
      <c r="U223" s="93">
        <f t="shared" si="70"/>
        <v>216.16</v>
      </c>
    </row>
    <row r="224" spans="1:21" x14ac:dyDescent="0.25">
      <c r="A224" s="71">
        <f t="shared" si="62"/>
        <v>2023</v>
      </c>
      <c r="B224" s="72" t="str">
        <f t="shared" si="60"/>
        <v>MAIO</v>
      </c>
      <c r="C224" s="73" t="str">
        <f t="shared" si="61"/>
        <v>SEXTA</v>
      </c>
      <c r="D224" s="74">
        <v>45072</v>
      </c>
      <c r="E224" s="89">
        <f t="shared" si="63"/>
        <v>7</v>
      </c>
      <c r="F224" s="90">
        <f t="shared" si="64"/>
        <v>7</v>
      </c>
      <c r="G224" s="91"/>
      <c r="H224" s="76">
        <f t="shared" si="65"/>
        <v>14</v>
      </c>
      <c r="I224" s="89">
        <f t="shared" si="66"/>
        <v>8</v>
      </c>
      <c r="J224" s="90">
        <f t="shared" si="67"/>
        <v>8</v>
      </c>
      <c r="K224" s="91">
        <f t="shared" si="68"/>
        <v>8</v>
      </c>
      <c r="L224" s="76">
        <f t="shared" si="69"/>
        <v>24</v>
      </c>
      <c r="N224" s="79">
        <f t="shared" si="71"/>
        <v>52.36</v>
      </c>
      <c r="O224" s="80">
        <f t="shared" si="72"/>
        <v>42</v>
      </c>
      <c r="P224" s="81">
        <f t="shared" si="73"/>
        <v>0</v>
      </c>
      <c r="Q224" s="79">
        <f t="shared" si="74"/>
        <v>59.84</v>
      </c>
      <c r="R224" s="80">
        <f t="shared" si="75"/>
        <v>48</v>
      </c>
      <c r="S224" s="81">
        <f t="shared" si="76"/>
        <v>68</v>
      </c>
      <c r="T224" s="92">
        <f t="shared" si="77"/>
        <v>270.2</v>
      </c>
      <c r="U224" s="93">
        <f t="shared" si="70"/>
        <v>216.16</v>
      </c>
    </row>
    <row r="225" spans="1:21" x14ac:dyDescent="0.25">
      <c r="A225" s="71">
        <f t="shared" si="62"/>
        <v>2023</v>
      </c>
      <c r="B225" s="72" t="str">
        <f t="shared" si="60"/>
        <v>MAIO</v>
      </c>
      <c r="C225" s="73" t="str">
        <f t="shared" si="61"/>
        <v>SÁBADO</v>
      </c>
      <c r="D225" s="74">
        <v>45073</v>
      </c>
      <c r="E225" s="89">
        <f t="shared" si="63"/>
        <v>0</v>
      </c>
      <c r="F225" s="90">
        <f t="shared" si="64"/>
        <v>7</v>
      </c>
      <c r="G225" s="91"/>
      <c r="H225" s="76">
        <f t="shared" si="65"/>
        <v>7</v>
      </c>
      <c r="I225" s="89">
        <f t="shared" si="66"/>
        <v>0</v>
      </c>
      <c r="J225" s="90">
        <f t="shared" si="67"/>
        <v>8</v>
      </c>
      <c r="K225" s="91">
        <f t="shared" si="68"/>
        <v>0</v>
      </c>
      <c r="L225" s="76">
        <f t="shared" si="69"/>
        <v>8</v>
      </c>
      <c r="N225" s="79">
        <f t="shared" si="71"/>
        <v>0</v>
      </c>
      <c r="O225" s="80">
        <f t="shared" si="72"/>
        <v>42</v>
      </c>
      <c r="P225" s="81">
        <f t="shared" si="73"/>
        <v>0</v>
      </c>
      <c r="Q225" s="79">
        <f t="shared" si="74"/>
        <v>0</v>
      </c>
      <c r="R225" s="80">
        <f t="shared" si="75"/>
        <v>48</v>
      </c>
      <c r="S225" s="81">
        <f t="shared" si="76"/>
        <v>0</v>
      </c>
      <c r="T225" s="92">
        <f t="shared" si="77"/>
        <v>90</v>
      </c>
      <c r="U225" s="93">
        <f t="shared" si="70"/>
        <v>72</v>
      </c>
    </row>
    <row r="226" spans="1:21" x14ac:dyDescent="0.25">
      <c r="A226" s="71">
        <f t="shared" si="62"/>
        <v>2023</v>
      </c>
      <c r="B226" s="72" t="str">
        <f t="shared" si="60"/>
        <v>MAIO</v>
      </c>
      <c r="C226" s="73" t="str">
        <f t="shared" si="61"/>
        <v>DOMINGO</v>
      </c>
      <c r="D226" s="74">
        <v>45074</v>
      </c>
      <c r="E226" s="89">
        <f t="shared" si="63"/>
        <v>0</v>
      </c>
      <c r="F226" s="90">
        <f t="shared" si="64"/>
        <v>0</v>
      </c>
      <c r="G226" s="91"/>
      <c r="H226" s="76">
        <f t="shared" si="65"/>
        <v>0</v>
      </c>
      <c r="I226" s="89">
        <f t="shared" si="66"/>
        <v>0</v>
      </c>
      <c r="J226" s="90">
        <f t="shared" si="67"/>
        <v>0</v>
      </c>
      <c r="K226" s="91">
        <f t="shared" si="68"/>
        <v>0</v>
      </c>
      <c r="L226" s="76">
        <f t="shared" si="69"/>
        <v>0</v>
      </c>
      <c r="N226" s="79">
        <f t="shared" si="71"/>
        <v>0</v>
      </c>
      <c r="O226" s="80">
        <f t="shared" si="72"/>
        <v>0</v>
      </c>
      <c r="P226" s="81">
        <f t="shared" si="73"/>
        <v>0</v>
      </c>
      <c r="Q226" s="79">
        <f t="shared" si="74"/>
        <v>0</v>
      </c>
      <c r="R226" s="80">
        <f t="shared" si="75"/>
        <v>0</v>
      </c>
      <c r="S226" s="81">
        <f t="shared" si="76"/>
        <v>0</v>
      </c>
      <c r="T226" s="92">
        <f t="shared" si="77"/>
        <v>0</v>
      </c>
      <c r="U226" s="93">
        <f t="shared" si="70"/>
        <v>0</v>
      </c>
    </row>
    <row r="227" spans="1:21" x14ac:dyDescent="0.25">
      <c r="A227" s="71">
        <f t="shared" si="62"/>
        <v>2023</v>
      </c>
      <c r="B227" s="72" t="str">
        <f t="shared" si="60"/>
        <v>MAIO</v>
      </c>
      <c r="C227" s="73" t="str">
        <f t="shared" si="61"/>
        <v>SEGUNDA</v>
      </c>
      <c r="D227" s="74">
        <v>45075</v>
      </c>
      <c r="E227" s="89">
        <f t="shared" si="63"/>
        <v>7</v>
      </c>
      <c r="F227" s="90">
        <f t="shared" si="64"/>
        <v>7</v>
      </c>
      <c r="G227" s="91"/>
      <c r="H227" s="76">
        <f t="shared" si="65"/>
        <v>14</v>
      </c>
      <c r="I227" s="89">
        <f t="shared" si="66"/>
        <v>8</v>
      </c>
      <c r="J227" s="90">
        <f t="shared" si="67"/>
        <v>8</v>
      </c>
      <c r="K227" s="91">
        <f t="shared" si="68"/>
        <v>8</v>
      </c>
      <c r="L227" s="76">
        <f t="shared" si="69"/>
        <v>24</v>
      </c>
      <c r="N227" s="79">
        <f t="shared" si="71"/>
        <v>52.36</v>
      </c>
      <c r="O227" s="80">
        <f t="shared" si="72"/>
        <v>42</v>
      </c>
      <c r="P227" s="81">
        <f t="shared" si="73"/>
        <v>0</v>
      </c>
      <c r="Q227" s="79">
        <f t="shared" si="74"/>
        <v>59.84</v>
      </c>
      <c r="R227" s="80">
        <f t="shared" si="75"/>
        <v>48</v>
      </c>
      <c r="S227" s="81">
        <f t="shared" si="76"/>
        <v>68</v>
      </c>
      <c r="T227" s="92">
        <f t="shared" si="77"/>
        <v>270.2</v>
      </c>
      <c r="U227" s="93">
        <f t="shared" si="70"/>
        <v>216.16</v>
      </c>
    </row>
    <row r="228" spans="1:21" x14ac:dyDescent="0.25">
      <c r="A228" s="71">
        <f t="shared" si="62"/>
        <v>2023</v>
      </c>
      <c r="B228" s="72" t="str">
        <f t="shared" si="60"/>
        <v>MAIO</v>
      </c>
      <c r="C228" s="73" t="str">
        <f t="shared" si="61"/>
        <v>TERÇA</v>
      </c>
      <c r="D228" s="74">
        <v>45076</v>
      </c>
      <c r="E228" s="89">
        <f t="shared" si="63"/>
        <v>7</v>
      </c>
      <c r="F228" s="90">
        <f t="shared" si="64"/>
        <v>7</v>
      </c>
      <c r="G228" s="91"/>
      <c r="H228" s="76">
        <f t="shared" si="65"/>
        <v>14</v>
      </c>
      <c r="I228" s="89">
        <f t="shared" si="66"/>
        <v>8</v>
      </c>
      <c r="J228" s="90">
        <f t="shared" si="67"/>
        <v>8</v>
      </c>
      <c r="K228" s="91">
        <f t="shared" si="68"/>
        <v>8</v>
      </c>
      <c r="L228" s="76">
        <f t="shared" si="69"/>
        <v>24</v>
      </c>
      <c r="N228" s="79">
        <f t="shared" si="71"/>
        <v>52.36</v>
      </c>
      <c r="O228" s="80">
        <f t="shared" si="72"/>
        <v>42</v>
      </c>
      <c r="P228" s="81">
        <f t="shared" si="73"/>
        <v>0</v>
      </c>
      <c r="Q228" s="79">
        <f t="shared" si="74"/>
        <v>59.84</v>
      </c>
      <c r="R228" s="80">
        <f t="shared" si="75"/>
        <v>48</v>
      </c>
      <c r="S228" s="81">
        <f t="shared" si="76"/>
        <v>68</v>
      </c>
      <c r="T228" s="92">
        <f t="shared" si="77"/>
        <v>270.2</v>
      </c>
      <c r="U228" s="93">
        <f t="shared" si="70"/>
        <v>216.16</v>
      </c>
    </row>
    <row r="229" spans="1:21" x14ac:dyDescent="0.25">
      <c r="A229" s="71">
        <f t="shared" si="62"/>
        <v>2023</v>
      </c>
      <c r="B229" s="72" t="str">
        <f t="shared" si="60"/>
        <v>MAIO</v>
      </c>
      <c r="C229" s="73" t="str">
        <f t="shared" si="61"/>
        <v>QUARTA</v>
      </c>
      <c r="D229" s="74">
        <v>45077</v>
      </c>
      <c r="E229" s="89">
        <f t="shared" si="63"/>
        <v>7</v>
      </c>
      <c r="F229" s="90">
        <f t="shared" si="64"/>
        <v>7</v>
      </c>
      <c r="G229" s="91"/>
      <c r="H229" s="76">
        <f t="shared" si="65"/>
        <v>14</v>
      </c>
      <c r="I229" s="89">
        <f t="shared" si="66"/>
        <v>8</v>
      </c>
      <c r="J229" s="90">
        <f t="shared" si="67"/>
        <v>8</v>
      </c>
      <c r="K229" s="91">
        <f t="shared" si="68"/>
        <v>8</v>
      </c>
      <c r="L229" s="76">
        <f t="shared" si="69"/>
        <v>24</v>
      </c>
      <c r="N229" s="79">
        <f t="shared" si="71"/>
        <v>52.36</v>
      </c>
      <c r="O229" s="80">
        <f t="shared" si="72"/>
        <v>42</v>
      </c>
      <c r="P229" s="81">
        <f t="shared" si="73"/>
        <v>0</v>
      </c>
      <c r="Q229" s="79">
        <f t="shared" si="74"/>
        <v>59.84</v>
      </c>
      <c r="R229" s="80">
        <f t="shared" si="75"/>
        <v>48</v>
      </c>
      <c r="S229" s="81">
        <f t="shared" si="76"/>
        <v>68</v>
      </c>
      <c r="T229" s="92">
        <f t="shared" si="77"/>
        <v>270.2</v>
      </c>
      <c r="U229" s="93">
        <f t="shared" si="70"/>
        <v>216.16</v>
      </c>
    </row>
    <row r="230" spans="1:21" x14ac:dyDescent="0.25">
      <c r="A230" s="71">
        <f t="shared" si="62"/>
        <v>2023</v>
      </c>
      <c r="B230" s="72" t="str">
        <f t="shared" si="60"/>
        <v>JUNHO</v>
      </c>
      <c r="C230" s="73" t="str">
        <f t="shared" si="61"/>
        <v>QUINTA</v>
      </c>
      <c r="D230" s="74">
        <v>45078</v>
      </c>
      <c r="E230" s="89">
        <f t="shared" si="63"/>
        <v>7</v>
      </c>
      <c r="F230" s="90">
        <f t="shared" si="64"/>
        <v>7</v>
      </c>
      <c r="G230" s="91"/>
      <c r="H230" s="76">
        <f t="shared" si="65"/>
        <v>14</v>
      </c>
      <c r="I230" s="89">
        <f t="shared" si="66"/>
        <v>8</v>
      </c>
      <c r="J230" s="90">
        <f t="shared" si="67"/>
        <v>8</v>
      </c>
      <c r="K230" s="91">
        <f t="shared" si="68"/>
        <v>8</v>
      </c>
      <c r="L230" s="76">
        <f t="shared" si="69"/>
        <v>24</v>
      </c>
      <c r="N230" s="79">
        <f t="shared" si="71"/>
        <v>52.36</v>
      </c>
      <c r="O230" s="80">
        <f t="shared" si="72"/>
        <v>42</v>
      </c>
      <c r="P230" s="81">
        <f t="shared" si="73"/>
        <v>0</v>
      </c>
      <c r="Q230" s="79">
        <f t="shared" si="74"/>
        <v>59.84</v>
      </c>
      <c r="R230" s="80">
        <f t="shared" si="75"/>
        <v>48</v>
      </c>
      <c r="S230" s="81">
        <f t="shared" si="76"/>
        <v>68</v>
      </c>
      <c r="T230" s="92">
        <f t="shared" si="77"/>
        <v>270.2</v>
      </c>
      <c r="U230" s="93">
        <f t="shared" si="70"/>
        <v>216.16</v>
      </c>
    </row>
    <row r="231" spans="1:21" x14ac:dyDescent="0.25">
      <c r="A231" s="71">
        <f t="shared" si="62"/>
        <v>2023</v>
      </c>
      <c r="B231" s="72" t="str">
        <f t="shared" si="60"/>
        <v>JUNHO</v>
      </c>
      <c r="C231" s="73" t="str">
        <f t="shared" si="61"/>
        <v>SEXTA</v>
      </c>
      <c r="D231" s="74">
        <v>45079</v>
      </c>
      <c r="E231" s="89">
        <f t="shared" si="63"/>
        <v>7</v>
      </c>
      <c r="F231" s="90">
        <f t="shared" si="64"/>
        <v>7</v>
      </c>
      <c r="G231" s="91"/>
      <c r="H231" s="76">
        <f t="shared" si="65"/>
        <v>14</v>
      </c>
      <c r="I231" s="89">
        <f t="shared" si="66"/>
        <v>8</v>
      </c>
      <c r="J231" s="90">
        <f t="shared" si="67"/>
        <v>8</v>
      </c>
      <c r="K231" s="91">
        <f t="shared" si="68"/>
        <v>8</v>
      </c>
      <c r="L231" s="76">
        <f t="shared" si="69"/>
        <v>24</v>
      </c>
      <c r="N231" s="79">
        <f t="shared" si="71"/>
        <v>52.36</v>
      </c>
      <c r="O231" s="80">
        <f t="shared" si="72"/>
        <v>42</v>
      </c>
      <c r="P231" s="81">
        <f t="shared" si="73"/>
        <v>0</v>
      </c>
      <c r="Q231" s="79">
        <f t="shared" si="74"/>
        <v>59.84</v>
      </c>
      <c r="R231" s="80">
        <f t="shared" si="75"/>
        <v>48</v>
      </c>
      <c r="S231" s="81">
        <f t="shared" si="76"/>
        <v>68</v>
      </c>
      <c r="T231" s="92">
        <f t="shared" si="77"/>
        <v>270.2</v>
      </c>
      <c r="U231" s="93">
        <f t="shared" si="70"/>
        <v>216.16</v>
      </c>
    </row>
    <row r="232" spans="1:21" x14ac:dyDescent="0.25">
      <c r="A232" s="71">
        <f t="shared" si="62"/>
        <v>2023</v>
      </c>
      <c r="B232" s="72" t="str">
        <f t="shared" si="60"/>
        <v>JUNHO</v>
      </c>
      <c r="C232" s="73" t="str">
        <f t="shared" si="61"/>
        <v>SÁBADO</v>
      </c>
      <c r="D232" s="74">
        <v>45080</v>
      </c>
      <c r="E232" s="89">
        <f t="shared" si="63"/>
        <v>0</v>
      </c>
      <c r="F232" s="90">
        <f t="shared" si="64"/>
        <v>7</v>
      </c>
      <c r="G232" s="91"/>
      <c r="H232" s="76">
        <f t="shared" si="65"/>
        <v>7</v>
      </c>
      <c r="I232" s="89">
        <f t="shared" si="66"/>
        <v>0</v>
      </c>
      <c r="J232" s="90">
        <f t="shared" si="67"/>
        <v>8</v>
      </c>
      <c r="K232" s="91">
        <f t="shared" si="68"/>
        <v>0</v>
      </c>
      <c r="L232" s="76">
        <f t="shared" si="69"/>
        <v>8</v>
      </c>
      <c r="N232" s="79">
        <f t="shared" si="71"/>
        <v>0</v>
      </c>
      <c r="O232" s="80">
        <f t="shared" si="72"/>
        <v>42</v>
      </c>
      <c r="P232" s="81">
        <f t="shared" si="73"/>
        <v>0</v>
      </c>
      <c r="Q232" s="79">
        <f t="shared" si="74"/>
        <v>0</v>
      </c>
      <c r="R232" s="80">
        <f t="shared" si="75"/>
        <v>48</v>
      </c>
      <c r="S232" s="81">
        <f t="shared" si="76"/>
        <v>0</v>
      </c>
      <c r="T232" s="92">
        <f t="shared" si="77"/>
        <v>90</v>
      </c>
      <c r="U232" s="93">
        <f t="shared" si="70"/>
        <v>72</v>
      </c>
    </row>
    <row r="233" spans="1:21" x14ac:dyDescent="0.25">
      <c r="A233" s="71">
        <f t="shared" si="62"/>
        <v>2023</v>
      </c>
      <c r="B233" s="72" t="str">
        <f t="shared" si="60"/>
        <v>JUNHO</v>
      </c>
      <c r="C233" s="73" t="str">
        <f t="shared" si="61"/>
        <v>DOMINGO</v>
      </c>
      <c r="D233" s="74">
        <v>45081</v>
      </c>
      <c r="E233" s="89">
        <f t="shared" si="63"/>
        <v>0</v>
      </c>
      <c r="F233" s="90">
        <f t="shared" si="64"/>
        <v>0</v>
      </c>
      <c r="G233" s="91"/>
      <c r="H233" s="76">
        <f t="shared" si="65"/>
        <v>0</v>
      </c>
      <c r="I233" s="89">
        <f t="shared" si="66"/>
        <v>0</v>
      </c>
      <c r="J233" s="90">
        <f t="shared" si="67"/>
        <v>0</v>
      </c>
      <c r="K233" s="91">
        <f t="shared" si="68"/>
        <v>0</v>
      </c>
      <c r="L233" s="76">
        <f t="shared" si="69"/>
        <v>0</v>
      </c>
      <c r="N233" s="79">
        <f t="shared" si="71"/>
        <v>0</v>
      </c>
      <c r="O233" s="80">
        <f t="shared" si="72"/>
        <v>0</v>
      </c>
      <c r="P233" s="81">
        <f t="shared" si="73"/>
        <v>0</v>
      </c>
      <c r="Q233" s="79">
        <f t="shared" si="74"/>
        <v>0</v>
      </c>
      <c r="R233" s="80">
        <f t="shared" si="75"/>
        <v>0</v>
      </c>
      <c r="S233" s="81">
        <f t="shared" si="76"/>
        <v>0</v>
      </c>
      <c r="T233" s="92">
        <f t="shared" si="77"/>
        <v>0</v>
      </c>
      <c r="U233" s="93">
        <f t="shared" si="70"/>
        <v>0</v>
      </c>
    </row>
    <row r="234" spans="1:21" x14ac:dyDescent="0.25">
      <c r="A234" s="71">
        <f t="shared" si="62"/>
        <v>2023</v>
      </c>
      <c r="B234" s="72" t="str">
        <f t="shared" si="60"/>
        <v>JUNHO</v>
      </c>
      <c r="C234" s="73" t="str">
        <f t="shared" si="61"/>
        <v>SEGUNDA</v>
      </c>
      <c r="D234" s="74">
        <v>45082</v>
      </c>
      <c r="E234" s="89">
        <f t="shared" si="63"/>
        <v>7</v>
      </c>
      <c r="F234" s="90">
        <f t="shared" si="64"/>
        <v>7</v>
      </c>
      <c r="G234" s="91"/>
      <c r="H234" s="76">
        <f t="shared" si="65"/>
        <v>14</v>
      </c>
      <c r="I234" s="89">
        <f t="shared" si="66"/>
        <v>8</v>
      </c>
      <c r="J234" s="90">
        <f t="shared" si="67"/>
        <v>8</v>
      </c>
      <c r="K234" s="91">
        <f t="shared" si="68"/>
        <v>8</v>
      </c>
      <c r="L234" s="76">
        <f t="shared" si="69"/>
        <v>24</v>
      </c>
      <c r="N234" s="79">
        <f t="shared" si="71"/>
        <v>52.36</v>
      </c>
      <c r="O234" s="80">
        <f t="shared" si="72"/>
        <v>42</v>
      </c>
      <c r="P234" s="81">
        <f t="shared" si="73"/>
        <v>0</v>
      </c>
      <c r="Q234" s="79">
        <f t="shared" si="74"/>
        <v>59.84</v>
      </c>
      <c r="R234" s="80">
        <f t="shared" si="75"/>
        <v>48</v>
      </c>
      <c r="S234" s="81">
        <f t="shared" si="76"/>
        <v>68</v>
      </c>
      <c r="T234" s="92">
        <f t="shared" si="77"/>
        <v>270.2</v>
      </c>
      <c r="U234" s="93">
        <f t="shared" si="70"/>
        <v>216.16</v>
      </c>
    </row>
    <row r="235" spans="1:21" x14ac:dyDescent="0.25">
      <c r="A235" s="71">
        <f t="shared" si="62"/>
        <v>2023</v>
      </c>
      <c r="B235" s="72" t="str">
        <f t="shared" si="60"/>
        <v>JUNHO</v>
      </c>
      <c r="C235" s="73" t="str">
        <f t="shared" si="61"/>
        <v>TERÇA</v>
      </c>
      <c r="D235" s="74">
        <v>45083</v>
      </c>
      <c r="E235" s="89">
        <f t="shared" si="63"/>
        <v>7</v>
      </c>
      <c r="F235" s="90">
        <f t="shared" si="64"/>
        <v>7</v>
      </c>
      <c r="G235" s="91"/>
      <c r="H235" s="76">
        <f t="shared" si="65"/>
        <v>14</v>
      </c>
      <c r="I235" s="89">
        <f t="shared" si="66"/>
        <v>8</v>
      </c>
      <c r="J235" s="90">
        <f t="shared" si="67"/>
        <v>8</v>
      </c>
      <c r="K235" s="91">
        <f t="shared" si="68"/>
        <v>8</v>
      </c>
      <c r="L235" s="76">
        <f t="shared" si="69"/>
        <v>24</v>
      </c>
      <c r="N235" s="79">
        <f t="shared" si="71"/>
        <v>52.36</v>
      </c>
      <c r="O235" s="80">
        <f t="shared" si="72"/>
        <v>42</v>
      </c>
      <c r="P235" s="81">
        <f t="shared" si="73"/>
        <v>0</v>
      </c>
      <c r="Q235" s="79">
        <f t="shared" si="74"/>
        <v>59.84</v>
      </c>
      <c r="R235" s="80">
        <f t="shared" si="75"/>
        <v>48</v>
      </c>
      <c r="S235" s="81">
        <f t="shared" si="76"/>
        <v>68</v>
      </c>
      <c r="T235" s="92">
        <f t="shared" si="77"/>
        <v>270.2</v>
      </c>
      <c r="U235" s="93">
        <f t="shared" si="70"/>
        <v>216.16</v>
      </c>
    </row>
    <row r="236" spans="1:21" x14ac:dyDescent="0.25">
      <c r="A236" s="71">
        <f t="shared" si="62"/>
        <v>2023</v>
      </c>
      <c r="B236" s="72" t="str">
        <f t="shared" si="60"/>
        <v>JUNHO</v>
      </c>
      <c r="C236" s="73" t="str">
        <f t="shared" si="61"/>
        <v>QUARTA</v>
      </c>
      <c r="D236" s="74">
        <v>45084</v>
      </c>
      <c r="E236" s="89">
        <f t="shared" si="63"/>
        <v>7</v>
      </c>
      <c r="F236" s="90">
        <f t="shared" si="64"/>
        <v>7</v>
      </c>
      <c r="G236" s="91"/>
      <c r="H236" s="76">
        <f t="shared" si="65"/>
        <v>14</v>
      </c>
      <c r="I236" s="89">
        <f t="shared" si="66"/>
        <v>8</v>
      </c>
      <c r="J236" s="90">
        <f t="shared" si="67"/>
        <v>8</v>
      </c>
      <c r="K236" s="91">
        <f t="shared" si="68"/>
        <v>8</v>
      </c>
      <c r="L236" s="76">
        <f t="shared" si="69"/>
        <v>24</v>
      </c>
      <c r="N236" s="79">
        <f t="shared" si="71"/>
        <v>52.36</v>
      </c>
      <c r="O236" s="80">
        <f t="shared" si="72"/>
        <v>42</v>
      </c>
      <c r="P236" s="81">
        <f t="shared" si="73"/>
        <v>0</v>
      </c>
      <c r="Q236" s="79">
        <f t="shared" si="74"/>
        <v>59.84</v>
      </c>
      <c r="R236" s="80">
        <f t="shared" si="75"/>
        <v>48</v>
      </c>
      <c r="S236" s="81">
        <f t="shared" si="76"/>
        <v>68</v>
      </c>
      <c r="T236" s="92">
        <f t="shared" si="77"/>
        <v>270.2</v>
      </c>
      <c r="U236" s="93">
        <f t="shared" si="70"/>
        <v>216.16</v>
      </c>
    </row>
    <row r="237" spans="1:21" x14ac:dyDescent="0.25">
      <c r="A237" s="71">
        <f t="shared" si="62"/>
        <v>2023</v>
      </c>
      <c r="B237" s="72" t="str">
        <f t="shared" si="60"/>
        <v>JUNHO</v>
      </c>
      <c r="C237" s="73" t="str">
        <f t="shared" si="61"/>
        <v>QUINTA</v>
      </c>
      <c r="D237" s="74">
        <v>45085</v>
      </c>
      <c r="E237" s="89">
        <f t="shared" si="63"/>
        <v>7</v>
      </c>
      <c r="F237" s="90">
        <f t="shared" si="64"/>
        <v>7</v>
      </c>
      <c r="G237" s="91"/>
      <c r="H237" s="76">
        <f t="shared" si="65"/>
        <v>14</v>
      </c>
      <c r="I237" s="89">
        <f t="shared" si="66"/>
        <v>8</v>
      </c>
      <c r="J237" s="90">
        <f t="shared" si="67"/>
        <v>8</v>
      </c>
      <c r="K237" s="91">
        <f t="shared" si="68"/>
        <v>8</v>
      </c>
      <c r="L237" s="76">
        <f t="shared" si="69"/>
        <v>24</v>
      </c>
      <c r="N237" s="79">
        <f t="shared" si="71"/>
        <v>52.36</v>
      </c>
      <c r="O237" s="80">
        <f t="shared" si="72"/>
        <v>42</v>
      </c>
      <c r="P237" s="81">
        <f t="shared" si="73"/>
        <v>0</v>
      </c>
      <c r="Q237" s="79">
        <f t="shared" si="74"/>
        <v>59.84</v>
      </c>
      <c r="R237" s="80">
        <f t="shared" si="75"/>
        <v>48</v>
      </c>
      <c r="S237" s="81">
        <f t="shared" si="76"/>
        <v>68</v>
      </c>
      <c r="T237" s="92">
        <f t="shared" si="77"/>
        <v>270.2</v>
      </c>
      <c r="U237" s="93">
        <f t="shared" si="70"/>
        <v>216.16</v>
      </c>
    </row>
    <row r="238" spans="1:21" x14ac:dyDescent="0.25">
      <c r="A238" s="71">
        <f t="shared" si="62"/>
        <v>2023</v>
      </c>
      <c r="B238" s="72" t="str">
        <f t="shared" si="60"/>
        <v>JUNHO</v>
      </c>
      <c r="C238" s="73" t="str">
        <f t="shared" si="61"/>
        <v>SEXTA</v>
      </c>
      <c r="D238" s="74">
        <v>45086</v>
      </c>
      <c r="E238" s="89">
        <f t="shared" si="63"/>
        <v>7</v>
      </c>
      <c r="F238" s="90">
        <f t="shared" si="64"/>
        <v>7</v>
      </c>
      <c r="G238" s="91"/>
      <c r="H238" s="76">
        <f t="shared" si="65"/>
        <v>14</v>
      </c>
      <c r="I238" s="89">
        <f t="shared" si="66"/>
        <v>8</v>
      </c>
      <c r="J238" s="90">
        <f t="shared" si="67"/>
        <v>8</v>
      </c>
      <c r="K238" s="91">
        <f t="shared" si="68"/>
        <v>8</v>
      </c>
      <c r="L238" s="76">
        <f t="shared" si="69"/>
        <v>24</v>
      </c>
      <c r="N238" s="79">
        <f t="shared" si="71"/>
        <v>52.36</v>
      </c>
      <c r="O238" s="80">
        <f t="shared" si="72"/>
        <v>42</v>
      </c>
      <c r="P238" s="81">
        <f t="shared" si="73"/>
        <v>0</v>
      </c>
      <c r="Q238" s="79">
        <f t="shared" si="74"/>
        <v>59.84</v>
      </c>
      <c r="R238" s="80">
        <f t="shared" si="75"/>
        <v>48</v>
      </c>
      <c r="S238" s="81">
        <f t="shared" si="76"/>
        <v>68</v>
      </c>
      <c r="T238" s="92">
        <f t="shared" si="77"/>
        <v>270.2</v>
      </c>
      <c r="U238" s="93">
        <f t="shared" si="70"/>
        <v>216.16</v>
      </c>
    </row>
    <row r="239" spans="1:21" x14ac:dyDescent="0.25">
      <c r="A239" s="71">
        <f t="shared" si="62"/>
        <v>2023</v>
      </c>
      <c r="B239" s="72" t="str">
        <f t="shared" si="60"/>
        <v>JUNHO</v>
      </c>
      <c r="C239" s="73" t="str">
        <f t="shared" si="61"/>
        <v>SÁBADO</v>
      </c>
      <c r="D239" s="74">
        <v>45087</v>
      </c>
      <c r="E239" s="89">
        <f t="shared" si="63"/>
        <v>0</v>
      </c>
      <c r="F239" s="90">
        <f t="shared" si="64"/>
        <v>7</v>
      </c>
      <c r="G239" s="91"/>
      <c r="H239" s="76">
        <f t="shared" si="65"/>
        <v>7</v>
      </c>
      <c r="I239" s="89">
        <f t="shared" si="66"/>
        <v>0</v>
      </c>
      <c r="J239" s="90">
        <f t="shared" si="67"/>
        <v>8</v>
      </c>
      <c r="K239" s="91">
        <f t="shared" si="68"/>
        <v>0</v>
      </c>
      <c r="L239" s="76">
        <f t="shared" si="69"/>
        <v>8</v>
      </c>
      <c r="N239" s="79">
        <f t="shared" si="71"/>
        <v>0</v>
      </c>
      <c r="O239" s="80">
        <f t="shared" si="72"/>
        <v>42</v>
      </c>
      <c r="P239" s="81">
        <f t="shared" si="73"/>
        <v>0</v>
      </c>
      <c r="Q239" s="79">
        <f t="shared" si="74"/>
        <v>0</v>
      </c>
      <c r="R239" s="80">
        <f t="shared" si="75"/>
        <v>48</v>
      </c>
      <c r="S239" s="81">
        <f t="shared" si="76"/>
        <v>0</v>
      </c>
      <c r="T239" s="92">
        <f t="shared" si="77"/>
        <v>90</v>
      </c>
      <c r="U239" s="93">
        <f t="shared" si="70"/>
        <v>72</v>
      </c>
    </row>
    <row r="240" spans="1:21" x14ac:dyDescent="0.25">
      <c r="A240" s="71">
        <f t="shared" si="62"/>
        <v>2023</v>
      </c>
      <c r="B240" s="72" t="str">
        <f t="shared" si="60"/>
        <v>JUNHO</v>
      </c>
      <c r="C240" s="73" t="str">
        <f t="shared" si="61"/>
        <v>DOMINGO</v>
      </c>
      <c r="D240" s="74">
        <v>45088</v>
      </c>
      <c r="E240" s="89">
        <f t="shared" si="63"/>
        <v>0</v>
      </c>
      <c r="F240" s="90">
        <f t="shared" si="64"/>
        <v>0</v>
      </c>
      <c r="G240" s="91"/>
      <c r="H240" s="76">
        <f t="shared" si="65"/>
        <v>0</v>
      </c>
      <c r="I240" s="89">
        <f t="shared" si="66"/>
        <v>0</v>
      </c>
      <c r="J240" s="90">
        <f t="shared" si="67"/>
        <v>0</v>
      </c>
      <c r="K240" s="91">
        <f t="shared" si="68"/>
        <v>0</v>
      </c>
      <c r="L240" s="76">
        <f t="shared" si="69"/>
        <v>0</v>
      </c>
      <c r="N240" s="79">
        <f t="shared" si="71"/>
        <v>0</v>
      </c>
      <c r="O240" s="80">
        <f t="shared" si="72"/>
        <v>0</v>
      </c>
      <c r="P240" s="81">
        <f t="shared" si="73"/>
        <v>0</v>
      </c>
      <c r="Q240" s="79">
        <f t="shared" si="74"/>
        <v>0</v>
      </c>
      <c r="R240" s="80">
        <f t="shared" si="75"/>
        <v>0</v>
      </c>
      <c r="S240" s="81">
        <f t="shared" si="76"/>
        <v>0</v>
      </c>
      <c r="T240" s="92">
        <f t="shared" si="77"/>
        <v>0</v>
      </c>
      <c r="U240" s="93">
        <f t="shared" si="70"/>
        <v>0</v>
      </c>
    </row>
    <row r="241" spans="1:21" x14ac:dyDescent="0.25">
      <c r="A241" s="71">
        <f t="shared" si="62"/>
        <v>2023</v>
      </c>
      <c r="B241" s="72" t="str">
        <f t="shared" si="60"/>
        <v>JUNHO</v>
      </c>
      <c r="C241" s="73" t="str">
        <f t="shared" si="61"/>
        <v>SEGUNDA</v>
      </c>
      <c r="D241" s="74">
        <v>45089</v>
      </c>
      <c r="E241" s="89">
        <f t="shared" si="63"/>
        <v>7</v>
      </c>
      <c r="F241" s="90">
        <f t="shared" si="64"/>
        <v>7</v>
      </c>
      <c r="G241" s="91"/>
      <c r="H241" s="76">
        <f t="shared" si="65"/>
        <v>14</v>
      </c>
      <c r="I241" s="89">
        <f t="shared" si="66"/>
        <v>8</v>
      </c>
      <c r="J241" s="90">
        <f t="shared" si="67"/>
        <v>8</v>
      </c>
      <c r="K241" s="91">
        <f t="shared" si="68"/>
        <v>8</v>
      </c>
      <c r="L241" s="76">
        <f t="shared" si="69"/>
        <v>24</v>
      </c>
      <c r="N241" s="79">
        <f t="shared" si="71"/>
        <v>52.36</v>
      </c>
      <c r="O241" s="80">
        <f t="shared" si="72"/>
        <v>42</v>
      </c>
      <c r="P241" s="81">
        <f t="shared" si="73"/>
        <v>0</v>
      </c>
      <c r="Q241" s="79">
        <f t="shared" si="74"/>
        <v>59.84</v>
      </c>
      <c r="R241" s="80">
        <f t="shared" si="75"/>
        <v>48</v>
      </c>
      <c r="S241" s="81">
        <f t="shared" si="76"/>
        <v>68</v>
      </c>
      <c r="T241" s="92">
        <f t="shared" si="77"/>
        <v>270.2</v>
      </c>
      <c r="U241" s="93">
        <f t="shared" si="70"/>
        <v>216.16</v>
      </c>
    </row>
    <row r="242" spans="1:21" x14ac:dyDescent="0.25">
      <c r="A242" s="71">
        <f t="shared" si="62"/>
        <v>2023</v>
      </c>
      <c r="B242" s="72" t="str">
        <f t="shared" si="60"/>
        <v>JUNHO</v>
      </c>
      <c r="C242" s="73" t="str">
        <f t="shared" si="61"/>
        <v>TERÇA</v>
      </c>
      <c r="D242" s="74">
        <v>45090</v>
      </c>
      <c r="E242" s="89">
        <f t="shared" si="63"/>
        <v>7</v>
      </c>
      <c r="F242" s="90">
        <f t="shared" si="64"/>
        <v>7</v>
      </c>
      <c r="G242" s="91"/>
      <c r="H242" s="76">
        <f t="shared" si="65"/>
        <v>14</v>
      </c>
      <c r="I242" s="89">
        <f t="shared" si="66"/>
        <v>8</v>
      </c>
      <c r="J242" s="90">
        <f t="shared" si="67"/>
        <v>8</v>
      </c>
      <c r="K242" s="91">
        <f t="shared" si="68"/>
        <v>8</v>
      </c>
      <c r="L242" s="76">
        <f t="shared" si="69"/>
        <v>24</v>
      </c>
      <c r="N242" s="79">
        <f t="shared" si="71"/>
        <v>52.36</v>
      </c>
      <c r="O242" s="80">
        <f t="shared" si="72"/>
        <v>42</v>
      </c>
      <c r="P242" s="81">
        <f t="shared" si="73"/>
        <v>0</v>
      </c>
      <c r="Q242" s="79">
        <f t="shared" si="74"/>
        <v>59.84</v>
      </c>
      <c r="R242" s="80">
        <f t="shared" si="75"/>
        <v>48</v>
      </c>
      <c r="S242" s="81">
        <f t="shared" si="76"/>
        <v>68</v>
      </c>
      <c r="T242" s="92">
        <f t="shared" si="77"/>
        <v>270.2</v>
      </c>
      <c r="U242" s="93">
        <f t="shared" si="70"/>
        <v>216.16</v>
      </c>
    </row>
    <row r="243" spans="1:21" x14ac:dyDescent="0.25">
      <c r="A243" s="71">
        <f t="shared" si="62"/>
        <v>2023</v>
      </c>
      <c r="B243" s="72" t="str">
        <f t="shared" si="60"/>
        <v>JUNHO</v>
      </c>
      <c r="C243" s="73" t="str">
        <f t="shared" si="61"/>
        <v>QUARTA</v>
      </c>
      <c r="D243" s="74">
        <v>45091</v>
      </c>
      <c r="E243" s="89">
        <f t="shared" si="63"/>
        <v>7</v>
      </c>
      <c r="F243" s="90">
        <f t="shared" si="64"/>
        <v>7</v>
      </c>
      <c r="G243" s="91"/>
      <c r="H243" s="76">
        <f t="shared" si="65"/>
        <v>14</v>
      </c>
      <c r="I243" s="89">
        <f t="shared" si="66"/>
        <v>8</v>
      </c>
      <c r="J243" s="90">
        <f t="shared" si="67"/>
        <v>8</v>
      </c>
      <c r="K243" s="91">
        <f t="shared" si="68"/>
        <v>8</v>
      </c>
      <c r="L243" s="76">
        <f t="shared" si="69"/>
        <v>24</v>
      </c>
      <c r="N243" s="79">
        <f t="shared" si="71"/>
        <v>52.36</v>
      </c>
      <c r="O243" s="80">
        <f t="shared" si="72"/>
        <v>42</v>
      </c>
      <c r="P243" s="81">
        <f t="shared" si="73"/>
        <v>0</v>
      </c>
      <c r="Q243" s="79">
        <f t="shared" si="74"/>
        <v>59.84</v>
      </c>
      <c r="R243" s="80">
        <f t="shared" si="75"/>
        <v>48</v>
      </c>
      <c r="S243" s="81">
        <f t="shared" si="76"/>
        <v>68</v>
      </c>
      <c r="T243" s="92">
        <f t="shared" si="77"/>
        <v>270.2</v>
      </c>
      <c r="U243" s="93">
        <f t="shared" si="70"/>
        <v>216.16</v>
      </c>
    </row>
    <row r="244" spans="1:21" x14ac:dyDescent="0.25">
      <c r="A244" s="71">
        <f t="shared" si="62"/>
        <v>2023</v>
      </c>
      <c r="B244" s="72" t="str">
        <f t="shared" si="60"/>
        <v>JUNHO</v>
      </c>
      <c r="C244" s="73" t="str">
        <f t="shared" si="61"/>
        <v>QUINTA</v>
      </c>
      <c r="D244" s="74">
        <v>45092</v>
      </c>
      <c r="E244" s="89">
        <f t="shared" si="63"/>
        <v>7</v>
      </c>
      <c r="F244" s="90">
        <f t="shared" si="64"/>
        <v>7</v>
      </c>
      <c r="G244" s="91"/>
      <c r="H244" s="76">
        <f t="shared" si="65"/>
        <v>14</v>
      </c>
      <c r="I244" s="89">
        <f t="shared" si="66"/>
        <v>8</v>
      </c>
      <c r="J244" s="90">
        <f t="shared" si="67"/>
        <v>8</v>
      </c>
      <c r="K244" s="91">
        <f t="shared" si="68"/>
        <v>8</v>
      </c>
      <c r="L244" s="76">
        <f t="shared" si="69"/>
        <v>24</v>
      </c>
      <c r="N244" s="79">
        <f t="shared" si="71"/>
        <v>52.36</v>
      </c>
      <c r="O244" s="80">
        <f t="shared" si="72"/>
        <v>42</v>
      </c>
      <c r="P244" s="81">
        <f t="shared" si="73"/>
        <v>0</v>
      </c>
      <c r="Q244" s="79">
        <f t="shared" si="74"/>
        <v>59.84</v>
      </c>
      <c r="R244" s="80">
        <f t="shared" si="75"/>
        <v>48</v>
      </c>
      <c r="S244" s="81">
        <f t="shared" si="76"/>
        <v>68</v>
      </c>
      <c r="T244" s="92">
        <f t="shared" si="77"/>
        <v>270.2</v>
      </c>
      <c r="U244" s="93">
        <f t="shared" si="70"/>
        <v>216.16</v>
      </c>
    </row>
    <row r="245" spans="1:21" x14ac:dyDescent="0.25">
      <c r="A245" s="71">
        <f t="shared" si="62"/>
        <v>2023</v>
      </c>
      <c r="B245" s="72" t="str">
        <f t="shared" si="60"/>
        <v>JUNHO</v>
      </c>
      <c r="C245" s="73" t="str">
        <f t="shared" si="61"/>
        <v>SEXTA</v>
      </c>
      <c r="D245" s="74">
        <v>45093</v>
      </c>
      <c r="E245" s="89">
        <f t="shared" si="63"/>
        <v>7</v>
      </c>
      <c r="F245" s="90">
        <f t="shared" si="64"/>
        <v>7</v>
      </c>
      <c r="G245" s="91"/>
      <c r="H245" s="76">
        <f t="shared" si="65"/>
        <v>14</v>
      </c>
      <c r="I245" s="89">
        <f t="shared" si="66"/>
        <v>8</v>
      </c>
      <c r="J245" s="90">
        <f t="shared" si="67"/>
        <v>8</v>
      </c>
      <c r="K245" s="91">
        <f t="shared" si="68"/>
        <v>8</v>
      </c>
      <c r="L245" s="76">
        <f t="shared" si="69"/>
        <v>24</v>
      </c>
      <c r="N245" s="79">
        <f t="shared" si="71"/>
        <v>52.36</v>
      </c>
      <c r="O245" s="80">
        <f t="shared" si="72"/>
        <v>42</v>
      </c>
      <c r="P245" s="81">
        <f t="shared" si="73"/>
        <v>0</v>
      </c>
      <c r="Q245" s="79">
        <f t="shared" si="74"/>
        <v>59.84</v>
      </c>
      <c r="R245" s="80">
        <f t="shared" si="75"/>
        <v>48</v>
      </c>
      <c r="S245" s="81">
        <f t="shared" si="76"/>
        <v>68</v>
      </c>
      <c r="T245" s="92">
        <f t="shared" si="77"/>
        <v>270.2</v>
      </c>
      <c r="U245" s="93">
        <f t="shared" si="70"/>
        <v>216.16</v>
      </c>
    </row>
    <row r="246" spans="1:21" x14ac:dyDescent="0.25">
      <c r="A246" s="71">
        <f t="shared" si="62"/>
        <v>2023</v>
      </c>
      <c r="B246" s="72" t="str">
        <f t="shared" si="60"/>
        <v>JUNHO</v>
      </c>
      <c r="C246" s="73" t="str">
        <f t="shared" si="61"/>
        <v>SÁBADO</v>
      </c>
      <c r="D246" s="74">
        <v>45094</v>
      </c>
      <c r="E246" s="89">
        <f t="shared" si="63"/>
        <v>0</v>
      </c>
      <c r="F246" s="90">
        <f t="shared" si="64"/>
        <v>7</v>
      </c>
      <c r="G246" s="91"/>
      <c r="H246" s="76">
        <f t="shared" si="65"/>
        <v>7</v>
      </c>
      <c r="I246" s="89">
        <f t="shared" si="66"/>
        <v>0</v>
      </c>
      <c r="J246" s="90">
        <f t="shared" si="67"/>
        <v>8</v>
      </c>
      <c r="K246" s="91">
        <f t="shared" si="68"/>
        <v>0</v>
      </c>
      <c r="L246" s="76">
        <f t="shared" si="69"/>
        <v>8</v>
      </c>
      <c r="N246" s="79">
        <f t="shared" si="71"/>
        <v>0</v>
      </c>
      <c r="O246" s="80">
        <f t="shared" si="72"/>
        <v>42</v>
      </c>
      <c r="P246" s="81">
        <f t="shared" si="73"/>
        <v>0</v>
      </c>
      <c r="Q246" s="79">
        <f t="shared" si="74"/>
        <v>0</v>
      </c>
      <c r="R246" s="80">
        <f t="shared" si="75"/>
        <v>48</v>
      </c>
      <c r="S246" s="81">
        <f t="shared" si="76"/>
        <v>0</v>
      </c>
      <c r="T246" s="92">
        <f t="shared" si="77"/>
        <v>90</v>
      </c>
      <c r="U246" s="93">
        <f t="shared" si="70"/>
        <v>72</v>
      </c>
    </row>
    <row r="247" spans="1:21" x14ac:dyDescent="0.25">
      <c r="A247" s="71">
        <f t="shared" si="62"/>
        <v>2023</v>
      </c>
      <c r="B247" s="72" t="str">
        <f t="shared" si="60"/>
        <v>JUNHO</v>
      </c>
      <c r="C247" s="73" t="str">
        <f t="shared" si="61"/>
        <v>DOMINGO</v>
      </c>
      <c r="D247" s="74">
        <v>45095</v>
      </c>
      <c r="E247" s="89">
        <f t="shared" si="63"/>
        <v>0</v>
      </c>
      <c r="F247" s="90">
        <f t="shared" si="64"/>
        <v>0</v>
      </c>
      <c r="G247" s="91"/>
      <c r="H247" s="76">
        <f t="shared" si="65"/>
        <v>0</v>
      </c>
      <c r="I247" s="89">
        <f t="shared" si="66"/>
        <v>0</v>
      </c>
      <c r="J247" s="90">
        <f t="shared" si="67"/>
        <v>0</v>
      </c>
      <c r="K247" s="91">
        <f t="shared" si="68"/>
        <v>0</v>
      </c>
      <c r="L247" s="76">
        <f t="shared" si="69"/>
        <v>0</v>
      </c>
      <c r="N247" s="79">
        <f t="shared" si="71"/>
        <v>0</v>
      </c>
      <c r="O247" s="80">
        <f t="shared" si="72"/>
        <v>0</v>
      </c>
      <c r="P247" s="81">
        <f t="shared" si="73"/>
        <v>0</v>
      </c>
      <c r="Q247" s="79">
        <f t="shared" si="74"/>
        <v>0</v>
      </c>
      <c r="R247" s="80">
        <f t="shared" si="75"/>
        <v>0</v>
      </c>
      <c r="S247" s="81">
        <f t="shared" si="76"/>
        <v>0</v>
      </c>
      <c r="T247" s="92">
        <f t="shared" si="77"/>
        <v>0</v>
      </c>
      <c r="U247" s="93">
        <f t="shared" si="70"/>
        <v>0</v>
      </c>
    </row>
    <row r="248" spans="1:21" x14ac:dyDescent="0.25">
      <c r="A248" s="71">
        <f t="shared" si="62"/>
        <v>2023</v>
      </c>
      <c r="B248" s="72" t="str">
        <f t="shared" si="60"/>
        <v>JUNHO</v>
      </c>
      <c r="C248" s="73" t="str">
        <f t="shared" si="61"/>
        <v>SEGUNDA</v>
      </c>
      <c r="D248" s="74">
        <v>45096</v>
      </c>
      <c r="E248" s="89">
        <f t="shared" si="63"/>
        <v>7</v>
      </c>
      <c r="F248" s="90">
        <f t="shared" si="64"/>
        <v>7</v>
      </c>
      <c r="G248" s="91"/>
      <c r="H248" s="76">
        <f t="shared" si="65"/>
        <v>14</v>
      </c>
      <c r="I248" s="89">
        <f t="shared" si="66"/>
        <v>8</v>
      </c>
      <c r="J248" s="90">
        <f t="shared" si="67"/>
        <v>8</v>
      </c>
      <c r="K248" s="91">
        <f t="shared" si="68"/>
        <v>8</v>
      </c>
      <c r="L248" s="76">
        <f t="shared" si="69"/>
        <v>24</v>
      </c>
      <c r="N248" s="79">
        <f t="shared" si="71"/>
        <v>52.36</v>
      </c>
      <c r="O248" s="80">
        <f t="shared" si="72"/>
        <v>42</v>
      </c>
      <c r="P248" s="81">
        <f t="shared" si="73"/>
        <v>0</v>
      </c>
      <c r="Q248" s="79">
        <f t="shared" si="74"/>
        <v>59.84</v>
      </c>
      <c r="R248" s="80">
        <f t="shared" si="75"/>
        <v>48</v>
      </c>
      <c r="S248" s="81">
        <f t="shared" si="76"/>
        <v>68</v>
      </c>
      <c r="T248" s="92">
        <f t="shared" si="77"/>
        <v>270.2</v>
      </c>
      <c r="U248" s="93">
        <f t="shared" si="70"/>
        <v>216.16</v>
      </c>
    </row>
    <row r="249" spans="1:21" x14ac:dyDescent="0.25">
      <c r="A249" s="71">
        <f t="shared" si="62"/>
        <v>2023</v>
      </c>
      <c r="B249" s="72" t="str">
        <f t="shared" si="60"/>
        <v>JUNHO</v>
      </c>
      <c r="C249" s="73" t="str">
        <f t="shared" si="61"/>
        <v>TERÇA</v>
      </c>
      <c r="D249" s="74">
        <v>45097</v>
      </c>
      <c r="E249" s="89">
        <f t="shared" si="63"/>
        <v>7</v>
      </c>
      <c r="F249" s="90">
        <f t="shared" si="64"/>
        <v>7</v>
      </c>
      <c r="G249" s="91"/>
      <c r="H249" s="76">
        <f t="shared" si="65"/>
        <v>14</v>
      </c>
      <c r="I249" s="89">
        <f t="shared" si="66"/>
        <v>8</v>
      </c>
      <c r="J249" s="90">
        <f t="shared" si="67"/>
        <v>8</v>
      </c>
      <c r="K249" s="91">
        <f t="shared" si="68"/>
        <v>8</v>
      </c>
      <c r="L249" s="76">
        <f t="shared" si="69"/>
        <v>24</v>
      </c>
      <c r="N249" s="79">
        <f t="shared" si="71"/>
        <v>52.36</v>
      </c>
      <c r="O249" s="80">
        <f t="shared" si="72"/>
        <v>42</v>
      </c>
      <c r="P249" s="81">
        <f t="shared" si="73"/>
        <v>0</v>
      </c>
      <c r="Q249" s="79">
        <f t="shared" si="74"/>
        <v>59.84</v>
      </c>
      <c r="R249" s="80">
        <f t="shared" si="75"/>
        <v>48</v>
      </c>
      <c r="S249" s="81">
        <f t="shared" si="76"/>
        <v>68</v>
      </c>
      <c r="T249" s="92">
        <f t="shared" si="77"/>
        <v>270.2</v>
      </c>
      <c r="U249" s="93">
        <f t="shared" si="70"/>
        <v>216.16</v>
      </c>
    </row>
    <row r="250" spans="1:21" x14ac:dyDescent="0.25">
      <c r="A250" s="71">
        <f t="shared" si="62"/>
        <v>2023</v>
      </c>
      <c r="B250" s="72" t="str">
        <f t="shared" si="60"/>
        <v>JUNHO</v>
      </c>
      <c r="C250" s="73" t="str">
        <f t="shared" si="61"/>
        <v>QUARTA</v>
      </c>
      <c r="D250" s="74">
        <v>45098</v>
      </c>
      <c r="E250" s="89">
        <f t="shared" si="63"/>
        <v>7</v>
      </c>
      <c r="F250" s="90">
        <f t="shared" si="64"/>
        <v>7</v>
      </c>
      <c r="G250" s="91"/>
      <c r="H250" s="76">
        <f t="shared" si="65"/>
        <v>14</v>
      </c>
      <c r="I250" s="89">
        <f t="shared" si="66"/>
        <v>8</v>
      </c>
      <c r="J250" s="90">
        <f t="shared" si="67"/>
        <v>8</v>
      </c>
      <c r="K250" s="91">
        <f t="shared" si="68"/>
        <v>8</v>
      </c>
      <c r="L250" s="76">
        <f t="shared" si="69"/>
        <v>24</v>
      </c>
      <c r="N250" s="79">
        <f t="shared" si="71"/>
        <v>52.36</v>
      </c>
      <c r="O250" s="80">
        <f t="shared" si="72"/>
        <v>42</v>
      </c>
      <c r="P250" s="81">
        <f t="shared" si="73"/>
        <v>0</v>
      </c>
      <c r="Q250" s="79">
        <f t="shared" si="74"/>
        <v>59.84</v>
      </c>
      <c r="R250" s="80">
        <f t="shared" si="75"/>
        <v>48</v>
      </c>
      <c r="S250" s="81">
        <f t="shared" si="76"/>
        <v>68</v>
      </c>
      <c r="T250" s="92">
        <f t="shared" si="77"/>
        <v>270.2</v>
      </c>
      <c r="U250" s="93">
        <f t="shared" si="70"/>
        <v>216.16</v>
      </c>
    </row>
    <row r="251" spans="1:21" x14ac:dyDescent="0.25">
      <c r="A251" s="71">
        <f t="shared" si="62"/>
        <v>2023</v>
      </c>
      <c r="B251" s="72" t="str">
        <f t="shared" si="60"/>
        <v>JUNHO</v>
      </c>
      <c r="C251" s="73" t="str">
        <f t="shared" si="61"/>
        <v>QUINTA</v>
      </c>
      <c r="D251" s="74">
        <v>45099</v>
      </c>
      <c r="E251" s="89">
        <f t="shared" si="63"/>
        <v>7</v>
      </c>
      <c r="F251" s="90">
        <f t="shared" si="64"/>
        <v>7</v>
      </c>
      <c r="G251" s="91"/>
      <c r="H251" s="76">
        <f t="shared" si="65"/>
        <v>14</v>
      </c>
      <c r="I251" s="89">
        <f t="shared" si="66"/>
        <v>8</v>
      </c>
      <c r="J251" s="90">
        <f t="shared" si="67"/>
        <v>8</v>
      </c>
      <c r="K251" s="91">
        <f t="shared" si="68"/>
        <v>8</v>
      </c>
      <c r="L251" s="76">
        <f t="shared" si="69"/>
        <v>24</v>
      </c>
      <c r="N251" s="79">
        <f t="shared" si="71"/>
        <v>52.36</v>
      </c>
      <c r="O251" s="80">
        <f t="shared" si="72"/>
        <v>42</v>
      </c>
      <c r="P251" s="81">
        <f t="shared" si="73"/>
        <v>0</v>
      </c>
      <c r="Q251" s="79">
        <f t="shared" si="74"/>
        <v>59.84</v>
      </c>
      <c r="R251" s="80">
        <f t="shared" si="75"/>
        <v>48</v>
      </c>
      <c r="S251" s="81">
        <f t="shared" si="76"/>
        <v>68</v>
      </c>
      <c r="T251" s="92">
        <f t="shared" si="77"/>
        <v>270.2</v>
      </c>
      <c r="U251" s="93">
        <f t="shared" si="70"/>
        <v>216.16</v>
      </c>
    </row>
    <row r="252" spans="1:21" x14ac:dyDescent="0.25">
      <c r="A252" s="71">
        <f t="shared" si="62"/>
        <v>2023</v>
      </c>
      <c r="B252" s="72" t="str">
        <f t="shared" si="60"/>
        <v>JUNHO</v>
      </c>
      <c r="C252" s="73" t="str">
        <f t="shared" si="61"/>
        <v>SEXTA</v>
      </c>
      <c r="D252" s="74">
        <v>45100</v>
      </c>
      <c r="E252" s="89">
        <f t="shared" si="63"/>
        <v>7</v>
      </c>
      <c r="F252" s="90">
        <f t="shared" si="64"/>
        <v>7</v>
      </c>
      <c r="G252" s="91"/>
      <c r="H252" s="76">
        <f t="shared" si="65"/>
        <v>14</v>
      </c>
      <c r="I252" s="89">
        <f t="shared" si="66"/>
        <v>8</v>
      </c>
      <c r="J252" s="90">
        <f t="shared" si="67"/>
        <v>8</v>
      </c>
      <c r="K252" s="91">
        <f t="shared" si="68"/>
        <v>8</v>
      </c>
      <c r="L252" s="76">
        <f t="shared" si="69"/>
        <v>24</v>
      </c>
      <c r="N252" s="79">
        <f t="shared" si="71"/>
        <v>52.36</v>
      </c>
      <c r="O252" s="80">
        <f t="shared" si="72"/>
        <v>42</v>
      </c>
      <c r="P252" s="81">
        <f t="shared" si="73"/>
        <v>0</v>
      </c>
      <c r="Q252" s="79">
        <f t="shared" si="74"/>
        <v>59.84</v>
      </c>
      <c r="R252" s="80">
        <f t="shared" si="75"/>
        <v>48</v>
      </c>
      <c r="S252" s="81">
        <f t="shared" si="76"/>
        <v>68</v>
      </c>
      <c r="T252" s="92">
        <f t="shared" si="77"/>
        <v>270.2</v>
      </c>
      <c r="U252" s="93">
        <f t="shared" si="70"/>
        <v>216.16</v>
      </c>
    </row>
    <row r="253" spans="1:21" x14ac:dyDescent="0.25">
      <c r="A253" s="71">
        <f t="shared" si="62"/>
        <v>2023</v>
      </c>
      <c r="B253" s="72" t="str">
        <f t="shared" si="60"/>
        <v>JUNHO</v>
      </c>
      <c r="C253" s="73" t="str">
        <f t="shared" si="61"/>
        <v>SÁBADO</v>
      </c>
      <c r="D253" s="74">
        <v>45101</v>
      </c>
      <c r="E253" s="89">
        <f t="shared" si="63"/>
        <v>0</v>
      </c>
      <c r="F253" s="90">
        <f t="shared" si="64"/>
        <v>7</v>
      </c>
      <c r="G253" s="91"/>
      <c r="H253" s="76">
        <f t="shared" si="65"/>
        <v>7</v>
      </c>
      <c r="I253" s="89">
        <f t="shared" si="66"/>
        <v>0</v>
      </c>
      <c r="J253" s="90">
        <f t="shared" si="67"/>
        <v>8</v>
      </c>
      <c r="K253" s="91">
        <f t="shared" si="68"/>
        <v>0</v>
      </c>
      <c r="L253" s="76">
        <f t="shared" si="69"/>
        <v>8</v>
      </c>
      <c r="N253" s="79">
        <f t="shared" si="71"/>
        <v>0</v>
      </c>
      <c r="O253" s="80">
        <f t="shared" si="72"/>
        <v>42</v>
      </c>
      <c r="P253" s="81">
        <f t="shared" si="73"/>
        <v>0</v>
      </c>
      <c r="Q253" s="79">
        <f t="shared" si="74"/>
        <v>0</v>
      </c>
      <c r="R253" s="80">
        <f t="shared" si="75"/>
        <v>48</v>
      </c>
      <c r="S253" s="81">
        <f t="shared" si="76"/>
        <v>0</v>
      </c>
      <c r="T253" s="92">
        <f t="shared" si="77"/>
        <v>90</v>
      </c>
      <c r="U253" s="93">
        <f t="shared" si="70"/>
        <v>72</v>
      </c>
    </row>
    <row r="254" spans="1:21" x14ac:dyDescent="0.25">
      <c r="A254" s="71">
        <f t="shared" si="62"/>
        <v>2023</v>
      </c>
      <c r="B254" s="72" t="str">
        <f t="shared" si="60"/>
        <v>JUNHO</v>
      </c>
      <c r="C254" s="73" t="str">
        <f t="shared" si="61"/>
        <v>DOMINGO</v>
      </c>
      <c r="D254" s="74">
        <v>45102</v>
      </c>
      <c r="E254" s="89">
        <f t="shared" si="63"/>
        <v>0</v>
      </c>
      <c r="F254" s="90">
        <f t="shared" si="64"/>
        <v>0</v>
      </c>
      <c r="G254" s="91"/>
      <c r="H254" s="76">
        <f t="shared" si="65"/>
        <v>0</v>
      </c>
      <c r="I254" s="89">
        <f t="shared" si="66"/>
        <v>0</v>
      </c>
      <c r="J254" s="90">
        <f t="shared" si="67"/>
        <v>0</v>
      </c>
      <c r="K254" s="91">
        <f t="shared" si="68"/>
        <v>0</v>
      </c>
      <c r="L254" s="76">
        <f t="shared" si="69"/>
        <v>0</v>
      </c>
      <c r="N254" s="79">
        <f t="shared" si="71"/>
        <v>0</v>
      </c>
      <c r="O254" s="80">
        <f t="shared" si="72"/>
        <v>0</v>
      </c>
      <c r="P254" s="81">
        <f t="shared" si="73"/>
        <v>0</v>
      </c>
      <c r="Q254" s="79">
        <f t="shared" si="74"/>
        <v>0</v>
      </c>
      <c r="R254" s="80">
        <f t="shared" si="75"/>
        <v>0</v>
      </c>
      <c r="S254" s="81">
        <f t="shared" si="76"/>
        <v>0</v>
      </c>
      <c r="T254" s="92">
        <f t="shared" si="77"/>
        <v>0</v>
      </c>
      <c r="U254" s="93">
        <f t="shared" si="70"/>
        <v>0</v>
      </c>
    </row>
    <row r="255" spans="1:21" x14ac:dyDescent="0.25">
      <c r="A255" s="71">
        <f t="shared" si="62"/>
        <v>2023</v>
      </c>
      <c r="B255" s="72" t="str">
        <f t="shared" ref="B255:B318" si="78">VLOOKUP(MONTH(D255),$AG$2:$AH$14,2,0)</f>
        <v>JUNHO</v>
      </c>
      <c r="C255" s="73" t="str">
        <f t="shared" si="61"/>
        <v>SEGUNDA</v>
      </c>
      <c r="D255" s="74">
        <v>45103</v>
      </c>
      <c r="E255" s="89">
        <f t="shared" si="63"/>
        <v>7</v>
      </c>
      <c r="F255" s="90">
        <f t="shared" si="64"/>
        <v>7</v>
      </c>
      <c r="G255" s="91"/>
      <c r="H255" s="76">
        <f t="shared" si="65"/>
        <v>14</v>
      </c>
      <c r="I255" s="89">
        <f t="shared" si="66"/>
        <v>8</v>
      </c>
      <c r="J255" s="90">
        <f t="shared" si="67"/>
        <v>8</v>
      </c>
      <c r="K255" s="91">
        <f t="shared" si="68"/>
        <v>8</v>
      </c>
      <c r="L255" s="76">
        <f t="shared" si="69"/>
        <v>24</v>
      </c>
      <c r="N255" s="79">
        <f t="shared" si="71"/>
        <v>52.36</v>
      </c>
      <c r="O255" s="80">
        <f t="shared" si="72"/>
        <v>42</v>
      </c>
      <c r="P255" s="81">
        <f t="shared" si="73"/>
        <v>0</v>
      </c>
      <c r="Q255" s="79">
        <f t="shared" si="74"/>
        <v>59.84</v>
      </c>
      <c r="R255" s="80">
        <f t="shared" si="75"/>
        <v>48</v>
      </c>
      <c r="S255" s="81">
        <f t="shared" si="76"/>
        <v>68</v>
      </c>
      <c r="T255" s="92">
        <f t="shared" si="77"/>
        <v>270.2</v>
      </c>
      <c r="U255" s="93">
        <f t="shared" si="70"/>
        <v>216.16</v>
      </c>
    </row>
    <row r="256" spans="1:21" x14ac:dyDescent="0.25">
      <c r="A256" s="71">
        <f t="shared" si="62"/>
        <v>2023</v>
      </c>
      <c r="B256" s="72" t="str">
        <f t="shared" si="78"/>
        <v>JUNHO</v>
      </c>
      <c r="C256" s="73" t="str">
        <f t="shared" si="61"/>
        <v>TERÇA</v>
      </c>
      <c r="D256" s="74">
        <v>45104</v>
      </c>
      <c r="E256" s="89">
        <f t="shared" si="63"/>
        <v>7</v>
      </c>
      <c r="F256" s="90">
        <f t="shared" si="64"/>
        <v>7</v>
      </c>
      <c r="G256" s="91"/>
      <c r="H256" s="76">
        <f t="shared" si="65"/>
        <v>14</v>
      </c>
      <c r="I256" s="89">
        <f t="shared" si="66"/>
        <v>8</v>
      </c>
      <c r="J256" s="90">
        <f t="shared" si="67"/>
        <v>8</v>
      </c>
      <c r="K256" s="91">
        <f t="shared" si="68"/>
        <v>8</v>
      </c>
      <c r="L256" s="76">
        <f t="shared" si="69"/>
        <v>24</v>
      </c>
      <c r="N256" s="79">
        <f t="shared" si="71"/>
        <v>52.36</v>
      </c>
      <c r="O256" s="80">
        <f t="shared" si="72"/>
        <v>42</v>
      </c>
      <c r="P256" s="81">
        <f t="shared" si="73"/>
        <v>0</v>
      </c>
      <c r="Q256" s="79">
        <f t="shared" si="74"/>
        <v>59.84</v>
      </c>
      <c r="R256" s="80">
        <f t="shared" si="75"/>
        <v>48</v>
      </c>
      <c r="S256" s="81">
        <f t="shared" si="76"/>
        <v>68</v>
      </c>
      <c r="T256" s="92">
        <f t="shared" si="77"/>
        <v>270.2</v>
      </c>
      <c r="U256" s="93">
        <f t="shared" si="70"/>
        <v>216.16</v>
      </c>
    </row>
    <row r="257" spans="1:21" x14ac:dyDescent="0.25">
      <c r="A257" s="71">
        <f t="shared" si="62"/>
        <v>2023</v>
      </c>
      <c r="B257" s="72" t="str">
        <f t="shared" si="78"/>
        <v>JUNHO</v>
      </c>
      <c r="C257" s="73" t="str">
        <f t="shared" si="61"/>
        <v>QUARTA</v>
      </c>
      <c r="D257" s="74">
        <v>45105</v>
      </c>
      <c r="E257" s="89">
        <f t="shared" si="63"/>
        <v>7</v>
      </c>
      <c r="F257" s="90">
        <f t="shared" si="64"/>
        <v>7</v>
      </c>
      <c r="G257" s="91"/>
      <c r="H257" s="76">
        <f t="shared" si="65"/>
        <v>14</v>
      </c>
      <c r="I257" s="89">
        <f t="shared" si="66"/>
        <v>8</v>
      </c>
      <c r="J257" s="90">
        <f t="shared" si="67"/>
        <v>8</v>
      </c>
      <c r="K257" s="91">
        <f t="shared" si="68"/>
        <v>8</v>
      </c>
      <c r="L257" s="76">
        <f t="shared" si="69"/>
        <v>24</v>
      </c>
      <c r="N257" s="79">
        <f t="shared" si="71"/>
        <v>52.36</v>
      </c>
      <c r="O257" s="80">
        <f t="shared" si="72"/>
        <v>42</v>
      </c>
      <c r="P257" s="81">
        <f t="shared" si="73"/>
        <v>0</v>
      </c>
      <c r="Q257" s="79">
        <f t="shared" si="74"/>
        <v>59.84</v>
      </c>
      <c r="R257" s="80">
        <f t="shared" si="75"/>
        <v>48</v>
      </c>
      <c r="S257" s="81">
        <f t="shared" si="76"/>
        <v>68</v>
      </c>
      <c r="T257" s="92">
        <f t="shared" si="77"/>
        <v>270.2</v>
      </c>
      <c r="U257" s="93">
        <f t="shared" si="70"/>
        <v>216.16</v>
      </c>
    </row>
    <row r="258" spans="1:21" x14ac:dyDescent="0.25">
      <c r="A258" s="71">
        <f t="shared" si="62"/>
        <v>2023</v>
      </c>
      <c r="B258" s="72" t="str">
        <f t="shared" si="78"/>
        <v>JUNHO</v>
      </c>
      <c r="C258" s="73" t="str">
        <f t="shared" si="61"/>
        <v>QUINTA</v>
      </c>
      <c r="D258" s="74">
        <v>45106</v>
      </c>
      <c r="E258" s="89">
        <f t="shared" si="63"/>
        <v>7</v>
      </c>
      <c r="F258" s="90">
        <f t="shared" si="64"/>
        <v>7</v>
      </c>
      <c r="G258" s="91"/>
      <c r="H258" s="76">
        <f t="shared" si="65"/>
        <v>14</v>
      </c>
      <c r="I258" s="89">
        <f t="shared" si="66"/>
        <v>8</v>
      </c>
      <c r="J258" s="90">
        <f t="shared" si="67"/>
        <v>8</v>
      </c>
      <c r="K258" s="91">
        <f t="shared" si="68"/>
        <v>8</v>
      </c>
      <c r="L258" s="76">
        <f t="shared" si="69"/>
        <v>24</v>
      </c>
      <c r="N258" s="79">
        <f t="shared" si="71"/>
        <v>52.36</v>
      </c>
      <c r="O258" s="80">
        <f t="shared" si="72"/>
        <v>42</v>
      </c>
      <c r="P258" s="81">
        <f t="shared" si="73"/>
        <v>0</v>
      </c>
      <c r="Q258" s="79">
        <f t="shared" si="74"/>
        <v>59.84</v>
      </c>
      <c r="R258" s="80">
        <f t="shared" si="75"/>
        <v>48</v>
      </c>
      <c r="S258" s="81">
        <f t="shared" si="76"/>
        <v>68</v>
      </c>
      <c r="T258" s="92">
        <f t="shared" si="77"/>
        <v>270.2</v>
      </c>
      <c r="U258" s="93">
        <f t="shared" si="70"/>
        <v>216.16</v>
      </c>
    </row>
    <row r="259" spans="1:21" x14ac:dyDescent="0.25">
      <c r="A259" s="71">
        <f t="shared" si="62"/>
        <v>2023</v>
      </c>
      <c r="B259" s="72" t="str">
        <f t="shared" si="78"/>
        <v>JUNHO</v>
      </c>
      <c r="C259" s="73" t="str">
        <f t="shared" si="61"/>
        <v>SEXTA</v>
      </c>
      <c r="D259" s="74">
        <v>45107</v>
      </c>
      <c r="E259" s="89">
        <f t="shared" si="63"/>
        <v>7</v>
      </c>
      <c r="F259" s="90">
        <f t="shared" si="64"/>
        <v>7</v>
      </c>
      <c r="G259" s="91"/>
      <c r="H259" s="76">
        <f t="shared" si="65"/>
        <v>14</v>
      </c>
      <c r="I259" s="89">
        <f t="shared" si="66"/>
        <v>8</v>
      </c>
      <c r="J259" s="90">
        <f t="shared" si="67"/>
        <v>8</v>
      </c>
      <c r="K259" s="91">
        <f t="shared" si="68"/>
        <v>8</v>
      </c>
      <c r="L259" s="76">
        <f t="shared" si="69"/>
        <v>24</v>
      </c>
      <c r="N259" s="79">
        <f t="shared" si="71"/>
        <v>52.36</v>
      </c>
      <c r="O259" s="80">
        <f t="shared" si="72"/>
        <v>42</v>
      </c>
      <c r="P259" s="81">
        <f t="shared" si="73"/>
        <v>0</v>
      </c>
      <c r="Q259" s="79">
        <f t="shared" si="74"/>
        <v>59.84</v>
      </c>
      <c r="R259" s="80">
        <f t="shared" si="75"/>
        <v>48</v>
      </c>
      <c r="S259" s="81">
        <f t="shared" si="76"/>
        <v>68</v>
      </c>
      <c r="T259" s="92">
        <f t="shared" si="77"/>
        <v>270.2</v>
      </c>
      <c r="U259" s="93">
        <f t="shared" si="70"/>
        <v>216.16</v>
      </c>
    </row>
    <row r="260" spans="1:21" x14ac:dyDescent="0.25">
      <c r="A260" s="71">
        <f t="shared" si="62"/>
        <v>2023</v>
      </c>
      <c r="B260" s="72" t="str">
        <f t="shared" si="78"/>
        <v>JULHO</v>
      </c>
      <c r="C260" s="73" t="str">
        <f t="shared" si="61"/>
        <v>SÁBADO</v>
      </c>
      <c r="D260" s="74">
        <v>45108</v>
      </c>
      <c r="E260" s="89">
        <f t="shared" si="63"/>
        <v>0</v>
      </c>
      <c r="F260" s="90">
        <f t="shared" si="64"/>
        <v>7</v>
      </c>
      <c r="G260" s="91"/>
      <c r="H260" s="76">
        <f t="shared" si="65"/>
        <v>7</v>
      </c>
      <c r="I260" s="89">
        <f t="shared" si="66"/>
        <v>0</v>
      </c>
      <c r="J260" s="90">
        <f t="shared" si="67"/>
        <v>8</v>
      </c>
      <c r="K260" s="91">
        <f t="shared" si="68"/>
        <v>0</v>
      </c>
      <c r="L260" s="76">
        <f t="shared" si="69"/>
        <v>8</v>
      </c>
      <c r="N260" s="79">
        <f t="shared" si="71"/>
        <v>0</v>
      </c>
      <c r="O260" s="80">
        <f t="shared" si="72"/>
        <v>42</v>
      </c>
      <c r="P260" s="81">
        <f t="shared" si="73"/>
        <v>0</v>
      </c>
      <c r="Q260" s="79">
        <f t="shared" si="74"/>
        <v>0</v>
      </c>
      <c r="R260" s="80">
        <f t="shared" si="75"/>
        <v>48</v>
      </c>
      <c r="S260" s="81">
        <f t="shared" si="76"/>
        <v>0</v>
      </c>
      <c r="T260" s="92">
        <f t="shared" si="77"/>
        <v>90</v>
      </c>
      <c r="U260" s="93">
        <f t="shared" si="70"/>
        <v>72</v>
      </c>
    </row>
    <row r="261" spans="1:21" x14ac:dyDescent="0.25">
      <c r="A261" s="71">
        <f t="shared" si="62"/>
        <v>2023</v>
      </c>
      <c r="B261" s="72" t="str">
        <f t="shared" si="78"/>
        <v>JULHO</v>
      </c>
      <c r="C261" s="73" t="str">
        <f t="shared" ref="C261:C324" si="79">VLOOKUP(WEEKDAY(D261),$AE$2:$AF$9,2,0)</f>
        <v>DOMINGO</v>
      </c>
      <c r="D261" s="74">
        <v>45109</v>
      </c>
      <c r="E261" s="89">
        <f t="shared" si="63"/>
        <v>0</v>
      </c>
      <c r="F261" s="90">
        <f t="shared" si="64"/>
        <v>0</v>
      </c>
      <c r="G261" s="91"/>
      <c r="H261" s="76">
        <f t="shared" si="65"/>
        <v>0</v>
      </c>
      <c r="I261" s="89">
        <f t="shared" si="66"/>
        <v>0</v>
      </c>
      <c r="J261" s="90">
        <f t="shared" si="67"/>
        <v>0</v>
      </c>
      <c r="K261" s="91">
        <f t="shared" si="68"/>
        <v>0</v>
      </c>
      <c r="L261" s="76">
        <f t="shared" si="69"/>
        <v>0</v>
      </c>
      <c r="N261" s="79">
        <f t="shared" si="71"/>
        <v>0</v>
      </c>
      <c r="O261" s="80">
        <f t="shared" si="72"/>
        <v>0</v>
      </c>
      <c r="P261" s="81">
        <f t="shared" si="73"/>
        <v>0</v>
      </c>
      <c r="Q261" s="79">
        <f t="shared" si="74"/>
        <v>0</v>
      </c>
      <c r="R261" s="80">
        <f t="shared" si="75"/>
        <v>0</v>
      </c>
      <c r="S261" s="81">
        <f t="shared" si="76"/>
        <v>0</v>
      </c>
      <c r="T261" s="92">
        <f t="shared" si="77"/>
        <v>0</v>
      </c>
      <c r="U261" s="93">
        <f t="shared" si="70"/>
        <v>0</v>
      </c>
    </row>
    <row r="262" spans="1:21" x14ac:dyDescent="0.25">
      <c r="A262" s="71">
        <f t="shared" ref="A262:A325" si="80">YEAR(D262)</f>
        <v>2023</v>
      </c>
      <c r="B262" s="72" t="str">
        <f t="shared" si="78"/>
        <v>JULHO</v>
      </c>
      <c r="C262" s="73" t="str">
        <f t="shared" si="79"/>
        <v>SEGUNDA</v>
      </c>
      <c r="D262" s="74">
        <v>45110</v>
      </c>
      <c r="E262" s="89">
        <f t="shared" ref="E262:E325" si="81">IF(WEEKDAY($D262)&lt;2,0,IF(WEEKDAY($D262)&gt;6,0,7))</f>
        <v>7</v>
      </c>
      <c r="F262" s="90">
        <f t="shared" ref="F262:F325" si="82">IF(WEEKDAY($D262)&lt;2,0,IF(WEEKDAY($D262)&gt;7,0,7))</f>
        <v>7</v>
      </c>
      <c r="G262" s="91"/>
      <c r="H262" s="76">
        <f t="shared" ref="H262:H325" si="83">SUM(E262:G262)</f>
        <v>14</v>
      </c>
      <c r="I262" s="89">
        <f t="shared" si="66"/>
        <v>8</v>
      </c>
      <c r="J262" s="90">
        <f t="shared" si="67"/>
        <v>8</v>
      </c>
      <c r="K262" s="91">
        <f t="shared" si="68"/>
        <v>8</v>
      </c>
      <c r="L262" s="76">
        <f t="shared" si="69"/>
        <v>24</v>
      </c>
      <c r="N262" s="79">
        <f t="shared" si="71"/>
        <v>52.36</v>
      </c>
      <c r="O262" s="80">
        <f t="shared" si="72"/>
        <v>42</v>
      </c>
      <c r="P262" s="81">
        <f t="shared" si="73"/>
        <v>0</v>
      </c>
      <c r="Q262" s="79">
        <f t="shared" si="74"/>
        <v>59.84</v>
      </c>
      <c r="R262" s="80">
        <f t="shared" si="75"/>
        <v>48</v>
      </c>
      <c r="S262" s="81">
        <f t="shared" si="76"/>
        <v>68</v>
      </c>
      <c r="T262" s="92">
        <f t="shared" si="77"/>
        <v>270.2</v>
      </c>
      <c r="U262" s="93">
        <f t="shared" si="70"/>
        <v>216.16</v>
      </c>
    </row>
    <row r="263" spans="1:21" x14ac:dyDescent="0.25">
      <c r="A263" s="71">
        <f t="shared" si="80"/>
        <v>2023</v>
      </c>
      <c r="B263" s="72" t="str">
        <f t="shared" si="78"/>
        <v>JULHO</v>
      </c>
      <c r="C263" s="73" t="str">
        <f t="shared" si="79"/>
        <v>TERÇA</v>
      </c>
      <c r="D263" s="74">
        <v>45111</v>
      </c>
      <c r="E263" s="89">
        <f t="shared" si="81"/>
        <v>7</v>
      </c>
      <c r="F263" s="90">
        <f t="shared" si="82"/>
        <v>7</v>
      </c>
      <c r="G263" s="91"/>
      <c r="H263" s="76">
        <f t="shared" si="83"/>
        <v>14</v>
      </c>
      <c r="I263" s="89">
        <f t="shared" ref="I263:I326" si="84">IF(WEEKDAY($D263)&lt;2,0,IF(WEEKDAY($D263)&gt;6,0,8))</f>
        <v>8</v>
      </c>
      <c r="J263" s="90">
        <f t="shared" ref="J263:J326" si="85">IF(WEEKDAY($D263)&lt;2,0,IF(WEEKDAY($D263)&gt;7,0,8))</f>
        <v>8</v>
      </c>
      <c r="K263" s="91">
        <f t="shared" ref="K263:K326" si="86">IF(WEEKDAY($D263)&lt;2,0,IF(WEEKDAY($D263)&gt;6,0,8))</f>
        <v>8</v>
      </c>
      <c r="L263" s="76">
        <f t="shared" ref="L263:L326" si="87">SUM(I263:K263)</f>
        <v>24</v>
      </c>
      <c r="N263" s="79">
        <f t="shared" si="71"/>
        <v>52.36</v>
      </c>
      <c r="O263" s="80">
        <f t="shared" si="72"/>
        <v>42</v>
      </c>
      <c r="P263" s="81">
        <f t="shared" si="73"/>
        <v>0</v>
      </c>
      <c r="Q263" s="79">
        <f t="shared" si="74"/>
        <v>59.84</v>
      </c>
      <c r="R263" s="80">
        <f t="shared" si="75"/>
        <v>48</v>
      </c>
      <c r="S263" s="81">
        <f t="shared" si="76"/>
        <v>68</v>
      </c>
      <c r="T263" s="92">
        <f t="shared" si="77"/>
        <v>270.2</v>
      </c>
      <c r="U263" s="93">
        <f t="shared" ref="U263:U326" si="88">T263*0.8</f>
        <v>216.16</v>
      </c>
    </row>
    <row r="264" spans="1:21" x14ac:dyDescent="0.25">
      <c r="A264" s="71">
        <f t="shared" si="80"/>
        <v>2023</v>
      </c>
      <c r="B264" s="72" t="str">
        <f t="shared" si="78"/>
        <v>JULHO</v>
      </c>
      <c r="C264" s="73" t="str">
        <f t="shared" si="79"/>
        <v>QUARTA</v>
      </c>
      <c r="D264" s="74">
        <v>45112</v>
      </c>
      <c r="E264" s="89">
        <f t="shared" si="81"/>
        <v>7</v>
      </c>
      <c r="F264" s="90">
        <f t="shared" si="82"/>
        <v>7</v>
      </c>
      <c r="G264" s="91"/>
      <c r="H264" s="76">
        <f t="shared" si="83"/>
        <v>14</v>
      </c>
      <c r="I264" s="89">
        <f t="shared" si="84"/>
        <v>8</v>
      </c>
      <c r="J264" s="90">
        <f t="shared" si="85"/>
        <v>8</v>
      </c>
      <c r="K264" s="91">
        <f t="shared" si="86"/>
        <v>8</v>
      </c>
      <c r="L264" s="76">
        <f t="shared" si="87"/>
        <v>24</v>
      </c>
      <c r="N264" s="79">
        <f t="shared" si="71"/>
        <v>52.36</v>
      </c>
      <c r="O264" s="80">
        <f t="shared" si="72"/>
        <v>42</v>
      </c>
      <c r="P264" s="81">
        <f t="shared" si="73"/>
        <v>0</v>
      </c>
      <c r="Q264" s="79">
        <f t="shared" si="74"/>
        <v>59.84</v>
      </c>
      <c r="R264" s="80">
        <f t="shared" si="75"/>
        <v>48</v>
      </c>
      <c r="S264" s="81">
        <f t="shared" si="76"/>
        <v>68</v>
      </c>
      <c r="T264" s="92">
        <f t="shared" si="77"/>
        <v>270.2</v>
      </c>
      <c r="U264" s="93">
        <f t="shared" si="88"/>
        <v>216.16</v>
      </c>
    </row>
    <row r="265" spans="1:21" x14ac:dyDescent="0.25">
      <c r="A265" s="71">
        <f t="shared" si="80"/>
        <v>2023</v>
      </c>
      <c r="B265" s="72" t="str">
        <f t="shared" si="78"/>
        <v>JULHO</v>
      </c>
      <c r="C265" s="73" t="str">
        <f t="shared" si="79"/>
        <v>QUINTA</v>
      </c>
      <c r="D265" s="74">
        <v>45113</v>
      </c>
      <c r="E265" s="89">
        <f t="shared" si="81"/>
        <v>7</v>
      </c>
      <c r="F265" s="90">
        <f t="shared" si="82"/>
        <v>7</v>
      </c>
      <c r="G265" s="91"/>
      <c r="H265" s="76">
        <f t="shared" si="83"/>
        <v>14</v>
      </c>
      <c r="I265" s="89">
        <f t="shared" si="84"/>
        <v>8</v>
      </c>
      <c r="J265" s="90">
        <f t="shared" si="85"/>
        <v>8</v>
      </c>
      <c r="K265" s="91">
        <f t="shared" si="86"/>
        <v>8</v>
      </c>
      <c r="L265" s="76">
        <f t="shared" si="87"/>
        <v>24</v>
      </c>
      <c r="N265" s="79">
        <f t="shared" si="71"/>
        <v>52.36</v>
      </c>
      <c r="O265" s="80">
        <f t="shared" si="72"/>
        <v>42</v>
      </c>
      <c r="P265" s="81">
        <f t="shared" si="73"/>
        <v>0</v>
      </c>
      <c r="Q265" s="79">
        <f t="shared" si="74"/>
        <v>59.84</v>
      </c>
      <c r="R265" s="80">
        <f t="shared" si="75"/>
        <v>48</v>
      </c>
      <c r="S265" s="81">
        <f t="shared" si="76"/>
        <v>68</v>
      </c>
      <c r="T265" s="92">
        <f t="shared" si="77"/>
        <v>270.2</v>
      </c>
      <c r="U265" s="93">
        <f t="shared" si="88"/>
        <v>216.16</v>
      </c>
    </row>
    <row r="266" spans="1:21" x14ac:dyDescent="0.25">
      <c r="A266" s="71">
        <f t="shared" si="80"/>
        <v>2023</v>
      </c>
      <c r="B266" s="72" t="str">
        <f t="shared" si="78"/>
        <v>JULHO</v>
      </c>
      <c r="C266" s="73" t="str">
        <f t="shared" si="79"/>
        <v>SEXTA</v>
      </c>
      <c r="D266" s="74">
        <v>45114</v>
      </c>
      <c r="E266" s="89">
        <f t="shared" si="81"/>
        <v>7</v>
      </c>
      <c r="F266" s="90">
        <f t="shared" si="82"/>
        <v>7</v>
      </c>
      <c r="G266" s="91"/>
      <c r="H266" s="76">
        <f t="shared" si="83"/>
        <v>14</v>
      </c>
      <c r="I266" s="89">
        <f t="shared" si="84"/>
        <v>8</v>
      </c>
      <c r="J266" s="90">
        <f t="shared" si="85"/>
        <v>8</v>
      </c>
      <c r="K266" s="91">
        <f t="shared" si="86"/>
        <v>8</v>
      </c>
      <c r="L266" s="76">
        <f t="shared" si="87"/>
        <v>24</v>
      </c>
      <c r="N266" s="79">
        <f t="shared" si="71"/>
        <v>52.36</v>
      </c>
      <c r="O266" s="80">
        <f t="shared" si="72"/>
        <v>42</v>
      </c>
      <c r="P266" s="81">
        <f t="shared" si="73"/>
        <v>0</v>
      </c>
      <c r="Q266" s="79">
        <f t="shared" si="74"/>
        <v>59.84</v>
      </c>
      <c r="R266" s="80">
        <f t="shared" si="75"/>
        <v>48</v>
      </c>
      <c r="S266" s="81">
        <f t="shared" si="76"/>
        <v>68</v>
      </c>
      <c r="T266" s="92">
        <f t="shared" si="77"/>
        <v>270.2</v>
      </c>
      <c r="U266" s="93">
        <f t="shared" si="88"/>
        <v>216.16</v>
      </c>
    </row>
    <row r="267" spans="1:21" x14ac:dyDescent="0.25">
      <c r="A267" s="71">
        <f t="shared" si="80"/>
        <v>2023</v>
      </c>
      <c r="B267" s="72" t="str">
        <f t="shared" si="78"/>
        <v>JULHO</v>
      </c>
      <c r="C267" s="73" t="str">
        <f t="shared" si="79"/>
        <v>SÁBADO</v>
      </c>
      <c r="D267" s="74">
        <v>45115</v>
      </c>
      <c r="E267" s="89">
        <f t="shared" si="81"/>
        <v>0</v>
      </c>
      <c r="F267" s="90">
        <f t="shared" si="82"/>
        <v>7</v>
      </c>
      <c r="G267" s="91"/>
      <c r="H267" s="76">
        <f t="shared" si="83"/>
        <v>7</v>
      </c>
      <c r="I267" s="89">
        <f t="shared" si="84"/>
        <v>0</v>
      </c>
      <c r="J267" s="90">
        <f t="shared" si="85"/>
        <v>8</v>
      </c>
      <c r="K267" s="91">
        <f t="shared" si="86"/>
        <v>0</v>
      </c>
      <c r="L267" s="76">
        <f t="shared" si="87"/>
        <v>8</v>
      </c>
      <c r="N267" s="79">
        <f t="shared" si="71"/>
        <v>0</v>
      </c>
      <c r="O267" s="80">
        <f t="shared" si="72"/>
        <v>42</v>
      </c>
      <c r="P267" s="81">
        <f t="shared" si="73"/>
        <v>0</v>
      </c>
      <c r="Q267" s="79">
        <f t="shared" si="74"/>
        <v>0</v>
      </c>
      <c r="R267" s="80">
        <f t="shared" si="75"/>
        <v>48</v>
      </c>
      <c r="S267" s="81">
        <f t="shared" si="76"/>
        <v>0</v>
      </c>
      <c r="T267" s="92">
        <f t="shared" si="77"/>
        <v>90</v>
      </c>
      <c r="U267" s="93">
        <f t="shared" si="88"/>
        <v>72</v>
      </c>
    </row>
    <row r="268" spans="1:21" x14ac:dyDescent="0.25">
      <c r="A268" s="71">
        <f t="shared" si="80"/>
        <v>2023</v>
      </c>
      <c r="B268" s="72" t="str">
        <f t="shared" si="78"/>
        <v>JULHO</v>
      </c>
      <c r="C268" s="73" t="str">
        <f t="shared" si="79"/>
        <v>DOMINGO</v>
      </c>
      <c r="D268" s="74">
        <v>45116</v>
      </c>
      <c r="E268" s="89">
        <f t="shared" si="81"/>
        <v>0</v>
      </c>
      <c r="F268" s="90">
        <f t="shared" si="82"/>
        <v>0</v>
      </c>
      <c r="G268" s="91"/>
      <c r="H268" s="76">
        <f t="shared" si="83"/>
        <v>0</v>
      </c>
      <c r="I268" s="89">
        <f t="shared" si="84"/>
        <v>0</v>
      </c>
      <c r="J268" s="90">
        <f t="shared" si="85"/>
        <v>0</v>
      </c>
      <c r="K268" s="91">
        <f t="shared" si="86"/>
        <v>0</v>
      </c>
      <c r="L268" s="76">
        <f t="shared" si="87"/>
        <v>0</v>
      </c>
      <c r="N268" s="79">
        <f t="shared" si="71"/>
        <v>0</v>
      </c>
      <c r="O268" s="80">
        <f t="shared" si="72"/>
        <v>0</v>
      </c>
      <c r="P268" s="81">
        <f t="shared" si="73"/>
        <v>0</v>
      </c>
      <c r="Q268" s="79">
        <f t="shared" si="74"/>
        <v>0</v>
      </c>
      <c r="R268" s="80">
        <f t="shared" si="75"/>
        <v>0</v>
      </c>
      <c r="S268" s="81">
        <f t="shared" si="76"/>
        <v>0</v>
      </c>
      <c r="T268" s="92">
        <f t="shared" si="77"/>
        <v>0</v>
      </c>
      <c r="U268" s="93">
        <f t="shared" si="88"/>
        <v>0</v>
      </c>
    </row>
    <row r="269" spans="1:21" x14ac:dyDescent="0.25">
      <c r="A269" s="71">
        <f t="shared" si="80"/>
        <v>2023</v>
      </c>
      <c r="B269" s="72" t="str">
        <f t="shared" si="78"/>
        <v>JULHO</v>
      </c>
      <c r="C269" s="73" t="str">
        <f t="shared" si="79"/>
        <v>SEGUNDA</v>
      </c>
      <c r="D269" s="74">
        <v>45117</v>
      </c>
      <c r="E269" s="89">
        <f t="shared" si="81"/>
        <v>7</v>
      </c>
      <c r="F269" s="90">
        <f t="shared" si="82"/>
        <v>7</v>
      </c>
      <c r="G269" s="91"/>
      <c r="H269" s="76">
        <f t="shared" si="83"/>
        <v>14</v>
      </c>
      <c r="I269" s="89">
        <f t="shared" si="84"/>
        <v>8</v>
      </c>
      <c r="J269" s="90">
        <f t="shared" si="85"/>
        <v>8</v>
      </c>
      <c r="K269" s="91">
        <f t="shared" si="86"/>
        <v>8</v>
      </c>
      <c r="L269" s="76">
        <f t="shared" si="87"/>
        <v>24</v>
      </c>
      <c r="N269" s="79">
        <f t="shared" si="71"/>
        <v>52.36</v>
      </c>
      <c r="O269" s="80">
        <f t="shared" si="72"/>
        <v>42</v>
      </c>
      <c r="P269" s="81">
        <f t="shared" si="73"/>
        <v>0</v>
      </c>
      <c r="Q269" s="79">
        <f t="shared" si="74"/>
        <v>59.84</v>
      </c>
      <c r="R269" s="80">
        <f t="shared" si="75"/>
        <v>48</v>
      </c>
      <c r="S269" s="81">
        <f t="shared" si="76"/>
        <v>68</v>
      </c>
      <c r="T269" s="92">
        <f t="shared" si="77"/>
        <v>270.2</v>
      </c>
      <c r="U269" s="93">
        <f t="shared" si="88"/>
        <v>216.16</v>
      </c>
    </row>
    <row r="270" spans="1:21" x14ac:dyDescent="0.25">
      <c r="A270" s="71">
        <f t="shared" si="80"/>
        <v>2023</v>
      </c>
      <c r="B270" s="72" t="str">
        <f t="shared" si="78"/>
        <v>JULHO</v>
      </c>
      <c r="C270" s="73" t="str">
        <f t="shared" si="79"/>
        <v>TERÇA</v>
      </c>
      <c r="D270" s="74">
        <v>45118</v>
      </c>
      <c r="E270" s="89">
        <f t="shared" si="81"/>
        <v>7</v>
      </c>
      <c r="F270" s="90">
        <f t="shared" si="82"/>
        <v>7</v>
      </c>
      <c r="G270" s="91"/>
      <c r="H270" s="76">
        <f t="shared" si="83"/>
        <v>14</v>
      </c>
      <c r="I270" s="89">
        <f t="shared" si="84"/>
        <v>8</v>
      </c>
      <c r="J270" s="90">
        <f t="shared" si="85"/>
        <v>8</v>
      </c>
      <c r="K270" s="91">
        <f t="shared" si="86"/>
        <v>8</v>
      </c>
      <c r="L270" s="76">
        <f t="shared" si="87"/>
        <v>24</v>
      </c>
      <c r="N270" s="79">
        <f t="shared" si="71"/>
        <v>52.36</v>
      </c>
      <c r="O270" s="80">
        <f t="shared" si="72"/>
        <v>42</v>
      </c>
      <c r="P270" s="81">
        <f t="shared" si="73"/>
        <v>0</v>
      </c>
      <c r="Q270" s="79">
        <f t="shared" si="74"/>
        <v>59.84</v>
      </c>
      <c r="R270" s="80">
        <f t="shared" si="75"/>
        <v>48</v>
      </c>
      <c r="S270" s="81">
        <f t="shared" si="76"/>
        <v>68</v>
      </c>
      <c r="T270" s="92">
        <f t="shared" si="77"/>
        <v>270.2</v>
      </c>
      <c r="U270" s="93">
        <f t="shared" si="88"/>
        <v>216.16</v>
      </c>
    </row>
    <row r="271" spans="1:21" x14ac:dyDescent="0.25">
      <c r="A271" s="71">
        <f t="shared" si="80"/>
        <v>2023</v>
      </c>
      <c r="B271" s="72" t="str">
        <f t="shared" si="78"/>
        <v>JULHO</v>
      </c>
      <c r="C271" s="73" t="str">
        <f t="shared" si="79"/>
        <v>QUARTA</v>
      </c>
      <c r="D271" s="74">
        <v>45119</v>
      </c>
      <c r="E271" s="89">
        <f t="shared" si="81"/>
        <v>7</v>
      </c>
      <c r="F271" s="90">
        <f t="shared" si="82"/>
        <v>7</v>
      </c>
      <c r="G271" s="91"/>
      <c r="H271" s="76">
        <f t="shared" si="83"/>
        <v>14</v>
      </c>
      <c r="I271" s="89">
        <f t="shared" si="84"/>
        <v>8</v>
      </c>
      <c r="J271" s="90">
        <f t="shared" si="85"/>
        <v>8</v>
      </c>
      <c r="K271" s="91">
        <f t="shared" si="86"/>
        <v>8</v>
      </c>
      <c r="L271" s="76">
        <f t="shared" si="87"/>
        <v>24</v>
      </c>
      <c r="N271" s="79">
        <f t="shared" si="71"/>
        <v>52.36</v>
      </c>
      <c r="O271" s="80">
        <f t="shared" si="72"/>
        <v>42</v>
      </c>
      <c r="P271" s="81">
        <f t="shared" si="73"/>
        <v>0</v>
      </c>
      <c r="Q271" s="79">
        <f t="shared" si="74"/>
        <v>59.84</v>
      </c>
      <c r="R271" s="80">
        <f t="shared" si="75"/>
        <v>48</v>
      </c>
      <c r="S271" s="81">
        <f t="shared" si="76"/>
        <v>68</v>
      </c>
      <c r="T271" s="92">
        <f t="shared" si="77"/>
        <v>270.2</v>
      </c>
      <c r="U271" s="93">
        <f t="shared" si="88"/>
        <v>216.16</v>
      </c>
    </row>
    <row r="272" spans="1:21" x14ac:dyDescent="0.25">
      <c r="A272" s="71">
        <f t="shared" si="80"/>
        <v>2023</v>
      </c>
      <c r="B272" s="72" t="str">
        <f t="shared" si="78"/>
        <v>JULHO</v>
      </c>
      <c r="C272" s="73" t="str">
        <f t="shared" si="79"/>
        <v>QUINTA</v>
      </c>
      <c r="D272" s="74">
        <v>45120</v>
      </c>
      <c r="E272" s="89">
        <f t="shared" si="81"/>
        <v>7</v>
      </c>
      <c r="F272" s="90">
        <f t="shared" si="82"/>
        <v>7</v>
      </c>
      <c r="G272" s="91"/>
      <c r="H272" s="76">
        <f t="shared" si="83"/>
        <v>14</v>
      </c>
      <c r="I272" s="89">
        <f t="shared" si="84"/>
        <v>8</v>
      </c>
      <c r="J272" s="90">
        <f t="shared" si="85"/>
        <v>8</v>
      </c>
      <c r="K272" s="91">
        <f t="shared" si="86"/>
        <v>8</v>
      </c>
      <c r="L272" s="76">
        <f t="shared" si="87"/>
        <v>24</v>
      </c>
      <c r="N272" s="79">
        <f t="shared" si="71"/>
        <v>52.36</v>
      </c>
      <c r="O272" s="80">
        <f t="shared" si="72"/>
        <v>42</v>
      </c>
      <c r="P272" s="81">
        <f t="shared" si="73"/>
        <v>0</v>
      </c>
      <c r="Q272" s="79">
        <f t="shared" si="74"/>
        <v>59.84</v>
      </c>
      <c r="R272" s="80">
        <f t="shared" si="75"/>
        <v>48</v>
      </c>
      <c r="S272" s="81">
        <f t="shared" si="76"/>
        <v>68</v>
      </c>
      <c r="T272" s="92">
        <f t="shared" si="77"/>
        <v>270.2</v>
      </c>
      <c r="U272" s="93">
        <f t="shared" si="88"/>
        <v>216.16</v>
      </c>
    </row>
    <row r="273" spans="1:21" x14ac:dyDescent="0.25">
      <c r="A273" s="71">
        <f t="shared" si="80"/>
        <v>2023</v>
      </c>
      <c r="B273" s="72" t="str">
        <f t="shared" si="78"/>
        <v>JULHO</v>
      </c>
      <c r="C273" s="73" t="str">
        <f t="shared" si="79"/>
        <v>SEXTA</v>
      </c>
      <c r="D273" s="74">
        <v>45121</v>
      </c>
      <c r="E273" s="89">
        <f t="shared" si="81"/>
        <v>7</v>
      </c>
      <c r="F273" s="90">
        <f t="shared" si="82"/>
        <v>7</v>
      </c>
      <c r="G273" s="91"/>
      <c r="H273" s="76">
        <f t="shared" si="83"/>
        <v>14</v>
      </c>
      <c r="I273" s="89">
        <f t="shared" si="84"/>
        <v>8</v>
      </c>
      <c r="J273" s="90">
        <f t="shared" si="85"/>
        <v>8</v>
      </c>
      <c r="K273" s="91">
        <f t="shared" si="86"/>
        <v>8</v>
      </c>
      <c r="L273" s="76">
        <f t="shared" si="87"/>
        <v>24</v>
      </c>
      <c r="N273" s="79">
        <f t="shared" si="71"/>
        <v>52.36</v>
      </c>
      <c r="O273" s="80">
        <f t="shared" si="72"/>
        <v>42</v>
      </c>
      <c r="P273" s="81">
        <f t="shared" si="73"/>
        <v>0</v>
      </c>
      <c r="Q273" s="79">
        <f t="shared" si="74"/>
        <v>59.84</v>
      </c>
      <c r="R273" s="80">
        <f t="shared" si="75"/>
        <v>48</v>
      </c>
      <c r="S273" s="81">
        <f t="shared" si="76"/>
        <v>68</v>
      </c>
      <c r="T273" s="92">
        <f t="shared" si="77"/>
        <v>270.2</v>
      </c>
      <c r="U273" s="93">
        <f t="shared" si="88"/>
        <v>216.16</v>
      </c>
    </row>
    <row r="274" spans="1:21" x14ac:dyDescent="0.25">
      <c r="A274" s="71">
        <f t="shared" si="80"/>
        <v>2023</v>
      </c>
      <c r="B274" s="72" t="str">
        <f t="shared" si="78"/>
        <v>JULHO</v>
      </c>
      <c r="C274" s="73" t="str">
        <f t="shared" si="79"/>
        <v>SÁBADO</v>
      </c>
      <c r="D274" s="74">
        <v>45122</v>
      </c>
      <c r="E274" s="89">
        <f t="shared" si="81"/>
        <v>0</v>
      </c>
      <c r="F274" s="90">
        <f t="shared" si="82"/>
        <v>7</v>
      </c>
      <c r="G274" s="91"/>
      <c r="H274" s="76">
        <f t="shared" si="83"/>
        <v>7</v>
      </c>
      <c r="I274" s="89">
        <f t="shared" si="84"/>
        <v>0</v>
      </c>
      <c r="J274" s="90">
        <f t="shared" si="85"/>
        <v>8</v>
      </c>
      <c r="K274" s="91">
        <f t="shared" si="86"/>
        <v>0</v>
      </c>
      <c r="L274" s="76">
        <f t="shared" si="87"/>
        <v>8</v>
      </c>
      <c r="N274" s="79">
        <f t="shared" si="71"/>
        <v>0</v>
      </c>
      <c r="O274" s="80">
        <f t="shared" si="72"/>
        <v>42</v>
      </c>
      <c r="P274" s="81">
        <f t="shared" si="73"/>
        <v>0</v>
      </c>
      <c r="Q274" s="79">
        <f t="shared" si="74"/>
        <v>0</v>
      </c>
      <c r="R274" s="80">
        <f t="shared" si="75"/>
        <v>48</v>
      </c>
      <c r="S274" s="81">
        <f t="shared" si="76"/>
        <v>0</v>
      </c>
      <c r="T274" s="92">
        <f t="shared" si="77"/>
        <v>90</v>
      </c>
      <c r="U274" s="93">
        <f t="shared" si="88"/>
        <v>72</v>
      </c>
    </row>
    <row r="275" spans="1:21" x14ac:dyDescent="0.25">
      <c r="A275" s="71">
        <f t="shared" si="80"/>
        <v>2023</v>
      </c>
      <c r="B275" s="72" t="str">
        <f t="shared" si="78"/>
        <v>JULHO</v>
      </c>
      <c r="C275" s="73" t="str">
        <f t="shared" si="79"/>
        <v>DOMINGO</v>
      </c>
      <c r="D275" s="74">
        <v>45123</v>
      </c>
      <c r="E275" s="89">
        <f t="shared" si="81"/>
        <v>0</v>
      </c>
      <c r="F275" s="90">
        <f t="shared" si="82"/>
        <v>0</v>
      </c>
      <c r="G275" s="91"/>
      <c r="H275" s="76">
        <f t="shared" si="83"/>
        <v>0</v>
      </c>
      <c r="I275" s="89">
        <f t="shared" si="84"/>
        <v>0</v>
      </c>
      <c r="J275" s="90">
        <f t="shared" si="85"/>
        <v>0</v>
      </c>
      <c r="K275" s="91">
        <f t="shared" si="86"/>
        <v>0</v>
      </c>
      <c r="L275" s="76">
        <f t="shared" si="87"/>
        <v>0</v>
      </c>
      <c r="N275" s="79">
        <f t="shared" si="71"/>
        <v>0</v>
      </c>
      <c r="O275" s="80">
        <f t="shared" si="72"/>
        <v>0</v>
      </c>
      <c r="P275" s="81">
        <f t="shared" si="73"/>
        <v>0</v>
      </c>
      <c r="Q275" s="79">
        <f t="shared" si="74"/>
        <v>0</v>
      </c>
      <c r="R275" s="80">
        <f t="shared" si="75"/>
        <v>0</v>
      </c>
      <c r="S275" s="81">
        <f t="shared" si="76"/>
        <v>0</v>
      </c>
      <c r="T275" s="92">
        <f t="shared" si="77"/>
        <v>0</v>
      </c>
      <c r="U275" s="93">
        <f t="shared" si="88"/>
        <v>0</v>
      </c>
    </row>
    <row r="276" spans="1:21" x14ac:dyDescent="0.25">
      <c r="A276" s="71">
        <f t="shared" si="80"/>
        <v>2023</v>
      </c>
      <c r="B276" s="72" t="str">
        <f t="shared" si="78"/>
        <v>JULHO</v>
      </c>
      <c r="C276" s="73" t="str">
        <f t="shared" si="79"/>
        <v>SEGUNDA</v>
      </c>
      <c r="D276" s="74">
        <v>45124</v>
      </c>
      <c r="E276" s="89">
        <f t="shared" si="81"/>
        <v>7</v>
      </c>
      <c r="F276" s="90">
        <f t="shared" si="82"/>
        <v>7</v>
      </c>
      <c r="G276" s="91"/>
      <c r="H276" s="76">
        <f t="shared" si="83"/>
        <v>14</v>
      </c>
      <c r="I276" s="89">
        <f t="shared" si="84"/>
        <v>8</v>
      </c>
      <c r="J276" s="90">
        <f t="shared" si="85"/>
        <v>8</v>
      </c>
      <c r="K276" s="91">
        <f t="shared" si="86"/>
        <v>8</v>
      </c>
      <c r="L276" s="76">
        <f t="shared" si="87"/>
        <v>24</v>
      </c>
      <c r="N276" s="79">
        <f t="shared" si="71"/>
        <v>52.36</v>
      </c>
      <c r="O276" s="80">
        <f t="shared" si="72"/>
        <v>42</v>
      </c>
      <c r="P276" s="81">
        <f t="shared" si="73"/>
        <v>0</v>
      </c>
      <c r="Q276" s="79">
        <f t="shared" si="74"/>
        <v>59.84</v>
      </c>
      <c r="R276" s="80">
        <f t="shared" si="75"/>
        <v>48</v>
      </c>
      <c r="S276" s="81">
        <f t="shared" si="76"/>
        <v>68</v>
      </c>
      <c r="T276" s="92">
        <f t="shared" si="77"/>
        <v>270.2</v>
      </c>
      <c r="U276" s="93">
        <f t="shared" si="88"/>
        <v>216.16</v>
      </c>
    </row>
    <row r="277" spans="1:21" x14ac:dyDescent="0.25">
      <c r="A277" s="71">
        <f t="shared" si="80"/>
        <v>2023</v>
      </c>
      <c r="B277" s="72" t="str">
        <f t="shared" si="78"/>
        <v>JULHO</v>
      </c>
      <c r="C277" s="73" t="str">
        <f t="shared" si="79"/>
        <v>TERÇA</v>
      </c>
      <c r="D277" s="74">
        <v>45125</v>
      </c>
      <c r="E277" s="89">
        <f t="shared" si="81"/>
        <v>7</v>
      </c>
      <c r="F277" s="90">
        <f t="shared" si="82"/>
        <v>7</v>
      </c>
      <c r="G277" s="91"/>
      <c r="H277" s="76">
        <f t="shared" si="83"/>
        <v>14</v>
      </c>
      <c r="I277" s="89">
        <f t="shared" si="84"/>
        <v>8</v>
      </c>
      <c r="J277" s="90">
        <f t="shared" si="85"/>
        <v>8</v>
      </c>
      <c r="K277" s="91">
        <f t="shared" si="86"/>
        <v>8</v>
      </c>
      <c r="L277" s="76">
        <f t="shared" si="87"/>
        <v>24</v>
      </c>
      <c r="N277" s="79">
        <f t="shared" si="71"/>
        <v>52.36</v>
      </c>
      <c r="O277" s="80">
        <f t="shared" si="72"/>
        <v>42</v>
      </c>
      <c r="P277" s="81">
        <f t="shared" si="73"/>
        <v>0</v>
      </c>
      <c r="Q277" s="79">
        <f t="shared" si="74"/>
        <v>59.84</v>
      </c>
      <c r="R277" s="80">
        <f t="shared" si="75"/>
        <v>48</v>
      </c>
      <c r="S277" s="81">
        <f t="shared" si="76"/>
        <v>68</v>
      </c>
      <c r="T277" s="92">
        <f t="shared" si="77"/>
        <v>270.2</v>
      </c>
      <c r="U277" s="93">
        <f t="shared" si="88"/>
        <v>216.16</v>
      </c>
    </row>
    <row r="278" spans="1:21" x14ac:dyDescent="0.25">
      <c r="A278" s="71">
        <f t="shared" si="80"/>
        <v>2023</v>
      </c>
      <c r="B278" s="72" t="str">
        <f t="shared" si="78"/>
        <v>JULHO</v>
      </c>
      <c r="C278" s="73" t="str">
        <f t="shared" si="79"/>
        <v>QUARTA</v>
      </c>
      <c r="D278" s="74">
        <v>45126</v>
      </c>
      <c r="E278" s="89">
        <f t="shared" si="81"/>
        <v>7</v>
      </c>
      <c r="F278" s="90">
        <f t="shared" si="82"/>
        <v>7</v>
      </c>
      <c r="G278" s="91"/>
      <c r="H278" s="76">
        <f t="shared" si="83"/>
        <v>14</v>
      </c>
      <c r="I278" s="89">
        <f t="shared" si="84"/>
        <v>8</v>
      </c>
      <c r="J278" s="90">
        <f t="shared" si="85"/>
        <v>8</v>
      </c>
      <c r="K278" s="91">
        <f t="shared" si="86"/>
        <v>8</v>
      </c>
      <c r="L278" s="76">
        <f t="shared" si="87"/>
        <v>24</v>
      </c>
      <c r="N278" s="79">
        <f t="shared" si="71"/>
        <v>52.36</v>
      </c>
      <c r="O278" s="80">
        <f t="shared" si="72"/>
        <v>42</v>
      </c>
      <c r="P278" s="81">
        <f t="shared" si="73"/>
        <v>0</v>
      </c>
      <c r="Q278" s="79">
        <f t="shared" si="74"/>
        <v>59.84</v>
      </c>
      <c r="R278" s="80">
        <f t="shared" si="75"/>
        <v>48</v>
      </c>
      <c r="S278" s="81">
        <f t="shared" si="76"/>
        <v>68</v>
      </c>
      <c r="T278" s="92">
        <f t="shared" si="77"/>
        <v>270.2</v>
      </c>
      <c r="U278" s="93">
        <f t="shared" si="88"/>
        <v>216.16</v>
      </c>
    </row>
    <row r="279" spans="1:21" x14ac:dyDescent="0.25">
      <c r="A279" s="71">
        <f t="shared" si="80"/>
        <v>2023</v>
      </c>
      <c r="B279" s="72" t="str">
        <f t="shared" si="78"/>
        <v>JULHO</v>
      </c>
      <c r="C279" s="73" t="str">
        <f t="shared" si="79"/>
        <v>QUINTA</v>
      </c>
      <c r="D279" s="74">
        <v>45127</v>
      </c>
      <c r="E279" s="89">
        <f t="shared" si="81"/>
        <v>7</v>
      </c>
      <c r="F279" s="90">
        <f t="shared" si="82"/>
        <v>7</v>
      </c>
      <c r="G279" s="91"/>
      <c r="H279" s="76">
        <f t="shared" si="83"/>
        <v>14</v>
      </c>
      <c r="I279" s="89">
        <f t="shared" si="84"/>
        <v>8</v>
      </c>
      <c r="J279" s="90">
        <f t="shared" si="85"/>
        <v>8</v>
      </c>
      <c r="K279" s="91">
        <f t="shared" si="86"/>
        <v>8</v>
      </c>
      <c r="L279" s="76">
        <f t="shared" si="87"/>
        <v>24</v>
      </c>
      <c r="N279" s="79">
        <f t="shared" si="71"/>
        <v>52.36</v>
      </c>
      <c r="O279" s="80">
        <f t="shared" si="72"/>
        <v>42</v>
      </c>
      <c r="P279" s="81">
        <f t="shared" si="73"/>
        <v>0</v>
      </c>
      <c r="Q279" s="79">
        <f t="shared" si="74"/>
        <v>59.84</v>
      </c>
      <c r="R279" s="80">
        <f t="shared" si="75"/>
        <v>48</v>
      </c>
      <c r="S279" s="81">
        <f t="shared" si="76"/>
        <v>68</v>
      </c>
      <c r="T279" s="92">
        <f t="shared" si="77"/>
        <v>270.2</v>
      </c>
      <c r="U279" s="93">
        <f t="shared" si="88"/>
        <v>216.16</v>
      </c>
    </row>
    <row r="280" spans="1:21" x14ac:dyDescent="0.25">
      <c r="A280" s="71">
        <f t="shared" si="80"/>
        <v>2023</v>
      </c>
      <c r="B280" s="72" t="str">
        <f t="shared" si="78"/>
        <v>JULHO</v>
      </c>
      <c r="C280" s="73" t="str">
        <f t="shared" si="79"/>
        <v>SEXTA</v>
      </c>
      <c r="D280" s="74">
        <v>45128</v>
      </c>
      <c r="E280" s="89">
        <f t="shared" si="81"/>
        <v>7</v>
      </c>
      <c r="F280" s="90">
        <f t="shared" si="82"/>
        <v>7</v>
      </c>
      <c r="G280" s="91"/>
      <c r="H280" s="76">
        <f t="shared" si="83"/>
        <v>14</v>
      </c>
      <c r="I280" s="89">
        <f t="shared" si="84"/>
        <v>8</v>
      </c>
      <c r="J280" s="90">
        <f t="shared" si="85"/>
        <v>8</v>
      </c>
      <c r="K280" s="91">
        <f t="shared" si="86"/>
        <v>8</v>
      </c>
      <c r="L280" s="76">
        <f t="shared" si="87"/>
        <v>24</v>
      </c>
      <c r="N280" s="79">
        <f t="shared" si="71"/>
        <v>52.36</v>
      </c>
      <c r="O280" s="80">
        <f t="shared" si="72"/>
        <v>42</v>
      </c>
      <c r="P280" s="81">
        <f t="shared" si="73"/>
        <v>0</v>
      </c>
      <c r="Q280" s="79">
        <f t="shared" si="74"/>
        <v>59.84</v>
      </c>
      <c r="R280" s="80">
        <f t="shared" si="75"/>
        <v>48</v>
      </c>
      <c r="S280" s="81">
        <f t="shared" si="76"/>
        <v>68</v>
      </c>
      <c r="T280" s="92">
        <f t="shared" si="77"/>
        <v>270.2</v>
      </c>
      <c r="U280" s="93">
        <f t="shared" si="88"/>
        <v>216.16</v>
      </c>
    </row>
    <row r="281" spans="1:21" x14ac:dyDescent="0.25">
      <c r="A281" s="71">
        <f t="shared" si="80"/>
        <v>2023</v>
      </c>
      <c r="B281" s="72" t="str">
        <f t="shared" si="78"/>
        <v>JULHO</v>
      </c>
      <c r="C281" s="73" t="str">
        <f t="shared" si="79"/>
        <v>SÁBADO</v>
      </c>
      <c r="D281" s="74">
        <v>45129</v>
      </c>
      <c r="E281" s="89">
        <f t="shared" si="81"/>
        <v>0</v>
      </c>
      <c r="F281" s="90">
        <f t="shared" si="82"/>
        <v>7</v>
      </c>
      <c r="G281" s="91"/>
      <c r="H281" s="76">
        <f t="shared" si="83"/>
        <v>7</v>
      </c>
      <c r="I281" s="89">
        <f t="shared" si="84"/>
        <v>0</v>
      </c>
      <c r="J281" s="90">
        <f t="shared" si="85"/>
        <v>8</v>
      </c>
      <c r="K281" s="91">
        <f t="shared" si="86"/>
        <v>0</v>
      </c>
      <c r="L281" s="76">
        <f t="shared" si="87"/>
        <v>8</v>
      </c>
      <c r="N281" s="79">
        <f t="shared" si="71"/>
        <v>0</v>
      </c>
      <c r="O281" s="80">
        <f t="shared" si="72"/>
        <v>42</v>
      </c>
      <c r="P281" s="81">
        <f t="shared" si="73"/>
        <v>0</v>
      </c>
      <c r="Q281" s="79">
        <f t="shared" si="74"/>
        <v>0</v>
      </c>
      <c r="R281" s="80">
        <f t="shared" si="75"/>
        <v>48</v>
      </c>
      <c r="S281" s="81">
        <f t="shared" si="76"/>
        <v>0</v>
      </c>
      <c r="T281" s="92">
        <f t="shared" si="77"/>
        <v>90</v>
      </c>
      <c r="U281" s="93">
        <f t="shared" si="88"/>
        <v>72</v>
      </c>
    </row>
    <row r="282" spans="1:21" x14ac:dyDescent="0.25">
      <c r="A282" s="71">
        <f t="shared" si="80"/>
        <v>2023</v>
      </c>
      <c r="B282" s="72" t="str">
        <f t="shared" si="78"/>
        <v>JULHO</v>
      </c>
      <c r="C282" s="73" t="str">
        <f t="shared" si="79"/>
        <v>DOMINGO</v>
      </c>
      <c r="D282" s="74">
        <v>45130</v>
      </c>
      <c r="E282" s="89">
        <f t="shared" si="81"/>
        <v>0</v>
      </c>
      <c r="F282" s="90">
        <f t="shared" si="82"/>
        <v>0</v>
      </c>
      <c r="G282" s="91"/>
      <c r="H282" s="76">
        <f t="shared" si="83"/>
        <v>0</v>
      </c>
      <c r="I282" s="89">
        <f t="shared" si="84"/>
        <v>0</v>
      </c>
      <c r="J282" s="90">
        <f t="shared" si="85"/>
        <v>0</v>
      </c>
      <c r="K282" s="91">
        <f t="shared" si="86"/>
        <v>0</v>
      </c>
      <c r="L282" s="76">
        <f t="shared" si="87"/>
        <v>0</v>
      </c>
      <c r="N282" s="79">
        <f t="shared" si="71"/>
        <v>0</v>
      </c>
      <c r="O282" s="80">
        <f t="shared" si="72"/>
        <v>0</v>
      </c>
      <c r="P282" s="81">
        <f t="shared" si="73"/>
        <v>0</v>
      </c>
      <c r="Q282" s="79">
        <f t="shared" si="74"/>
        <v>0</v>
      </c>
      <c r="R282" s="80">
        <f t="shared" si="75"/>
        <v>0</v>
      </c>
      <c r="S282" s="81">
        <f t="shared" si="76"/>
        <v>0</v>
      </c>
      <c r="T282" s="92">
        <f t="shared" si="77"/>
        <v>0</v>
      </c>
      <c r="U282" s="93">
        <f t="shared" si="88"/>
        <v>0</v>
      </c>
    </row>
    <row r="283" spans="1:21" x14ac:dyDescent="0.25">
      <c r="A283" s="71">
        <f t="shared" si="80"/>
        <v>2023</v>
      </c>
      <c r="B283" s="72" t="str">
        <f t="shared" si="78"/>
        <v>JULHO</v>
      </c>
      <c r="C283" s="73" t="str">
        <f t="shared" si="79"/>
        <v>SEGUNDA</v>
      </c>
      <c r="D283" s="74">
        <v>45131</v>
      </c>
      <c r="E283" s="89">
        <f t="shared" si="81"/>
        <v>7</v>
      </c>
      <c r="F283" s="90">
        <f t="shared" si="82"/>
        <v>7</v>
      </c>
      <c r="G283" s="91"/>
      <c r="H283" s="76">
        <f t="shared" si="83"/>
        <v>14</v>
      </c>
      <c r="I283" s="89">
        <f t="shared" si="84"/>
        <v>8</v>
      </c>
      <c r="J283" s="90">
        <f t="shared" si="85"/>
        <v>8</v>
      </c>
      <c r="K283" s="91">
        <f t="shared" si="86"/>
        <v>8</v>
      </c>
      <c r="L283" s="76">
        <f t="shared" si="87"/>
        <v>24</v>
      </c>
      <c r="N283" s="79">
        <f t="shared" si="71"/>
        <v>52.36</v>
      </c>
      <c r="O283" s="80">
        <f t="shared" si="72"/>
        <v>42</v>
      </c>
      <c r="P283" s="81">
        <f t="shared" si="73"/>
        <v>0</v>
      </c>
      <c r="Q283" s="79">
        <f t="shared" si="74"/>
        <v>59.84</v>
      </c>
      <c r="R283" s="80">
        <f t="shared" si="75"/>
        <v>48</v>
      </c>
      <c r="S283" s="81">
        <f t="shared" si="76"/>
        <v>68</v>
      </c>
      <c r="T283" s="92">
        <f t="shared" si="77"/>
        <v>270.2</v>
      </c>
      <c r="U283" s="93">
        <f t="shared" si="88"/>
        <v>216.16</v>
      </c>
    </row>
    <row r="284" spans="1:21" x14ac:dyDescent="0.25">
      <c r="A284" s="71">
        <f t="shared" si="80"/>
        <v>2023</v>
      </c>
      <c r="B284" s="72" t="str">
        <f t="shared" si="78"/>
        <v>JULHO</v>
      </c>
      <c r="C284" s="73" t="str">
        <f t="shared" si="79"/>
        <v>TERÇA</v>
      </c>
      <c r="D284" s="74">
        <v>45132</v>
      </c>
      <c r="E284" s="89">
        <f t="shared" si="81"/>
        <v>7</v>
      </c>
      <c r="F284" s="90">
        <f t="shared" si="82"/>
        <v>7</v>
      </c>
      <c r="G284" s="91"/>
      <c r="H284" s="76">
        <f t="shared" si="83"/>
        <v>14</v>
      </c>
      <c r="I284" s="89">
        <f t="shared" si="84"/>
        <v>8</v>
      </c>
      <c r="J284" s="90">
        <f t="shared" si="85"/>
        <v>8</v>
      </c>
      <c r="K284" s="91">
        <f t="shared" si="86"/>
        <v>8</v>
      </c>
      <c r="L284" s="76">
        <f t="shared" si="87"/>
        <v>24</v>
      </c>
      <c r="N284" s="79">
        <f t="shared" ref="N284:N347" si="89">E284*7.48</f>
        <v>52.36</v>
      </c>
      <c r="O284" s="80">
        <f t="shared" ref="O284:O347" si="90">F284*6</f>
        <v>42</v>
      </c>
      <c r="P284" s="81">
        <f t="shared" ref="P284:P347" si="91">G284*8.5</f>
        <v>0</v>
      </c>
      <c r="Q284" s="79">
        <f t="shared" ref="Q284:Q347" si="92">I284*7.48</f>
        <v>59.84</v>
      </c>
      <c r="R284" s="80">
        <f t="shared" ref="R284:R347" si="93">J284*6</f>
        <v>48</v>
      </c>
      <c r="S284" s="81">
        <f t="shared" ref="S284:S347" si="94">K284*8.5</f>
        <v>68</v>
      </c>
      <c r="T284" s="92">
        <f t="shared" ref="T284:T347" si="95">SUM(N284:S284)</f>
        <v>270.2</v>
      </c>
      <c r="U284" s="93">
        <f t="shared" si="88"/>
        <v>216.16</v>
      </c>
    </row>
    <row r="285" spans="1:21" x14ac:dyDescent="0.25">
      <c r="A285" s="71">
        <f t="shared" si="80"/>
        <v>2023</v>
      </c>
      <c r="B285" s="72" t="str">
        <f t="shared" si="78"/>
        <v>JULHO</v>
      </c>
      <c r="C285" s="73" t="str">
        <f t="shared" si="79"/>
        <v>QUARTA</v>
      </c>
      <c r="D285" s="74">
        <v>45133</v>
      </c>
      <c r="E285" s="89">
        <f t="shared" si="81"/>
        <v>7</v>
      </c>
      <c r="F285" s="90">
        <f t="shared" si="82"/>
        <v>7</v>
      </c>
      <c r="G285" s="91"/>
      <c r="H285" s="76">
        <f t="shared" si="83"/>
        <v>14</v>
      </c>
      <c r="I285" s="89">
        <f t="shared" si="84"/>
        <v>8</v>
      </c>
      <c r="J285" s="90">
        <f t="shared" si="85"/>
        <v>8</v>
      </c>
      <c r="K285" s="91">
        <f t="shared" si="86"/>
        <v>8</v>
      </c>
      <c r="L285" s="76">
        <f t="shared" si="87"/>
        <v>24</v>
      </c>
      <c r="N285" s="79">
        <f t="shared" si="89"/>
        <v>52.36</v>
      </c>
      <c r="O285" s="80">
        <f t="shared" si="90"/>
        <v>42</v>
      </c>
      <c r="P285" s="81">
        <f t="shared" si="91"/>
        <v>0</v>
      </c>
      <c r="Q285" s="79">
        <f t="shared" si="92"/>
        <v>59.84</v>
      </c>
      <c r="R285" s="80">
        <f t="shared" si="93"/>
        <v>48</v>
      </c>
      <c r="S285" s="81">
        <f t="shared" si="94"/>
        <v>68</v>
      </c>
      <c r="T285" s="92">
        <f t="shared" si="95"/>
        <v>270.2</v>
      </c>
      <c r="U285" s="93">
        <f t="shared" si="88"/>
        <v>216.16</v>
      </c>
    </row>
    <row r="286" spans="1:21" x14ac:dyDescent="0.25">
      <c r="A286" s="71">
        <f t="shared" si="80"/>
        <v>2023</v>
      </c>
      <c r="B286" s="72" t="str">
        <f t="shared" si="78"/>
        <v>JULHO</v>
      </c>
      <c r="C286" s="73" t="str">
        <f t="shared" si="79"/>
        <v>QUINTA</v>
      </c>
      <c r="D286" s="74">
        <v>45134</v>
      </c>
      <c r="E286" s="89">
        <f t="shared" si="81"/>
        <v>7</v>
      </c>
      <c r="F286" s="90">
        <f t="shared" si="82"/>
        <v>7</v>
      </c>
      <c r="G286" s="91"/>
      <c r="H286" s="76">
        <f t="shared" si="83"/>
        <v>14</v>
      </c>
      <c r="I286" s="89">
        <f t="shared" si="84"/>
        <v>8</v>
      </c>
      <c r="J286" s="90">
        <f t="shared" si="85"/>
        <v>8</v>
      </c>
      <c r="K286" s="91">
        <f t="shared" si="86"/>
        <v>8</v>
      </c>
      <c r="L286" s="76">
        <f t="shared" si="87"/>
        <v>24</v>
      </c>
      <c r="N286" s="79">
        <f t="shared" si="89"/>
        <v>52.36</v>
      </c>
      <c r="O286" s="80">
        <f t="shared" si="90"/>
        <v>42</v>
      </c>
      <c r="P286" s="81">
        <f t="shared" si="91"/>
        <v>0</v>
      </c>
      <c r="Q286" s="79">
        <f t="shared" si="92"/>
        <v>59.84</v>
      </c>
      <c r="R286" s="80">
        <f t="shared" si="93"/>
        <v>48</v>
      </c>
      <c r="S286" s="81">
        <f t="shared" si="94"/>
        <v>68</v>
      </c>
      <c r="T286" s="92">
        <f t="shared" si="95"/>
        <v>270.2</v>
      </c>
      <c r="U286" s="93">
        <f t="shared" si="88"/>
        <v>216.16</v>
      </c>
    </row>
    <row r="287" spans="1:21" x14ac:dyDescent="0.25">
      <c r="A287" s="71">
        <f t="shared" si="80"/>
        <v>2023</v>
      </c>
      <c r="B287" s="72" t="str">
        <f t="shared" si="78"/>
        <v>JULHO</v>
      </c>
      <c r="C287" s="73" t="str">
        <f t="shared" si="79"/>
        <v>SEXTA</v>
      </c>
      <c r="D287" s="74">
        <v>45135</v>
      </c>
      <c r="E287" s="89">
        <f t="shared" si="81"/>
        <v>7</v>
      </c>
      <c r="F287" s="90">
        <f t="shared" si="82"/>
        <v>7</v>
      </c>
      <c r="G287" s="91"/>
      <c r="H287" s="76">
        <f t="shared" si="83"/>
        <v>14</v>
      </c>
      <c r="I287" s="89">
        <f t="shared" si="84"/>
        <v>8</v>
      </c>
      <c r="J287" s="90">
        <f t="shared" si="85"/>
        <v>8</v>
      </c>
      <c r="K287" s="91">
        <f t="shared" si="86"/>
        <v>8</v>
      </c>
      <c r="L287" s="76">
        <f t="shared" si="87"/>
        <v>24</v>
      </c>
      <c r="N287" s="79">
        <f t="shared" si="89"/>
        <v>52.36</v>
      </c>
      <c r="O287" s="80">
        <f t="shared" si="90"/>
        <v>42</v>
      </c>
      <c r="P287" s="81">
        <f t="shared" si="91"/>
        <v>0</v>
      </c>
      <c r="Q287" s="79">
        <f t="shared" si="92"/>
        <v>59.84</v>
      </c>
      <c r="R287" s="80">
        <f t="shared" si="93"/>
        <v>48</v>
      </c>
      <c r="S287" s="81">
        <f t="shared" si="94"/>
        <v>68</v>
      </c>
      <c r="T287" s="92">
        <f t="shared" si="95"/>
        <v>270.2</v>
      </c>
      <c r="U287" s="93">
        <f t="shared" si="88"/>
        <v>216.16</v>
      </c>
    </row>
    <row r="288" spans="1:21" x14ac:dyDescent="0.25">
      <c r="A288" s="71">
        <f t="shared" si="80"/>
        <v>2023</v>
      </c>
      <c r="B288" s="72" t="str">
        <f t="shared" si="78"/>
        <v>JULHO</v>
      </c>
      <c r="C288" s="73" t="str">
        <f t="shared" si="79"/>
        <v>SÁBADO</v>
      </c>
      <c r="D288" s="74">
        <v>45136</v>
      </c>
      <c r="E288" s="89">
        <f t="shared" si="81"/>
        <v>0</v>
      </c>
      <c r="F288" s="90">
        <f t="shared" si="82"/>
        <v>7</v>
      </c>
      <c r="G288" s="91"/>
      <c r="H288" s="76">
        <f t="shared" si="83"/>
        <v>7</v>
      </c>
      <c r="I288" s="89">
        <f t="shared" si="84"/>
        <v>0</v>
      </c>
      <c r="J288" s="90">
        <f t="shared" si="85"/>
        <v>8</v>
      </c>
      <c r="K288" s="91">
        <f t="shared" si="86"/>
        <v>0</v>
      </c>
      <c r="L288" s="76">
        <f t="shared" si="87"/>
        <v>8</v>
      </c>
      <c r="N288" s="79">
        <f t="shared" si="89"/>
        <v>0</v>
      </c>
      <c r="O288" s="80">
        <f t="shared" si="90"/>
        <v>42</v>
      </c>
      <c r="P288" s="81">
        <f t="shared" si="91"/>
        <v>0</v>
      </c>
      <c r="Q288" s="79">
        <f t="shared" si="92"/>
        <v>0</v>
      </c>
      <c r="R288" s="80">
        <f t="shared" si="93"/>
        <v>48</v>
      </c>
      <c r="S288" s="81">
        <f t="shared" si="94"/>
        <v>0</v>
      </c>
      <c r="T288" s="92">
        <f t="shared" si="95"/>
        <v>90</v>
      </c>
      <c r="U288" s="93">
        <f t="shared" si="88"/>
        <v>72</v>
      </c>
    </row>
    <row r="289" spans="1:21" x14ac:dyDescent="0.25">
      <c r="A289" s="71">
        <f t="shared" si="80"/>
        <v>2023</v>
      </c>
      <c r="B289" s="72" t="str">
        <f t="shared" si="78"/>
        <v>JULHO</v>
      </c>
      <c r="C289" s="73" t="str">
        <f t="shared" si="79"/>
        <v>DOMINGO</v>
      </c>
      <c r="D289" s="74">
        <v>45137</v>
      </c>
      <c r="E289" s="89">
        <f t="shared" si="81"/>
        <v>0</v>
      </c>
      <c r="F289" s="90">
        <f t="shared" si="82"/>
        <v>0</v>
      </c>
      <c r="G289" s="91"/>
      <c r="H289" s="76">
        <f t="shared" si="83"/>
        <v>0</v>
      </c>
      <c r="I289" s="89">
        <f t="shared" si="84"/>
        <v>0</v>
      </c>
      <c r="J289" s="90">
        <f t="shared" si="85"/>
        <v>0</v>
      </c>
      <c r="K289" s="91">
        <f t="shared" si="86"/>
        <v>0</v>
      </c>
      <c r="L289" s="76">
        <f t="shared" si="87"/>
        <v>0</v>
      </c>
      <c r="N289" s="79">
        <f t="shared" si="89"/>
        <v>0</v>
      </c>
      <c r="O289" s="80">
        <f t="shared" si="90"/>
        <v>0</v>
      </c>
      <c r="P289" s="81">
        <f t="shared" si="91"/>
        <v>0</v>
      </c>
      <c r="Q289" s="79">
        <f t="shared" si="92"/>
        <v>0</v>
      </c>
      <c r="R289" s="80">
        <f t="shared" si="93"/>
        <v>0</v>
      </c>
      <c r="S289" s="81">
        <f t="shared" si="94"/>
        <v>0</v>
      </c>
      <c r="T289" s="92">
        <f t="shared" si="95"/>
        <v>0</v>
      </c>
      <c r="U289" s="93">
        <f t="shared" si="88"/>
        <v>0</v>
      </c>
    </row>
    <row r="290" spans="1:21" x14ac:dyDescent="0.25">
      <c r="A290" s="71">
        <f t="shared" si="80"/>
        <v>2023</v>
      </c>
      <c r="B290" s="72" t="str">
        <f t="shared" si="78"/>
        <v>JULHO</v>
      </c>
      <c r="C290" s="73" t="str">
        <f t="shared" si="79"/>
        <v>SEGUNDA</v>
      </c>
      <c r="D290" s="74">
        <v>45138</v>
      </c>
      <c r="E290" s="89">
        <f t="shared" si="81"/>
        <v>7</v>
      </c>
      <c r="F290" s="90">
        <f t="shared" si="82"/>
        <v>7</v>
      </c>
      <c r="G290" s="91"/>
      <c r="H290" s="76">
        <f t="shared" si="83"/>
        <v>14</v>
      </c>
      <c r="I290" s="89">
        <f t="shared" si="84"/>
        <v>8</v>
      </c>
      <c r="J290" s="90">
        <f t="shared" si="85"/>
        <v>8</v>
      </c>
      <c r="K290" s="91">
        <f t="shared" si="86"/>
        <v>8</v>
      </c>
      <c r="L290" s="76">
        <f t="shared" si="87"/>
        <v>24</v>
      </c>
      <c r="N290" s="79">
        <f t="shared" si="89"/>
        <v>52.36</v>
      </c>
      <c r="O290" s="80">
        <f t="shared" si="90"/>
        <v>42</v>
      </c>
      <c r="P290" s="81">
        <f t="shared" si="91"/>
        <v>0</v>
      </c>
      <c r="Q290" s="79">
        <f t="shared" si="92"/>
        <v>59.84</v>
      </c>
      <c r="R290" s="80">
        <f t="shared" si="93"/>
        <v>48</v>
      </c>
      <c r="S290" s="81">
        <f t="shared" si="94"/>
        <v>68</v>
      </c>
      <c r="T290" s="92">
        <f t="shared" si="95"/>
        <v>270.2</v>
      </c>
      <c r="U290" s="93">
        <f t="shared" si="88"/>
        <v>216.16</v>
      </c>
    </row>
    <row r="291" spans="1:21" x14ac:dyDescent="0.25">
      <c r="A291" s="71">
        <f t="shared" si="80"/>
        <v>2023</v>
      </c>
      <c r="B291" s="72" t="str">
        <f t="shared" si="78"/>
        <v>AGOSTO</v>
      </c>
      <c r="C291" s="73" t="str">
        <f t="shared" si="79"/>
        <v>TERÇA</v>
      </c>
      <c r="D291" s="74">
        <v>45139</v>
      </c>
      <c r="E291" s="89">
        <f t="shared" si="81"/>
        <v>7</v>
      </c>
      <c r="F291" s="90">
        <f t="shared" si="82"/>
        <v>7</v>
      </c>
      <c r="G291" s="91"/>
      <c r="H291" s="76">
        <f t="shared" si="83"/>
        <v>14</v>
      </c>
      <c r="I291" s="89">
        <f t="shared" si="84"/>
        <v>8</v>
      </c>
      <c r="J291" s="90">
        <f t="shared" si="85"/>
        <v>8</v>
      </c>
      <c r="K291" s="91">
        <f t="shared" si="86"/>
        <v>8</v>
      </c>
      <c r="L291" s="76">
        <f t="shared" si="87"/>
        <v>24</v>
      </c>
      <c r="N291" s="79">
        <f t="shared" si="89"/>
        <v>52.36</v>
      </c>
      <c r="O291" s="80">
        <f t="shared" si="90"/>
        <v>42</v>
      </c>
      <c r="P291" s="81">
        <f t="shared" si="91"/>
        <v>0</v>
      </c>
      <c r="Q291" s="79">
        <f t="shared" si="92"/>
        <v>59.84</v>
      </c>
      <c r="R291" s="80">
        <f t="shared" si="93"/>
        <v>48</v>
      </c>
      <c r="S291" s="81">
        <f t="shared" si="94"/>
        <v>68</v>
      </c>
      <c r="T291" s="92">
        <f t="shared" si="95"/>
        <v>270.2</v>
      </c>
      <c r="U291" s="93">
        <f t="shared" si="88"/>
        <v>216.16</v>
      </c>
    </row>
    <row r="292" spans="1:21" x14ac:dyDescent="0.25">
      <c r="A292" s="71">
        <f t="shared" si="80"/>
        <v>2023</v>
      </c>
      <c r="B292" s="72" t="str">
        <f t="shared" si="78"/>
        <v>AGOSTO</v>
      </c>
      <c r="C292" s="73" t="str">
        <f t="shared" si="79"/>
        <v>QUARTA</v>
      </c>
      <c r="D292" s="74">
        <v>45140</v>
      </c>
      <c r="E292" s="89">
        <f t="shared" si="81"/>
        <v>7</v>
      </c>
      <c r="F292" s="90">
        <f t="shared" si="82"/>
        <v>7</v>
      </c>
      <c r="G292" s="91"/>
      <c r="H292" s="76">
        <f t="shared" si="83"/>
        <v>14</v>
      </c>
      <c r="I292" s="89">
        <f t="shared" si="84"/>
        <v>8</v>
      </c>
      <c r="J292" s="90">
        <f t="shared" si="85"/>
        <v>8</v>
      </c>
      <c r="K292" s="91">
        <f t="shared" si="86"/>
        <v>8</v>
      </c>
      <c r="L292" s="76">
        <f t="shared" si="87"/>
        <v>24</v>
      </c>
      <c r="N292" s="79">
        <f t="shared" si="89"/>
        <v>52.36</v>
      </c>
      <c r="O292" s="80">
        <f t="shared" si="90"/>
        <v>42</v>
      </c>
      <c r="P292" s="81">
        <f t="shared" si="91"/>
        <v>0</v>
      </c>
      <c r="Q292" s="79">
        <f t="shared" si="92"/>
        <v>59.84</v>
      </c>
      <c r="R292" s="80">
        <f t="shared" si="93"/>
        <v>48</v>
      </c>
      <c r="S292" s="81">
        <f t="shared" si="94"/>
        <v>68</v>
      </c>
      <c r="T292" s="92">
        <f t="shared" si="95"/>
        <v>270.2</v>
      </c>
      <c r="U292" s="93">
        <f t="shared" si="88"/>
        <v>216.16</v>
      </c>
    </row>
    <row r="293" spans="1:21" x14ac:dyDescent="0.25">
      <c r="A293" s="71">
        <f t="shared" si="80"/>
        <v>2023</v>
      </c>
      <c r="B293" s="72" t="str">
        <f t="shared" si="78"/>
        <v>AGOSTO</v>
      </c>
      <c r="C293" s="73" t="str">
        <f t="shared" si="79"/>
        <v>QUINTA</v>
      </c>
      <c r="D293" s="74">
        <v>45141</v>
      </c>
      <c r="E293" s="89">
        <f t="shared" si="81"/>
        <v>7</v>
      </c>
      <c r="F293" s="90">
        <f t="shared" si="82"/>
        <v>7</v>
      </c>
      <c r="G293" s="91"/>
      <c r="H293" s="76">
        <f t="shared" si="83"/>
        <v>14</v>
      </c>
      <c r="I293" s="89">
        <f t="shared" si="84"/>
        <v>8</v>
      </c>
      <c r="J293" s="90">
        <f t="shared" si="85"/>
        <v>8</v>
      </c>
      <c r="K293" s="91">
        <f t="shared" si="86"/>
        <v>8</v>
      </c>
      <c r="L293" s="76">
        <f t="shared" si="87"/>
        <v>24</v>
      </c>
      <c r="N293" s="79">
        <f t="shared" si="89"/>
        <v>52.36</v>
      </c>
      <c r="O293" s="80">
        <f t="shared" si="90"/>
        <v>42</v>
      </c>
      <c r="P293" s="81">
        <f t="shared" si="91"/>
        <v>0</v>
      </c>
      <c r="Q293" s="79">
        <f t="shared" si="92"/>
        <v>59.84</v>
      </c>
      <c r="R293" s="80">
        <f t="shared" si="93"/>
        <v>48</v>
      </c>
      <c r="S293" s="81">
        <f t="shared" si="94"/>
        <v>68</v>
      </c>
      <c r="T293" s="92">
        <f t="shared" si="95"/>
        <v>270.2</v>
      </c>
      <c r="U293" s="93">
        <f t="shared" si="88"/>
        <v>216.16</v>
      </c>
    </row>
    <row r="294" spans="1:21" x14ac:dyDescent="0.25">
      <c r="A294" s="71">
        <f t="shared" si="80"/>
        <v>2023</v>
      </c>
      <c r="B294" s="72" t="str">
        <f t="shared" si="78"/>
        <v>AGOSTO</v>
      </c>
      <c r="C294" s="73" t="str">
        <f t="shared" si="79"/>
        <v>SEXTA</v>
      </c>
      <c r="D294" s="74">
        <v>45142</v>
      </c>
      <c r="E294" s="89">
        <f t="shared" si="81"/>
        <v>7</v>
      </c>
      <c r="F294" s="90">
        <f t="shared" si="82"/>
        <v>7</v>
      </c>
      <c r="G294" s="91"/>
      <c r="H294" s="76">
        <f t="shared" si="83"/>
        <v>14</v>
      </c>
      <c r="I294" s="89">
        <f t="shared" si="84"/>
        <v>8</v>
      </c>
      <c r="J294" s="90">
        <f t="shared" si="85"/>
        <v>8</v>
      </c>
      <c r="K294" s="91">
        <f t="shared" si="86"/>
        <v>8</v>
      </c>
      <c r="L294" s="76">
        <f t="shared" si="87"/>
        <v>24</v>
      </c>
      <c r="N294" s="79">
        <f t="shared" si="89"/>
        <v>52.36</v>
      </c>
      <c r="O294" s="80">
        <f t="shared" si="90"/>
        <v>42</v>
      </c>
      <c r="P294" s="81">
        <f t="shared" si="91"/>
        <v>0</v>
      </c>
      <c r="Q294" s="79">
        <f t="shared" si="92"/>
        <v>59.84</v>
      </c>
      <c r="R294" s="80">
        <f t="shared" si="93"/>
        <v>48</v>
      </c>
      <c r="S294" s="81">
        <f t="shared" si="94"/>
        <v>68</v>
      </c>
      <c r="T294" s="92">
        <f t="shared" si="95"/>
        <v>270.2</v>
      </c>
      <c r="U294" s="93">
        <f t="shared" si="88"/>
        <v>216.16</v>
      </c>
    </row>
    <row r="295" spans="1:21" x14ac:dyDescent="0.25">
      <c r="A295" s="71">
        <f t="shared" si="80"/>
        <v>2023</v>
      </c>
      <c r="B295" s="72" t="str">
        <f t="shared" si="78"/>
        <v>AGOSTO</v>
      </c>
      <c r="C295" s="73" t="str">
        <f t="shared" si="79"/>
        <v>SÁBADO</v>
      </c>
      <c r="D295" s="74">
        <v>45143</v>
      </c>
      <c r="E295" s="89">
        <f t="shared" si="81"/>
        <v>0</v>
      </c>
      <c r="F295" s="90">
        <f t="shared" si="82"/>
        <v>7</v>
      </c>
      <c r="G295" s="91"/>
      <c r="H295" s="76">
        <f t="shared" si="83"/>
        <v>7</v>
      </c>
      <c r="I295" s="89">
        <f t="shared" si="84"/>
        <v>0</v>
      </c>
      <c r="J295" s="90">
        <f t="shared" si="85"/>
        <v>8</v>
      </c>
      <c r="K295" s="91">
        <f t="shared" si="86"/>
        <v>0</v>
      </c>
      <c r="L295" s="76">
        <f t="shared" si="87"/>
        <v>8</v>
      </c>
      <c r="N295" s="79">
        <f t="shared" si="89"/>
        <v>0</v>
      </c>
      <c r="O295" s="80">
        <f t="shared" si="90"/>
        <v>42</v>
      </c>
      <c r="P295" s="81">
        <f t="shared" si="91"/>
        <v>0</v>
      </c>
      <c r="Q295" s="79">
        <f t="shared" si="92"/>
        <v>0</v>
      </c>
      <c r="R295" s="80">
        <f t="shared" si="93"/>
        <v>48</v>
      </c>
      <c r="S295" s="81">
        <f t="shared" si="94"/>
        <v>0</v>
      </c>
      <c r="T295" s="92">
        <f t="shared" si="95"/>
        <v>90</v>
      </c>
      <c r="U295" s="93">
        <f t="shared" si="88"/>
        <v>72</v>
      </c>
    </row>
    <row r="296" spans="1:21" x14ac:dyDescent="0.25">
      <c r="A296" s="71">
        <f t="shared" si="80"/>
        <v>2023</v>
      </c>
      <c r="B296" s="72" t="str">
        <f t="shared" si="78"/>
        <v>AGOSTO</v>
      </c>
      <c r="C296" s="73" t="str">
        <f t="shared" si="79"/>
        <v>DOMINGO</v>
      </c>
      <c r="D296" s="74">
        <v>45144</v>
      </c>
      <c r="E296" s="89">
        <f t="shared" si="81"/>
        <v>0</v>
      </c>
      <c r="F296" s="90">
        <f t="shared" si="82"/>
        <v>0</v>
      </c>
      <c r="G296" s="91"/>
      <c r="H296" s="76">
        <f t="shared" si="83"/>
        <v>0</v>
      </c>
      <c r="I296" s="89">
        <f t="shared" si="84"/>
        <v>0</v>
      </c>
      <c r="J296" s="90">
        <f t="shared" si="85"/>
        <v>0</v>
      </c>
      <c r="K296" s="91">
        <f t="shared" si="86"/>
        <v>0</v>
      </c>
      <c r="L296" s="76">
        <f t="shared" si="87"/>
        <v>0</v>
      </c>
      <c r="N296" s="79">
        <f t="shared" si="89"/>
        <v>0</v>
      </c>
      <c r="O296" s="80">
        <f t="shared" si="90"/>
        <v>0</v>
      </c>
      <c r="P296" s="81">
        <f t="shared" si="91"/>
        <v>0</v>
      </c>
      <c r="Q296" s="79">
        <f t="shared" si="92"/>
        <v>0</v>
      </c>
      <c r="R296" s="80">
        <f t="shared" si="93"/>
        <v>0</v>
      </c>
      <c r="S296" s="81">
        <f t="shared" si="94"/>
        <v>0</v>
      </c>
      <c r="T296" s="92">
        <f t="shared" si="95"/>
        <v>0</v>
      </c>
      <c r="U296" s="93">
        <f t="shared" si="88"/>
        <v>0</v>
      </c>
    </row>
    <row r="297" spans="1:21" x14ac:dyDescent="0.25">
      <c r="A297" s="71">
        <f t="shared" si="80"/>
        <v>2023</v>
      </c>
      <c r="B297" s="72" t="str">
        <f t="shared" si="78"/>
        <v>AGOSTO</v>
      </c>
      <c r="C297" s="73" t="str">
        <f t="shared" si="79"/>
        <v>SEGUNDA</v>
      </c>
      <c r="D297" s="74">
        <v>45145</v>
      </c>
      <c r="E297" s="89">
        <f t="shared" si="81"/>
        <v>7</v>
      </c>
      <c r="F297" s="90">
        <f t="shared" si="82"/>
        <v>7</v>
      </c>
      <c r="G297" s="91"/>
      <c r="H297" s="76">
        <f t="shared" si="83"/>
        <v>14</v>
      </c>
      <c r="I297" s="89">
        <f t="shared" si="84"/>
        <v>8</v>
      </c>
      <c r="J297" s="90">
        <f t="shared" si="85"/>
        <v>8</v>
      </c>
      <c r="K297" s="91">
        <f t="shared" si="86"/>
        <v>8</v>
      </c>
      <c r="L297" s="76">
        <f t="shared" si="87"/>
        <v>24</v>
      </c>
      <c r="N297" s="79">
        <f t="shared" si="89"/>
        <v>52.36</v>
      </c>
      <c r="O297" s="80">
        <f t="shared" si="90"/>
        <v>42</v>
      </c>
      <c r="P297" s="81">
        <f t="shared" si="91"/>
        <v>0</v>
      </c>
      <c r="Q297" s="79">
        <f t="shared" si="92"/>
        <v>59.84</v>
      </c>
      <c r="R297" s="80">
        <f t="shared" si="93"/>
        <v>48</v>
      </c>
      <c r="S297" s="81">
        <f t="shared" si="94"/>
        <v>68</v>
      </c>
      <c r="T297" s="92">
        <f t="shared" si="95"/>
        <v>270.2</v>
      </c>
      <c r="U297" s="93">
        <f t="shared" si="88"/>
        <v>216.16</v>
      </c>
    </row>
    <row r="298" spans="1:21" x14ac:dyDescent="0.25">
      <c r="A298" s="71">
        <f t="shared" si="80"/>
        <v>2023</v>
      </c>
      <c r="B298" s="72" t="str">
        <f t="shared" si="78"/>
        <v>AGOSTO</v>
      </c>
      <c r="C298" s="73" t="str">
        <f t="shared" si="79"/>
        <v>TERÇA</v>
      </c>
      <c r="D298" s="74">
        <v>45146</v>
      </c>
      <c r="E298" s="89">
        <f t="shared" si="81"/>
        <v>7</v>
      </c>
      <c r="F298" s="90">
        <f t="shared" si="82"/>
        <v>7</v>
      </c>
      <c r="G298" s="91"/>
      <c r="H298" s="76">
        <f t="shared" si="83"/>
        <v>14</v>
      </c>
      <c r="I298" s="89">
        <f t="shared" si="84"/>
        <v>8</v>
      </c>
      <c r="J298" s="90">
        <f t="shared" si="85"/>
        <v>8</v>
      </c>
      <c r="K298" s="91">
        <f t="shared" si="86"/>
        <v>8</v>
      </c>
      <c r="L298" s="76">
        <f t="shared" si="87"/>
        <v>24</v>
      </c>
      <c r="N298" s="79">
        <f t="shared" si="89"/>
        <v>52.36</v>
      </c>
      <c r="O298" s="80">
        <f t="shared" si="90"/>
        <v>42</v>
      </c>
      <c r="P298" s="81">
        <f t="shared" si="91"/>
        <v>0</v>
      </c>
      <c r="Q298" s="79">
        <f t="shared" si="92"/>
        <v>59.84</v>
      </c>
      <c r="R298" s="80">
        <f t="shared" si="93"/>
        <v>48</v>
      </c>
      <c r="S298" s="81">
        <f t="shared" si="94"/>
        <v>68</v>
      </c>
      <c r="T298" s="92">
        <f t="shared" si="95"/>
        <v>270.2</v>
      </c>
      <c r="U298" s="93">
        <f t="shared" si="88"/>
        <v>216.16</v>
      </c>
    </row>
    <row r="299" spans="1:21" x14ac:dyDescent="0.25">
      <c r="A299" s="71">
        <f t="shared" si="80"/>
        <v>2023</v>
      </c>
      <c r="B299" s="72" t="str">
        <f t="shared" si="78"/>
        <v>AGOSTO</v>
      </c>
      <c r="C299" s="73" t="str">
        <f t="shared" si="79"/>
        <v>QUARTA</v>
      </c>
      <c r="D299" s="74">
        <v>45147</v>
      </c>
      <c r="E299" s="89">
        <f t="shared" si="81"/>
        <v>7</v>
      </c>
      <c r="F299" s="90">
        <f t="shared" si="82"/>
        <v>7</v>
      </c>
      <c r="G299" s="91"/>
      <c r="H299" s="76">
        <f t="shared" si="83"/>
        <v>14</v>
      </c>
      <c r="I299" s="89">
        <f t="shared" si="84"/>
        <v>8</v>
      </c>
      <c r="J299" s="90">
        <f t="shared" si="85"/>
        <v>8</v>
      </c>
      <c r="K299" s="91">
        <f t="shared" si="86"/>
        <v>8</v>
      </c>
      <c r="L299" s="76">
        <f t="shared" si="87"/>
        <v>24</v>
      </c>
      <c r="N299" s="79">
        <f t="shared" si="89"/>
        <v>52.36</v>
      </c>
      <c r="O299" s="80">
        <f t="shared" si="90"/>
        <v>42</v>
      </c>
      <c r="P299" s="81">
        <f t="shared" si="91"/>
        <v>0</v>
      </c>
      <c r="Q299" s="79">
        <f t="shared" si="92"/>
        <v>59.84</v>
      </c>
      <c r="R299" s="80">
        <f t="shared" si="93"/>
        <v>48</v>
      </c>
      <c r="S299" s="81">
        <f t="shared" si="94"/>
        <v>68</v>
      </c>
      <c r="T299" s="92">
        <f t="shared" si="95"/>
        <v>270.2</v>
      </c>
      <c r="U299" s="93">
        <f t="shared" si="88"/>
        <v>216.16</v>
      </c>
    </row>
    <row r="300" spans="1:21" x14ac:dyDescent="0.25">
      <c r="A300" s="71">
        <f t="shared" si="80"/>
        <v>2023</v>
      </c>
      <c r="B300" s="72" t="str">
        <f t="shared" si="78"/>
        <v>AGOSTO</v>
      </c>
      <c r="C300" s="73" t="str">
        <f t="shared" si="79"/>
        <v>QUINTA</v>
      </c>
      <c r="D300" s="74">
        <v>45148</v>
      </c>
      <c r="E300" s="89">
        <f t="shared" si="81"/>
        <v>7</v>
      </c>
      <c r="F300" s="90">
        <f t="shared" si="82"/>
        <v>7</v>
      </c>
      <c r="G300" s="91"/>
      <c r="H300" s="76">
        <f t="shared" si="83"/>
        <v>14</v>
      </c>
      <c r="I300" s="89">
        <f t="shared" si="84"/>
        <v>8</v>
      </c>
      <c r="J300" s="90">
        <f t="shared" si="85"/>
        <v>8</v>
      </c>
      <c r="K300" s="91">
        <f t="shared" si="86"/>
        <v>8</v>
      </c>
      <c r="L300" s="76">
        <f t="shared" si="87"/>
        <v>24</v>
      </c>
      <c r="N300" s="79">
        <f t="shared" si="89"/>
        <v>52.36</v>
      </c>
      <c r="O300" s="80">
        <f t="shared" si="90"/>
        <v>42</v>
      </c>
      <c r="P300" s="81">
        <f t="shared" si="91"/>
        <v>0</v>
      </c>
      <c r="Q300" s="79">
        <f t="shared" si="92"/>
        <v>59.84</v>
      </c>
      <c r="R300" s="80">
        <f t="shared" si="93"/>
        <v>48</v>
      </c>
      <c r="S300" s="81">
        <f t="shared" si="94"/>
        <v>68</v>
      </c>
      <c r="T300" s="92">
        <f t="shared" si="95"/>
        <v>270.2</v>
      </c>
      <c r="U300" s="93">
        <f t="shared" si="88"/>
        <v>216.16</v>
      </c>
    </row>
    <row r="301" spans="1:21" x14ac:dyDescent="0.25">
      <c r="A301" s="71">
        <f t="shared" si="80"/>
        <v>2023</v>
      </c>
      <c r="B301" s="72" t="str">
        <f t="shared" si="78"/>
        <v>AGOSTO</v>
      </c>
      <c r="C301" s="73" t="str">
        <f t="shared" si="79"/>
        <v>SEXTA</v>
      </c>
      <c r="D301" s="74">
        <v>45149</v>
      </c>
      <c r="E301" s="89">
        <f t="shared" si="81"/>
        <v>7</v>
      </c>
      <c r="F301" s="90">
        <f t="shared" si="82"/>
        <v>7</v>
      </c>
      <c r="G301" s="91"/>
      <c r="H301" s="76">
        <f t="shared" si="83"/>
        <v>14</v>
      </c>
      <c r="I301" s="89">
        <f t="shared" si="84"/>
        <v>8</v>
      </c>
      <c r="J301" s="90">
        <f t="shared" si="85"/>
        <v>8</v>
      </c>
      <c r="K301" s="91">
        <f t="shared" si="86"/>
        <v>8</v>
      </c>
      <c r="L301" s="76">
        <f t="shared" si="87"/>
        <v>24</v>
      </c>
      <c r="N301" s="79">
        <f t="shared" si="89"/>
        <v>52.36</v>
      </c>
      <c r="O301" s="80">
        <f t="shared" si="90"/>
        <v>42</v>
      </c>
      <c r="P301" s="81">
        <f t="shared" si="91"/>
        <v>0</v>
      </c>
      <c r="Q301" s="79">
        <f t="shared" si="92"/>
        <v>59.84</v>
      </c>
      <c r="R301" s="80">
        <f t="shared" si="93"/>
        <v>48</v>
      </c>
      <c r="S301" s="81">
        <f t="shared" si="94"/>
        <v>68</v>
      </c>
      <c r="T301" s="92">
        <f t="shared" si="95"/>
        <v>270.2</v>
      </c>
      <c r="U301" s="93">
        <f t="shared" si="88"/>
        <v>216.16</v>
      </c>
    </row>
    <row r="302" spans="1:21" x14ac:dyDescent="0.25">
      <c r="A302" s="71">
        <f t="shared" si="80"/>
        <v>2023</v>
      </c>
      <c r="B302" s="72" t="str">
        <f t="shared" si="78"/>
        <v>AGOSTO</v>
      </c>
      <c r="C302" s="73" t="str">
        <f t="shared" si="79"/>
        <v>SÁBADO</v>
      </c>
      <c r="D302" s="74">
        <v>45150</v>
      </c>
      <c r="E302" s="89">
        <f t="shared" si="81"/>
        <v>0</v>
      </c>
      <c r="F302" s="90">
        <f t="shared" si="82"/>
        <v>7</v>
      </c>
      <c r="G302" s="91"/>
      <c r="H302" s="76">
        <f t="shared" si="83"/>
        <v>7</v>
      </c>
      <c r="I302" s="89">
        <f t="shared" si="84"/>
        <v>0</v>
      </c>
      <c r="J302" s="90">
        <f t="shared" si="85"/>
        <v>8</v>
      </c>
      <c r="K302" s="91">
        <f t="shared" si="86"/>
        <v>0</v>
      </c>
      <c r="L302" s="76">
        <f t="shared" si="87"/>
        <v>8</v>
      </c>
      <c r="N302" s="79">
        <f t="shared" si="89"/>
        <v>0</v>
      </c>
      <c r="O302" s="80">
        <f t="shared" si="90"/>
        <v>42</v>
      </c>
      <c r="P302" s="81">
        <f t="shared" si="91"/>
        <v>0</v>
      </c>
      <c r="Q302" s="79">
        <f t="shared" si="92"/>
        <v>0</v>
      </c>
      <c r="R302" s="80">
        <f t="shared" si="93"/>
        <v>48</v>
      </c>
      <c r="S302" s="81">
        <f t="shared" si="94"/>
        <v>0</v>
      </c>
      <c r="T302" s="92">
        <f t="shared" si="95"/>
        <v>90</v>
      </c>
      <c r="U302" s="93">
        <f t="shared" si="88"/>
        <v>72</v>
      </c>
    </row>
    <row r="303" spans="1:21" x14ac:dyDescent="0.25">
      <c r="A303" s="71">
        <f t="shared" si="80"/>
        <v>2023</v>
      </c>
      <c r="B303" s="72" t="str">
        <f t="shared" si="78"/>
        <v>AGOSTO</v>
      </c>
      <c r="C303" s="73" t="str">
        <f t="shared" si="79"/>
        <v>DOMINGO</v>
      </c>
      <c r="D303" s="74">
        <v>45151</v>
      </c>
      <c r="E303" s="89">
        <f t="shared" si="81"/>
        <v>0</v>
      </c>
      <c r="F303" s="90">
        <f t="shared" si="82"/>
        <v>0</v>
      </c>
      <c r="G303" s="91"/>
      <c r="H303" s="76">
        <f t="shared" si="83"/>
        <v>0</v>
      </c>
      <c r="I303" s="89">
        <f t="shared" si="84"/>
        <v>0</v>
      </c>
      <c r="J303" s="90">
        <f t="shared" si="85"/>
        <v>0</v>
      </c>
      <c r="K303" s="91">
        <f t="shared" si="86"/>
        <v>0</v>
      </c>
      <c r="L303" s="76">
        <f t="shared" si="87"/>
        <v>0</v>
      </c>
      <c r="N303" s="79">
        <f t="shared" si="89"/>
        <v>0</v>
      </c>
      <c r="O303" s="80">
        <f t="shared" si="90"/>
        <v>0</v>
      </c>
      <c r="P303" s="81">
        <f t="shared" si="91"/>
        <v>0</v>
      </c>
      <c r="Q303" s="79">
        <f t="shared" si="92"/>
        <v>0</v>
      </c>
      <c r="R303" s="80">
        <f t="shared" si="93"/>
        <v>0</v>
      </c>
      <c r="S303" s="81">
        <f t="shared" si="94"/>
        <v>0</v>
      </c>
      <c r="T303" s="92">
        <f t="shared" si="95"/>
        <v>0</v>
      </c>
      <c r="U303" s="93">
        <f t="shared" si="88"/>
        <v>0</v>
      </c>
    </row>
    <row r="304" spans="1:21" x14ac:dyDescent="0.25">
      <c r="A304" s="71">
        <f t="shared" si="80"/>
        <v>2023</v>
      </c>
      <c r="B304" s="72" t="str">
        <f t="shared" si="78"/>
        <v>AGOSTO</v>
      </c>
      <c r="C304" s="73" t="str">
        <f t="shared" si="79"/>
        <v>SEGUNDA</v>
      </c>
      <c r="D304" s="74">
        <v>45152</v>
      </c>
      <c r="E304" s="89">
        <f t="shared" si="81"/>
        <v>7</v>
      </c>
      <c r="F304" s="90">
        <f t="shared" si="82"/>
        <v>7</v>
      </c>
      <c r="G304" s="91"/>
      <c r="H304" s="76">
        <f t="shared" si="83"/>
        <v>14</v>
      </c>
      <c r="I304" s="89">
        <f t="shared" si="84"/>
        <v>8</v>
      </c>
      <c r="J304" s="90">
        <f t="shared" si="85"/>
        <v>8</v>
      </c>
      <c r="K304" s="91">
        <f t="shared" si="86"/>
        <v>8</v>
      </c>
      <c r="L304" s="76">
        <f t="shared" si="87"/>
        <v>24</v>
      </c>
      <c r="N304" s="79">
        <f t="shared" si="89"/>
        <v>52.36</v>
      </c>
      <c r="O304" s="80">
        <f t="shared" si="90"/>
        <v>42</v>
      </c>
      <c r="P304" s="81">
        <f t="shared" si="91"/>
        <v>0</v>
      </c>
      <c r="Q304" s="79">
        <f t="shared" si="92"/>
        <v>59.84</v>
      </c>
      <c r="R304" s="80">
        <f t="shared" si="93"/>
        <v>48</v>
      </c>
      <c r="S304" s="81">
        <f t="shared" si="94"/>
        <v>68</v>
      </c>
      <c r="T304" s="92">
        <f t="shared" si="95"/>
        <v>270.2</v>
      </c>
      <c r="U304" s="93">
        <f t="shared" si="88"/>
        <v>216.16</v>
      </c>
    </row>
    <row r="305" spans="1:21" x14ac:dyDescent="0.25">
      <c r="A305" s="71">
        <f t="shared" si="80"/>
        <v>2023</v>
      </c>
      <c r="B305" s="72" t="str">
        <f t="shared" si="78"/>
        <v>AGOSTO</v>
      </c>
      <c r="C305" s="73" t="str">
        <f t="shared" si="79"/>
        <v>TERÇA</v>
      </c>
      <c r="D305" s="74">
        <v>45153</v>
      </c>
      <c r="E305" s="89">
        <f t="shared" si="81"/>
        <v>7</v>
      </c>
      <c r="F305" s="90">
        <f t="shared" si="82"/>
        <v>7</v>
      </c>
      <c r="G305" s="91"/>
      <c r="H305" s="76">
        <f t="shared" si="83"/>
        <v>14</v>
      </c>
      <c r="I305" s="89">
        <f t="shared" si="84"/>
        <v>8</v>
      </c>
      <c r="J305" s="90">
        <f t="shared" si="85"/>
        <v>8</v>
      </c>
      <c r="K305" s="91">
        <f t="shared" si="86"/>
        <v>8</v>
      </c>
      <c r="L305" s="76">
        <f t="shared" si="87"/>
        <v>24</v>
      </c>
      <c r="N305" s="79">
        <f t="shared" si="89"/>
        <v>52.36</v>
      </c>
      <c r="O305" s="80">
        <f t="shared" si="90"/>
        <v>42</v>
      </c>
      <c r="P305" s="81">
        <f t="shared" si="91"/>
        <v>0</v>
      </c>
      <c r="Q305" s="79">
        <f t="shared" si="92"/>
        <v>59.84</v>
      </c>
      <c r="R305" s="80">
        <f t="shared" si="93"/>
        <v>48</v>
      </c>
      <c r="S305" s="81">
        <f t="shared" si="94"/>
        <v>68</v>
      </c>
      <c r="T305" s="92">
        <f t="shared" si="95"/>
        <v>270.2</v>
      </c>
      <c r="U305" s="93">
        <f t="shared" si="88"/>
        <v>216.16</v>
      </c>
    </row>
    <row r="306" spans="1:21" x14ac:dyDescent="0.25">
      <c r="A306" s="71">
        <f t="shared" si="80"/>
        <v>2023</v>
      </c>
      <c r="B306" s="72" t="str">
        <f t="shared" si="78"/>
        <v>AGOSTO</v>
      </c>
      <c r="C306" s="73" t="str">
        <f t="shared" si="79"/>
        <v>QUARTA</v>
      </c>
      <c r="D306" s="74">
        <v>45154</v>
      </c>
      <c r="E306" s="89">
        <f t="shared" si="81"/>
        <v>7</v>
      </c>
      <c r="F306" s="90">
        <f t="shared" si="82"/>
        <v>7</v>
      </c>
      <c r="G306" s="91"/>
      <c r="H306" s="76">
        <f t="shared" si="83"/>
        <v>14</v>
      </c>
      <c r="I306" s="89">
        <f t="shared" si="84"/>
        <v>8</v>
      </c>
      <c r="J306" s="90">
        <f t="shared" si="85"/>
        <v>8</v>
      </c>
      <c r="K306" s="91">
        <f t="shared" si="86"/>
        <v>8</v>
      </c>
      <c r="L306" s="76">
        <f t="shared" si="87"/>
        <v>24</v>
      </c>
      <c r="N306" s="79">
        <f t="shared" si="89"/>
        <v>52.36</v>
      </c>
      <c r="O306" s="80">
        <f t="shared" si="90"/>
        <v>42</v>
      </c>
      <c r="P306" s="81">
        <f t="shared" si="91"/>
        <v>0</v>
      </c>
      <c r="Q306" s="79">
        <f t="shared" si="92"/>
        <v>59.84</v>
      </c>
      <c r="R306" s="80">
        <f t="shared" si="93"/>
        <v>48</v>
      </c>
      <c r="S306" s="81">
        <f t="shared" si="94"/>
        <v>68</v>
      </c>
      <c r="T306" s="92">
        <f t="shared" si="95"/>
        <v>270.2</v>
      </c>
      <c r="U306" s="93">
        <f t="shared" si="88"/>
        <v>216.16</v>
      </c>
    </row>
    <row r="307" spans="1:21" x14ac:dyDescent="0.25">
      <c r="A307" s="71">
        <f t="shared" si="80"/>
        <v>2023</v>
      </c>
      <c r="B307" s="72" t="str">
        <f t="shared" si="78"/>
        <v>AGOSTO</v>
      </c>
      <c r="C307" s="73" t="str">
        <f t="shared" si="79"/>
        <v>QUINTA</v>
      </c>
      <c r="D307" s="74">
        <v>45155</v>
      </c>
      <c r="E307" s="89">
        <f t="shared" si="81"/>
        <v>7</v>
      </c>
      <c r="F307" s="90">
        <f t="shared" si="82"/>
        <v>7</v>
      </c>
      <c r="G307" s="91"/>
      <c r="H307" s="76">
        <f t="shared" si="83"/>
        <v>14</v>
      </c>
      <c r="I307" s="89">
        <f t="shared" si="84"/>
        <v>8</v>
      </c>
      <c r="J307" s="90">
        <f t="shared" si="85"/>
        <v>8</v>
      </c>
      <c r="K307" s="91">
        <f t="shared" si="86"/>
        <v>8</v>
      </c>
      <c r="L307" s="76">
        <f t="shared" si="87"/>
        <v>24</v>
      </c>
      <c r="N307" s="79">
        <f t="shared" si="89"/>
        <v>52.36</v>
      </c>
      <c r="O307" s="80">
        <f t="shared" si="90"/>
        <v>42</v>
      </c>
      <c r="P307" s="81">
        <f t="shared" si="91"/>
        <v>0</v>
      </c>
      <c r="Q307" s="79">
        <f t="shared" si="92"/>
        <v>59.84</v>
      </c>
      <c r="R307" s="80">
        <f t="shared" si="93"/>
        <v>48</v>
      </c>
      <c r="S307" s="81">
        <f t="shared" si="94"/>
        <v>68</v>
      </c>
      <c r="T307" s="92">
        <f t="shared" si="95"/>
        <v>270.2</v>
      </c>
      <c r="U307" s="93">
        <f t="shared" si="88"/>
        <v>216.16</v>
      </c>
    </row>
    <row r="308" spans="1:21" x14ac:dyDescent="0.25">
      <c r="A308" s="71">
        <f t="shared" si="80"/>
        <v>2023</v>
      </c>
      <c r="B308" s="72" t="str">
        <f t="shared" si="78"/>
        <v>AGOSTO</v>
      </c>
      <c r="C308" s="73" t="str">
        <f t="shared" si="79"/>
        <v>SEXTA</v>
      </c>
      <c r="D308" s="74">
        <v>45156</v>
      </c>
      <c r="E308" s="89">
        <f t="shared" si="81"/>
        <v>7</v>
      </c>
      <c r="F308" s="90">
        <f t="shared" si="82"/>
        <v>7</v>
      </c>
      <c r="G308" s="91"/>
      <c r="H308" s="76">
        <f t="shared" si="83"/>
        <v>14</v>
      </c>
      <c r="I308" s="89">
        <f t="shared" si="84"/>
        <v>8</v>
      </c>
      <c r="J308" s="90">
        <f t="shared" si="85"/>
        <v>8</v>
      </c>
      <c r="K308" s="91">
        <f t="shared" si="86"/>
        <v>8</v>
      </c>
      <c r="L308" s="76">
        <f t="shared" si="87"/>
        <v>24</v>
      </c>
      <c r="N308" s="79">
        <f t="shared" si="89"/>
        <v>52.36</v>
      </c>
      <c r="O308" s="80">
        <f t="shared" si="90"/>
        <v>42</v>
      </c>
      <c r="P308" s="81">
        <f t="shared" si="91"/>
        <v>0</v>
      </c>
      <c r="Q308" s="79">
        <f t="shared" si="92"/>
        <v>59.84</v>
      </c>
      <c r="R308" s="80">
        <f t="shared" si="93"/>
        <v>48</v>
      </c>
      <c r="S308" s="81">
        <f t="shared" si="94"/>
        <v>68</v>
      </c>
      <c r="T308" s="92">
        <f t="shared" si="95"/>
        <v>270.2</v>
      </c>
      <c r="U308" s="93">
        <f t="shared" si="88"/>
        <v>216.16</v>
      </c>
    </row>
    <row r="309" spans="1:21" x14ac:dyDescent="0.25">
      <c r="A309" s="71">
        <f t="shared" si="80"/>
        <v>2023</v>
      </c>
      <c r="B309" s="72" t="str">
        <f t="shared" si="78"/>
        <v>AGOSTO</v>
      </c>
      <c r="C309" s="73" t="str">
        <f t="shared" si="79"/>
        <v>SÁBADO</v>
      </c>
      <c r="D309" s="74">
        <v>45157</v>
      </c>
      <c r="E309" s="89">
        <f t="shared" si="81"/>
        <v>0</v>
      </c>
      <c r="F309" s="90">
        <f t="shared" si="82"/>
        <v>7</v>
      </c>
      <c r="G309" s="91"/>
      <c r="H309" s="76">
        <f t="shared" si="83"/>
        <v>7</v>
      </c>
      <c r="I309" s="89">
        <f t="shared" si="84"/>
        <v>0</v>
      </c>
      <c r="J309" s="90">
        <f t="shared" si="85"/>
        <v>8</v>
      </c>
      <c r="K309" s="91">
        <f t="shared" si="86"/>
        <v>0</v>
      </c>
      <c r="L309" s="76">
        <f t="shared" si="87"/>
        <v>8</v>
      </c>
      <c r="N309" s="79">
        <f t="shared" si="89"/>
        <v>0</v>
      </c>
      <c r="O309" s="80">
        <f t="shared" si="90"/>
        <v>42</v>
      </c>
      <c r="P309" s="81">
        <f t="shared" si="91"/>
        <v>0</v>
      </c>
      <c r="Q309" s="79">
        <f t="shared" si="92"/>
        <v>0</v>
      </c>
      <c r="R309" s="80">
        <f t="shared" si="93"/>
        <v>48</v>
      </c>
      <c r="S309" s="81">
        <f t="shared" si="94"/>
        <v>0</v>
      </c>
      <c r="T309" s="92">
        <f t="shared" si="95"/>
        <v>90</v>
      </c>
      <c r="U309" s="93">
        <f t="shared" si="88"/>
        <v>72</v>
      </c>
    </row>
    <row r="310" spans="1:21" x14ac:dyDescent="0.25">
      <c r="A310" s="71">
        <f t="shared" si="80"/>
        <v>2023</v>
      </c>
      <c r="B310" s="72" t="str">
        <f t="shared" si="78"/>
        <v>AGOSTO</v>
      </c>
      <c r="C310" s="73" t="str">
        <f t="shared" si="79"/>
        <v>DOMINGO</v>
      </c>
      <c r="D310" s="74">
        <v>45158</v>
      </c>
      <c r="E310" s="89">
        <f t="shared" si="81"/>
        <v>0</v>
      </c>
      <c r="F310" s="90">
        <f t="shared" si="82"/>
        <v>0</v>
      </c>
      <c r="G310" s="91"/>
      <c r="H310" s="76">
        <f t="shared" si="83"/>
        <v>0</v>
      </c>
      <c r="I310" s="89">
        <f t="shared" si="84"/>
        <v>0</v>
      </c>
      <c r="J310" s="90">
        <f t="shared" si="85"/>
        <v>0</v>
      </c>
      <c r="K310" s="91">
        <f t="shared" si="86"/>
        <v>0</v>
      </c>
      <c r="L310" s="76">
        <f t="shared" si="87"/>
        <v>0</v>
      </c>
      <c r="N310" s="79">
        <f t="shared" si="89"/>
        <v>0</v>
      </c>
      <c r="O310" s="80">
        <f t="shared" si="90"/>
        <v>0</v>
      </c>
      <c r="P310" s="81">
        <f t="shared" si="91"/>
        <v>0</v>
      </c>
      <c r="Q310" s="79">
        <f t="shared" si="92"/>
        <v>0</v>
      </c>
      <c r="R310" s="80">
        <f t="shared" si="93"/>
        <v>0</v>
      </c>
      <c r="S310" s="81">
        <f t="shared" si="94"/>
        <v>0</v>
      </c>
      <c r="T310" s="92">
        <f t="shared" si="95"/>
        <v>0</v>
      </c>
      <c r="U310" s="93">
        <f t="shared" si="88"/>
        <v>0</v>
      </c>
    </row>
    <row r="311" spans="1:21" x14ac:dyDescent="0.25">
      <c r="A311" s="71">
        <f t="shared" si="80"/>
        <v>2023</v>
      </c>
      <c r="B311" s="72" t="str">
        <f t="shared" si="78"/>
        <v>AGOSTO</v>
      </c>
      <c r="C311" s="73" t="str">
        <f t="shared" si="79"/>
        <v>SEGUNDA</v>
      </c>
      <c r="D311" s="74">
        <v>45159</v>
      </c>
      <c r="E311" s="89">
        <f t="shared" si="81"/>
        <v>7</v>
      </c>
      <c r="F311" s="90">
        <f t="shared" si="82"/>
        <v>7</v>
      </c>
      <c r="G311" s="91"/>
      <c r="H311" s="76">
        <f t="shared" si="83"/>
        <v>14</v>
      </c>
      <c r="I311" s="89">
        <f t="shared" si="84"/>
        <v>8</v>
      </c>
      <c r="J311" s="90">
        <f t="shared" si="85"/>
        <v>8</v>
      </c>
      <c r="K311" s="91">
        <f t="shared" si="86"/>
        <v>8</v>
      </c>
      <c r="L311" s="76">
        <f t="shared" si="87"/>
        <v>24</v>
      </c>
      <c r="N311" s="79">
        <f t="shared" si="89"/>
        <v>52.36</v>
      </c>
      <c r="O311" s="80">
        <f t="shared" si="90"/>
        <v>42</v>
      </c>
      <c r="P311" s="81">
        <f t="shared" si="91"/>
        <v>0</v>
      </c>
      <c r="Q311" s="79">
        <f t="shared" si="92"/>
        <v>59.84</v>
      </c>
      <c r="R311" s="80">
        <f t="shared" si="93"/>
        <v>48</v>
      </c>
      <c r="S311" s="81">
        <f t="shared" si="94"/>
        <v>68</v>
      </c>
      <c r="T311" s="92">
        <f t="shared" si="95"/>
        <v>270.2</v>
      </c>
      <c r="U311" s="93">
        <f t="shared" si="88"/>
        <v>216.16</v>
      </c>
    </row>
    <row r="312" spans="1:21" x14ac:dyDescent="0.25">
      <c r="A312" s="71">
        <f t="shared" si="80"/>
        <v>2023</v>
      </c>
      <c r="B312" s="72" t="str">
        <f t="shared" si="78"/>
        <v>AGOSTO</v>
      </c>
      <c r="C312" s="73" t="str">
        <f t="shared" si="79"/>
        <v>TERÇA</v>
      </c>
      <c r="D312" s="74">
        <v>45160</v>
      </c>
      <c r="E312" s="89">
        <f t="shared" si="81"/>
        <v>7</v>
      </c>
      <c r="F312" s="90">
        <f t="shared" si="82"/>
        <v>7</v>
      </c>
      <c r="G312" s="91"/>
      <c r="H312" s="76">
        <f t="shared" si="83"/>
        <v>14</v>
      </c>
      <c r="I312" s="89">
        <f t="shared" si="84"/>
        <v>8</v>
      </c>
      <c r="J312" s="90">
        <f t="shared" si="85"/>
        <v>8</v>
      </c>
      <c r="K312" s="91">
        <f t="shared" si="86"/>
        <v>8</v>
      </c>
      <c r="L312" s="76">
        <f t="shared" si="87"/>
        <v>24</v>
      </c>
      <c r="N312" s="79">
        <f t="shared" si="89"/>
        <v>52.36</v>
      </c>
      <c r="O312" s="80">
        <f t="shared" si="90"/>
        <v>42</v>
      </c>
      <c r="P312" s="81">
        <f t="shared" si="91"/>
        <v>0</v>
      </c>
      <c r="Q312" s="79">
        <f t="shared" si="92"/>
        <v>59.84</v>
      </c>
      <c r="R312" s="80">
        <f t="shared" si="93"/>
        <v>48</v>
      </c>
      <c r="S312" s="81">
        <f t="shared" si="94"/>
        <v>68</v>
      </c>
      <c r="T312" s="92">
        <f t="shared" si="95"/>
        <v>270.2</v>
      </c>
      <c r="U312" s="93">
        <f t="shared" si="88"/>
        <v>216.16</v>
      </c>
    </row>
    <row r="313" spans="1:21" x14ac:dyDescent="0.25">
      <c r="A313" s="71">
        <f t="shared" si="80"/>
        <v>2023</v>
      </c>
      <c r="B313" s="72" t="str">
        <f t="shared" si="78"/>
        <v>AGOSTO</v>
      </c>
      <c r="C313" s="73" t="str">
        <f t="shared" si="79"/>
        <v>QUARTA</v>
      </c>
      <c r="D313" s="74">
        <v>45161</v>
      </c>
      <c r="E313" s="89">
        <f t="shared" si="81"/>
        <v>7</v>
      </c>
      <c r="F313" s="90">
        <f t="shared" si="82"/>
        <v>7</v>
      </c>
      <c r="G313" s="91"/>
      <c r="H313" s="76">
        <f t="shared" si="83"/>
        <v>14</v>
      </c>
      <c r="I313" s="89">
        <f t="shared" si="84"/>
        <v>8</v>
      </c>
      <c r="J313" s="90">
        <f t="shared" si="85"/>
        <v>8</v>
      </c>
      <c r="K313" s="91">
        <f t="shared" si="86"/>
        <v>8</v>
      </c>
      <c r="L313" s="76">
        <f t="shared" si="87"/>
        <v>24</v>
      </c>
      <c r="N313" s="79">
        <f t="shared" si="89"/>
        <v>52.36</v>
      </c>
      <c r="O313" s="80">
        <f t="shared" si="90"/>
        <v>42</v>
      </c>
      <c r="P313" s="81">
        <f t="shared" si="91"/>
        <v>0</v>
      </c>
      <c r="Q313" s="79">
        <f t="shared" si="92"/>
        <v>59.84</v>
      </c>
      <c r="R313" s="80">
        <f t="shared" si="93"/>
        <v>48</v>
      </c>
      <c r="S313" s="81">
        <f t="shared" si="94"/>
        <v>68</v>
      </c>
      <c r="T313" s="92">
        <f t="shared" si="95"/>
        <v>270.2</v>
      </c>
      <c r="U313" s="93">
        <f t="shared" si="88"/>
        <v>216.16</v>
      </c>
    </row>
    <row r="314" spans="1:21" x14ac:dyDescent="0.25">
      <c r="A314" s="71">
        <f t="shared" si="80"/>
        <v>2023</v>
      </c>
      <c r="B314" s="72" t="str">
        <f t="shared" si="78"/>
        <v>AGOSTO</v>
      </c>
      <c r="C314" s="73" t="str">
        <f t="shared" si="79"/>
        <v>QUINTA</v>
      </c>
      <c r="D314" s="74">
        <v>45162</v>
      </c>
      <c r="E314" s="89">
        <f t="shared" si="81"/>
        <v>7</v>
      </c>
      <c r="F314" s="90">
        <f t="shared" si="82"/>
        <v>7</v>
      </c>
      <c r="G314" s="91"/>
      <c r="H314" s="76">
        <f t="shared" si="83"/>
        <v>14</v>
      </c>
      <c r="I314" s="89">
        <f t="shared" si="84"/>
        <v>8</v>
      </c>
      <c r="J314" s="90">
        <f t="shared" si="85"/>
        <v>8</v>
      </c>
      <c r="K314" s="91">
        <f t="shared" si="86"/>
        <v>8</v>
      </c>
      <c r="L314" s="76">
        <f t="shared" si="87"/>
        <v>24</v>
      </c>
      <c r="N314" s="79">
        <f t="shared" si="89"/>
        <v>52.36</v>
      </c>
      <c r="O314" s="80">
        <f t="shared" si="90"/>
        <v>42</v>
      </c>
      <c r="P314" s="81">
        <f t="shared" si="91"/>
        <v>0</v>
      </c>
      <c r="Q314" s="79">
        <f t="shared" si="92"/>
        <v>59.84</v>
      </c>
      <c r="R314" s="80">
        <f t="shared" si="93"/>
        <v>48</v>
      </c>
      <c r="S314" s="81">
        <f t="shared" si="94"/>
        <v>68</v>
      </c>
      <c r="T314" s="92">
        <f t="shared" si="95"/>
        <v>270.2</v>
      </c>
      <c r="U314" s="93">
        <f t="shared" si="88"/>
        <v>216.16</v>
      </c>
    </row>
    <row r="315" spans="1:21" x14ac:dyDescent="0.25">
      <c r="A315" s="71">
        <f t="shared" si="80"/>
        <v>2023</v>
      </c>
      <c r="B315" s="72" t="str">
        <f t="shared" si="78"/>
        <v>AGOSTO</v>
      </c>
      <c r="C315" s="73" t="str">
        <f t="shared" si="79"/>
        <v>SEXTA</v>
      </c>
      <c r="D315" s="74">
        <v>45163</v>
      </c>
      <c r="E315" s="89">
        <f t="shared" si="81"/>
        <v>7</v>
      </c>
      <c r="F315" s="90">
        <f t="shared" si="82"/>
        <v>7</v>
      </c>
      <c r="G315" s="91"/>
      <c r="H315" s="76">
        <f t="shared" si="83"/>
        <v>14</v>
      </c>
      <c r="I315" s="89">
        <f t="shared" si="84"/>
        <v>8</v>
      </c>
      <c r="J315" s="90">
        <f t="shared" si="85"/>
        <v>8</v>
      </c>
      <c r="K315" s="91">
        <f t="shared" si="86"/>
        <v>8</v>
      </c>
      <c r="L315" s="76">
        <f t="shared" si="87"/>
        <v>24</v>
      </c>
      <c r="N315" s="79">
        <f t="shared" si="89"/>
        <v>52.36</v>
      </c>
      <c r="O315" s="80">
        <f t="shared" si="90"/>
        <v>42</v>
      </c>
      <c r="P315" s="81">
        <f t="shared" si="91"/>
        <v>0</v>
      </c>
      <c r="Q315" s="79">
        <f t="shared" si="92"/>
        <v>59.84</v>
      </c>
      <c r="R315" s="80">
        <f t="shared" si="93"/>
        <v>48</v>
      </c>
      <c r="S315" s="81">
        <f t="shared" si="94"/>
        <v>68</v>
      </c>
      <c r="T315" s="92">
        <f t="shared" si="95"/>
        <v>270.2</v>
      </c>
      <c r="U315" s="93">
        <f t="shared" si="88"/>
        <v>216.16</v>
      </c>
    </row>
    <row r="316" spans="1:21" x14ac:dyDescent="0.25">
      <c r="A316" s="71">
        <f t="shared" si="80"/>
        <v>2023</v>
      </c>
      <c r="B316" s="72" t="str">
        <f t="shared" si="78"/>
        <v>AGOSTO</v>
      </c>
      <c r="C316" s="73" t="str">
        <f t="shared" si="79"/>
        <v>SÁBADO</v>
      </c>
      <c r="D316" s="74">
        <v>45164</v>
      </c>
      <c r="E316" s="89">
        <f t="shared" si="81"/>
        <v>0</v>
      </c>
      <c r="F316" s="90">
        <f t="shared" si="82"/>
        <v>7</v>
      </c>
      <c r="G316" s="91"/>
      <c r="H316" s="76">
        <f t="shared" si="83"/>
        <v>7</v>
      </c>
      <c r="I316" s="89">
        <f t="shared" si="84"/>
        <v>0</v>
      </c>
      <c r="J316" s="90">
        <f t="shared" si="85"/>
        <v>8</v>
      </c>
      <c r="K316" s="91">
        <f t="shared" si="86"/>
        <v>0</v>
      </c>
      <c r="L316" s="76">
        <f t="shared" si="87"/>
        <v>8</v>
      </c>
      <c r="N316" s="79">
        <f t="shared" si="89"/>
        <v>0</v>
      </c>
      <c r="O316" s="80">
        <f t="shared" si="90"/>
        <v>42</v>
      </c>
      <c r="P316" s="81">
        <f t="shared" si="91"/>
        <v>0</v>
      </c>
      <c r="Q316" s="79">
        <f t="shared" si="92"/>
        <v>0</v>
      </c>
      <c r="R316" s="80">
        <f t="shared" si="93"/>
        <v>48</v>
      </c>
      <c r="S316" s="81">
        <f t="shared" si="94"/>
        <v>0</v>
      </c>
      <c r="T316" s="92">
        <f t="shared" si="95"/>
        <v>90</v>
      </c>
      <c r="U316" s="93">
        <f t="shared" si="88"/>
        <v>72</v>
      </c>
    </row>
    <row r="317" spans="1:21" x14ac:dyDescent="0.25">
      <c r="A317" s="71">
        <f t="shared" si="80"/>
        <v>2023</v>
      </c>
      <c r="B317" s="72" t="str">
        <f t="shared" si="78"/>
        <v>AGOSTO</v>
      </c>
      <c r="C317" s="73" t="str">
        <f t="shared" si="79"/>
        <v>DOMINGO</v>
      </c>
      <c r="D317" s="74">
        <v>45165</v>
      </c>
      <c r="E317" s="89">
        <f t="shared" si="81"/>
        <v>0</v>
      </c>
      <c r="F317" s="90">
        <f t="shared" si="82"/>
        <v>0</v>
      </c>
      <c r="G317" s="91"/>
      <c r="H317" s="76">
        <f t="shared" si="83"/>
        <v>0</v>
      </c>
      <c r="I317" s="89">
        <f t="shared" si="84"/>
        <v>0</v>
      </c>
      <c r="J317" s="90">
        <f t="shared" si="85"/>
        <v>0</v>
      </c>
      <c r="K317" s="91">
        <f t="shared" si="86"/>
        <v>0</v>
      </c>
      <c r="L317" s="76">
        <f t="shared" si="87"/>
        <v>0</v>
      </c>
      <c r="N317" s="79">
        <f t="shared" si="89"/>
        <v>0</v>
      </c>
      <c r="O317" s="80">
        <f t="shared" si="90"/>
        <v>0</v>
      </c>
      <c r="P317" s="81">
        <f t="shared" si="91"/>
        <v>0</v>
      </c>
      <c r="Q317" s="79">
        <f t="shared" si="92"/>
        <v>0</v>
      </c>
      <c r="R317" s="80">
        <f t="shared" si="93"/>
        <v>0</v>
      </c>
      <c r="S317" s="81">
        <f t="shared" si="94"/>
        <v>0</v>
      </c>
      <c r="T317" s="92">
        <f t="shared" si="95"/>
        <v>0</v>
      </c>
      <c r="U317" s="93">
        <f t="shared" si="88"/>
        <v>0</v>
      </c>
    </row>
    <row r="318" spans="1:21" x14ac:dyDescent="0.25">
      <c r="A318" s="71">
        <f t="shared" si="80"/>
        <v>2023</v>
      </c>
      <c r="B318" s="72" t="str">
        <f t="shared" si="78"/>
        <v>AGOSTO</v>
      </c>
      <c r="C318" s="73" t="str">
        <f t="shared" si="79"/>
        <v>SEGUNDA</v>
      </c>
      <c r="D318" s="74">
        <v>45166</v>
      </c>
      <c r="E318" s="89">
        <f t="shared" si="81"/>
        <v>7</v>
      </c>
      <c r="F318" s="90">
        <f t="shared" si="82"/>
        <v>7</v>
      </c>
      <c r="G318" s="91"/>
      <c r="H318" s="76">
        <f t="shared" si="83"/>
        <v>14</v>
      </c>
      <c r="I318" s="89">
        <f t="shared" si="84"/>
        <v>8</v>
      </c>
      <c r="J318" s="90">
        <f t="shared" si="85"/>
        <v>8</v>
      </c>
      <c r="K318" s="91">
        <f t="shared" si="86"/>
        <v>8</v>
      </c>
      <c r="L318" s="76">
        <f t="shared" si="87"/>
        <v>24</v>
      </c>
      <c r="N318" s="79">
        <f t="shared" si="89"/>
        <v>52.36</v>
      </c>
      <c r="O318" s="80">
        <f t="shared" si="90"/>
        <v>42</v>
      </c>
      <c r="P318" s="81">
        <f t="shared" si="91"/>
        <v>0</v>
      </c>
      <c r="Q318" s="79">
        <f t="shared" si="92"/>
        <v>59.84</v>
      </c>
      <c r="R318" s="80">
        <f t="shared" si="93"/>
        <v>48</v>
      </c>
      <c r="S318" s="81">
        <f t="shared" si="94"/>
        <v>68</v>
      </c>
      <c r="T318" s="92">
        <f t="shared" si="95"/>
        <v>270.2</v>
      </c>
      <c r="U318" s="93">
        <f t="shared" si="88"/>
        <v>216.16</v>
      </c>
    </row>
    <row r="319" spans="1:21" x14ac:dyDescent="0.25">
      <c r="A319" s="71">
        <f t="shared" si="80"/>
        <v>2023</v>
      </c>
      <c r="B319" s="72" t="str">
        <f t="shared" ref="B319:B382" si="96">VLOOKUP(MONTH(D319),$AG$2:$AH$14,2,0)</f>
        <v>AGOSTO</v>
      </c>
      <c r="C319" s="73" t="str">
        <f t="shared" si="79"/>
        <v>TERÇA</v>
      </c>
      <c r="D319" s="74">
        <v>45167</v>
      </c>
      <c r="E319" s="89">
        <f t="shared" si="81"/>
        <v>7</v>
      </c>
      <c r="F319" s="90">
        <f t="shared" si="82"/>
        <v>7</v>
      </c>
      <c r="G319" s="91"/>
      <c r="H319" s="76">
        <f t="shared" si="83"/>
        <v>14</v>
      </c>
      <c r="I319" s="89">
        <f t="shared" si="84"/>
        <v>8</v>
      </c>
      <c r="J319" s="90">
        <f t="shared" si="85"/>
        <v>8</v>
      </c>
      <c r="K319" s="91">
        <f t="shared" si="86"/>
        <v>8</v>
      </c>
      <c r="L319" s="76">
        <f t="shared" si="87"/>
        <v>24</v>
      </c>
      <c r="N319" s="79">
        <f t="shared" si="89"/>
        <v>52.36</v>
      </c>
      <c r="O319" s="80">
        <f t="shared" si="90"/>
        <v>42</v>
      </c>
      <c r="P319" s="81">
        <f t="shared" si="91"/>
        <v>0</v>
      </c>
      <c r="Q319" s="79">
        <f t="shared" si="92"/>
        <v>59.84</v>
      </c>
      <c r="R319" s="80">
        <f t="shared" si="93"/>
        <v>48</v>
      </c>
      <c r="S319" s="81">
        <f t="shared" si="94"/>
        <v>68</v>
      </c>
      <c r="T319" s="92">
        <f t="shared" si="95"/>
        <v>270.2</v>
      </c>
      <c r="U319" s="93">
        <f t="shared" si="88"/>
        <v>216.16</v>
      </c>
    </row>
    <row r="320" spans="1:21" x14ac:dyDescent="0.25">
      <c r="A320" s="71">
        <f t="shared" si="80"/>
        <v>2023</v>
      </c>
      <c r="B320" s="72" t="str">
        <f t="shared" si="96"/>
        <v>AGOSTO</v>
      </c>
      <c r="C320" s="73" t="str">
        <f t="shared" si="79"/>
        <v>QUARTA</v>
      </c>
      <c r="D320" s="74">
        <v>45168</v>
      </c>
      <c r="E320" s="89">
        <f t="shared" si="81"/>
        <v>7</v>
      </c>
      <c r="F320" s="90">
        <f t="shared" si="82"/>
        <v>7</v>
      </c>
      <c r="G320" s="91"/>
      <c r="H320" s="76">
        <f t="shared" si="83"/>
        <v>14</v>
      </c>
      <c r="I320" s="89">
        <f t="shared" si="84"/>
        <v>8</v>
      </c>
      <c r="J320" s="90">
        <f t="shared" si="85"/>
        <v>8</v>
      </c>
      <c r="K320" s="91">
        <f t="shared" si="86"/>
        <v>8</v>
      </c>
      <c r="L320" s="76">
        <f t="shared" si="87"/>
        <v>24</v>
      </c>
      <c r="N320" s="79">
        <f t="shared" si="89"/>
        <v>52.36</v>
      </c>
      <c r="O320" s="80">
        <f t="shared" si="90"/>
        <v>42</v>
      </c>
      <c r="P320" s="81">
        <f t="shared" si="91"/>
        <v>0</v>
      </c>
      <c r="Q320" s="79">
        <f t="shared" si="92"/>
        <v>59.84</v>
      </c>
      <c r="R320" s="80">
        <f t="shared" si="93"/>
        <v>48</v>
      </c>
      <c r="S320" s="81">
        <f t="shared" si="94"/>
        <v>68</v>
      </c>
      <c r="T320" s="92">
        <f t="shared" si="95"/>
        <v>270.2</v>
      </c>
      <c r="U320" s="93">
        <f t="shared" si="88"/>
        <v>216.16</v>
      </c>
    </row>
    <row r="321" spans="1:21" x14ac:dyDescent="0.25">
      <c r="A321" s="71">
        <f t="shared" si="80"/>
        <v>2023</v>
      </c>
      <c r="B321" s="72" t="str">
        <f t="shared" si="96"/>
        <v>AGOSTO</v>
      </c>
      <c r="C321" s="73" t="str">
        <f t="shared" si="79"/>
        <v>QUINTA</v>
      </c>
      <c r="D321" s="74">
        <v>45169</v>
      </c>
      <c r="E321" s="89">
        <f t="shared" si="81"/>
        <v>7</v>
      </c>
      <c r="F321" s="90">
        <f t="shared" si="82"/>
        <v>7</v>
      </c>
      <c r="G321" s="91"/>
      <c r="H321" s="76">
        <f t="shared" si="83"/>
        <v>14</v>
      </c>
      <c r="I321" s="89">
        <f t="shared" si="84"/>
        <v>8</v>
      </c>
      <c r="J321" s="90">
        <f t="shared" si="85"/>
        <v>8</v>
      </c>
      <c r="K321" s="91">
        <f t="shared" si="86"/>
        <v>8</v>
      </c>
      <c r="L321" s="76">
        <f t="shared" si="87"/>
        <v>24</v>
      </c>
      <c r="N321" s="79">
        <f t="shared" si="89"/>
        <v>52.36</v>
      </c>
      <c r="O321" s="80">
        <f t="shared" si="90"/>
        <v>42</v>
      </c>
      <c r="P321" s="81">
        <f t="shared" si="91"/>
        <v>0</v>
      </c>
      <c r="Q321" s="79">
        <f t="shared" si="92"/>
        <v>59.84</v>
      </c>
      <c r="R321" s="80">
        <f t="shared" si="93"/>
        <v>48</v>
      </c>
      <c r="S321" s="81">
        <f t="shared" si="94"/>
        <v>68</v>
      </c>
      <c r="T321" s="92">
        <f t="shared" si="95"/>
        <v>270.2</v>
      </c>
      <c r="U321" s="93">
        <f t="shared" si="88"/>
        <v>216.16</v>
      </c>
    </row>
    <row r="322" spans="1:21" x14ac:dyDescent="0.25">
      <c r="A322" s="71">
        <f t="shared" si="80"/>
        <v>2023</v>
      </c>
      <c r="B322" s="72" t="str">
        <f t="shared" si="96"/>
        <v>SETEMBRO</v>
      </c>
      <c r="C322" s="73" t="str">
        <f t="shared" si="79"/>
        <v>SEXTA</v>
      </c>
      <c r="D322" s="74">
        <v>45170</v>
      </c>
      <c r="E322" s="89">
        <f t="shared" si="81"/>
        <v>7</v>
      </c>
      <c r="F322" s="90">
        <f t="shared" si="82"/>
        <v>7</v>
      </c>
      <c r="G322" s="91"/>
      <c r="H322" s="76">
        <f t="shared" si="83"/>
        <v>14</v>
      </c>
      <c r="I322" s="89">
        <f t="shared" si="84"/>
        <v>8</v>
      </c>
      <c r="J322" s="90">
        <f t="shared" si="85"/>
        <v>8</v>
      </c>
      <c r="K322" s="91">
        <f t="shared" si="86"/>
        <v>8</v>
      </c>
      <c r="L322" s="76">
        <f t="shared" si="87"/>
        <v>24</v>
      </c>
      <c r="N322" s="79">
        <f t="shared" si="89"/>
        <v>52.36</v>
      </c>
      <c r="O322" s="80">
        <f t="shared" si="90"/>
        <v>42</v>
      </c>
      <c r="P322" s="81">
        <f t="shared" si="91"/>
        <v>0</v>
      </c>
      <c r="Q322" s="79">
        <f t="shared" si="92"/>
        <v>59.84</v>
      </c>
      <c r="R322" s="80">
        <f t="shared" si="93"/>
        <v>48</v>
      </c>
      <c r="S322" s="81">
        <f t="shared" si="94"/>
        <v>68</v>
      </c>
      <c r="T322" s="92">
        <f t="shared" si="95"/>
        <v>270.2</v>
      </c>
      <c r="U322" s="93">
        <f t="shared" si="88"/>
        <v>216.16</v>
      </c>
    </row>
    <row r="323" spans="1:21" x14ac:dyDescent="0.25">
      <c r="A323" s="71">
        <f t="shared" si="80"/>
        <v>2023</v>
      </c>
      <c r="B323" s="72" t="str">
        <f t="shared" si="96"/>
        <v>SETEMBRO</v>
      </c>
      <c r="C323" s="73" t="str">
        <f t="shared" si="79"/>
        <v>SÁBADO</v>
      </c>
      <c r="D323" s="74">
        <v>45171</v>
      </c>
      <c r="E323" s="89">
        <f t="shared" si="81"/>
        <v>0</v>
      </c>
      <c r="F323" s="90">
        <f t="shared" si="82"/>
        <v>7</v>
      </c>
      <c r="G323" s="91"/>
      <c r="H323" s="76">
        <f t="shared" si="83"/>
        <v>7</v>
      </c>
      <c r="I323" s="89">
        <f t="shared" si="84"/>
        <v>0</v>
      </c>
      <c r="J323" s="90">
        <f t="shared" si="85"/>
        <v>8</v>
      </c>
      <c r="K323" s="91">
        <f t="shared" si="86"/>
        <v>0</v>
      </c>
      <c r="L323" s="76">
        <f t="shared" si="87"/>
        <v>8</v>
      </c>
      <c r="N323" s="79">
        <f t="shared" si="89"/>
        <v>0</v>
      </c>
      <c r="O323" s="80">
        <f t="shared" si="90"/>
        <v>42</v>
      </c>
      <c r="P323" s="81">
        <f t="shared" si="91"/>
        <v>0</v>
      </c>
      <c r="Q323" s="79">
        <f t="shared" si="92"/>
        <v>0</v>
      </c>
      <c r="R323" s="80">
        <f t="shared" si="93"/>
        <v>48</v>
      </c>
      <c r="S323" s="81">
        <f t="shared" si="94"/>
        <v>0</v>
      </c>
      <c r="T323" s="92">
        <f t="shared" si="95"/>
        <v>90</v>
      </c>
      <c r="U323" s="93">
        <f t="shared" si="88"/>
        <v>72</v>
      </c>
    </row>
    <row r="324" spans="1:21" x14ac:dyDescent="0.25">
      <c r="A324" s="71">
        <f t="shared" si="80"/>
        <v>2023</v>
      </c>
      <c r="B324" s="72" t="str">
        <f t="shared" si="96"/>
        <v>SETEMBRO</v>
      </c>
      <c r="C324" s="73" t="str">
        <f t="shared" si="79"/>
        <v>DOMINGO</v>
      </c>
      <c r="D324" s="74">
        <v>45172</v>
      </c>
      <c r="E324" s="89">
        <f t="shared" si="81"/>
        <v>0</v>
      </c>
      <c r="F324" s="90">
        <f t="shared" si="82"/>
        <v>0</v>
      </c>
      <c r="G324" s="91"/>
      <c r="H324" s="76">
        <f t="shared" si="83"/>
        <v>0</v>
      </c>
      <c r="I324" s="89">
        <f t="shared" si="84"/>
        <v>0</v>
      </c>
      <c r="J324" s="90">
        <f t="shared" si="85"/>
        <v>0</v>
      </c>
      <c r="K324" s="91">
        <f t="shared" si="86"/>
        <v>0</v>
      </c>
      <c r="L324" s="76">
        <f t="shared" si="87"/>
        <v>0</v>
      </c>
      <c r="N324" s="79">
        <f t="shared" si="89"/>
        <v>0</v>
      </c>
      <c r="O324" s="80">
        <f t="shared" si="90"/>
        <v>0</v>
      </c>
      <c r="P324" s="81">
        <f t="shared" si="91"/>
        <v>0</v>
      </c>
      <c r="Q324" s="79">
        <f t="shared" si="92"/>
        <v>0</v>
      </c>
      <c r="R324" s="80">
        <f t="shared" si="93"/>
        <v>0</v>
      </c>
      <c r="S324" s="81">
        <f t="shared" si="94"/>
        <v>0</v>
      </c>
      <c r="T324" s="92">
        <f t="shared" si="95"/>
        <v>0</v>
      </c>
      <c r="U324" s="93">
        <f t="shared" si="88"/>
        <v>0</v>
      </c>
    </row>
    <row r="325" spans="1:21" x14ac:dyDescent="0.25">
      <c r="A325" s="71">
        <f t="shared" si="80"/>
        <v>2023</v>
      </c>
      <c r="B325" s="72" t="str">
        <f t="shared" si="96"/>
        <v>SETEMBRO</v>
      </c>
      <c r="C325" s="73" t="str">
        <f t="shared" ref="C325:C388" si="97">VLOOKUP(WEEKDAY(D325),$AE$2:$AF$9,2,0)</f>
        <v>SEGUNDA</v>
      </c>
      <c r="D325" s="74">
        <v>45173</v>
      </c>
      <c r="E325" s="89">
        <f t="shared" si="81"/>
        <v>7</v>
      </c>
      <c r="F325" s="90">
        <f t="shared" si="82"/>
        <v>7</v>
      </c>
      <c r="G325" s="91"/>
      <c r="H325" s="76">
        <f t="shared" si="83"/>
        <v>14</v>
      </c>
      <c r="I325" s="89">
        <f t="shared" si="84"/>
        <v>8</v>
      </c>
      <c r="J325" s="90">
        <f t="shared" si="85"/>
        <v>8</v>
      </c>
      <c r="K325" s="91">
        <f t="shared" si="86"/>
        <v>8</v>
      </c>
      <c r="L325" s="76">
        <f t="shared" si="87"/>
        <v>24</v>
      </c>
      <c r="N325" s="79">
        <f t="shared" si="89"/>
        <v>52.36</v>
      </c>
      <c r="O325" s="80">
        <f t="shared" si="90"/>
        <v>42</v>
      </c>
      <c r="P325" s="81">
        <f t="shared" si="91"/>
        <v>0</v>
      </c>
      <c r="Q325" s="79">
        <f t="shared" si="92"/>
        <v>59.84</v>
      </c>
      <c r="R325" s="80">
        <f t="shared" si="93"/>
        <v>48</v>
      </c>
      <c r="S325" s="81">
        <f t="shared" si="94"/>
        <v>68</v>
      </c>
      <c r="T325" s="92">
        <f t="shared" si="95"/>
        <v>270.2</v>
      </c>
      <c r="U325" s="93">
        <f t="shared" si="88"/>
        <v>216.16</v>
      </c>
    </row>
    <row r="326" spans="1:21" x14ac:dyDescent="0.25">
      <c r="A326" s="71">
        <f t="shared" ref="A326:A389" si="98">YEAR(D326)</f>
        <v>2023</v>
      </c>
      <c r="B326" s="72" t="str">
        <f t="shared" si="96"/>
        <v>SETEMBRO</v>
      </c>
      <c r="C326" s="73" t="str">
        <f t="shared" si="97"/>
        <v>TERÇA</v>
      </c>
      <c r="D326" s="74">
        <v>45174</v>
      </c>
      <c r="E326" s="89">
        <f t="shared" ref="E326:E389" si="99">IF(WEEKDAY($D326)&lt;2,0,IF(WEEKDAY($D326)&gt;6,0,7))</f>
        <v>7</v>
      </c>
      <c r="F326" s="90">
        <f t="shared" ref="F326:F389" si="100">IF(WEEKDAY($D326)&lt;2,0,IF(WEEKDAY($D326)&gt;7,0,7))</f>
        <v>7</v>
      </c>
      <c r="G326" s="91"/>
      <c r="H326" s="76">
        <f t="shared" ref="H326:H389" si="101">SUM(E326:G326)</f>
        <v>14</v>
      </c>
      <c r="I326" s="89">
        <f t="shared" si="84"/>
        <v>8</v>
      </c>
      <c r="J326" s="90">
        <f t="shared" si="85"/>
        <v>8</v>
      </c>
      <c r="K326" s="91">
        <f t="shared" si="86"/>
        <v>8</v>
      </c>
      <c r="L326" s="76">
        <f t="shared" si="87"/>
        <v>24</v>
      </c>
      <c r="N326" s="79">
        <f t="shared" si="89"/>
        <v>52.36</v>
      </c>
      <c r="O326" s="80">
        <f t="shared" si="90"/>
        <v>42</v>
      </c>
      <c r="P326" s="81">
        <f t="shared" si="91"/>
        <v>0</v>
      </c>
      <c r="Q326" s="79">
        <f t="shared" si="92"/>
        <v>59.84</v>
      </c>
      <c r="R326" s="80">
        <f t="shared" si="93"/>
        <v>48</v>
      </c>
      <c r="S326" s="81">
        <f t="shared" si="94"/>
        <v>68</v>
      </c>
      <c r="T326" s="92">
        <f t="shared" si="95"/>
        <v>270.2</v>
      </c>
      <c r="U326" s="93">
        <f t="shared" si="88"/>
        <v>216.16</v>
      </c>
    </row>
    <row r="327" spans="1:21" x14ac:dyDescent="0.25">
      <c r="A327" s="71">
        <f t="shared" si="98"/>
        <v>2023</v>
      </c>
      <c r="B327" s="72" t="str">
        <f t="shared" si="96"/>
        <v>SETEMBRO</v>
      </c>
      <c r="C327" s="73" t="str">
        <f t="shared" si="97"/>
        <v>QUARTA</v>
      </c>
      <c r="D327" s="74">
        <v>45175</v>
      </c>
      <c r="E327" s="89">
        <f t="shared" si="99"/>
        <v>7</v>
      </c>
      <c r="F327" s="90">
        <f t="shared" si="100"/>
        <v>7</v>
      </c>
      <c r="G327" s="91"/>
      <c r="H327" s="76">
        <f t="shared" si="101"/>
        <v>14</v>
      </c>
      <c r="I327" s="89">
        <f t="shared" ref="I327:I390" si="102">IF(WEEKDAY($D327)&lt;2,0,IF(WEEKDAY($D327)&gt;6,0,8))</f>
        <v>8</v>
      </c>
      <c r="J327" s="90">
        <f t="shared" ref="J327:J390" si="103">IF(WEEKDAY($D327)&lt;2,0,IF(WEEKDAY($D327)&gt;7,0,8))</f>
        <v>8</v>
      </c>
      <c r="K327" s="91">
        <f t="shared" ref="K327:K390" si="104">IF(WEEKDAY($D327)&lt;2,0,IF(WEEKDAY($D327)&gt;6,0,8))</f>
        <v>8</v>
      </c>
      <c r="L327" s="76">
        <f t="shared" ref="L327:L390" si="105">SUM(I327:K327)</f>
        <v>24</v>
      </c>
      <c r="N327" s="79">
        <f t="shared" si="89"/>
        <v>52.36</v>
      </c>
      <c r="O327" s="80">
        <f t="shared" si="90"/>
        <v>42</v>
      </c>
      <c r="P327" s="81">
        <f t="shared" si="91"/>
        <v>0</v>
      </c>
      <c r="Q327" s="79">
        <f t="shared" si="92"/>
        <v>59.84</v>
      </c>
      <c r="R327" s="80">
        <f t="shared" si="93"/>
        <v>48</v>
      </c>
      <c r="S327" s="81">
        <f t="shared" si="94"/>
        <v>68</v>
      </c>
      <c r="T327" s="92">
        <f t="shared" si="95"/>
        <v>270.2</v>
      </c>
      <c r="U327" s="93">
        <f t="shared" ref="U327:U390" si="106">T327*0.8</f>
        <v>216.16</v>
      </c>
    </row>
    <row r="328" spans="1:21" x14ac:dyDescent="0.25">
      <c r="A328" s="71">
        <f t="shared" si="98"/>
        <v>2023</v>
      </c>
      <c r="B328" s="72" t="str">
        <f t="shared" si="96"/>
        <v>SETEMBRO</v>
      </c>
      <c r="C328" s="73" t="str">
        <f t="shared" si="97"/>
        <v>QUINTA</v>
      </c>
      <c r="D328" s="74">
        <v>45176</v>
      </c>
      <c r="E328" s="89">
        <f t="shared" si="99"/>
        <v>7</v>
      </c>
      <c r="F328" s="90">
        <f t="shared" si="100"/>
        <v>7</v>
      </c>
      <c r="G328" s="91"/>
      <c r="H328" s="76">
        <f t="shared" si="101"/>
        <v>14</v>
      </c>
      <c r="I328" s="89">
        <f t="shared" si="102"/>
        <v>8</v>
      </c>
      <c r="J328" s="90">
        <f t="shared" si="103"/>
        <v>8</v>
      </c>
      <c r="K328" s="91">
        <f t="shared" si="104"/>
        <v>8</v>
      </c>
      <c r="L328" s="76">
        <f t="shared" si="105"/>
        <v>24</v>
      </c>
      <c r="N328" s="79">
        <f t="shared" si="89"/>
        <v>52.36</v>
      </c>
      <c r="O328" s="80">
        <f t="shared" si="90"/>
        <v>42</v>
      </c>
      <c r="P328" s="81">
        <f t="shared" si="91"/>
        <v>0</v>
      </c>
      <c r="Q328" s="79">
        <f t="shared" si="92"/>
        <v>59.84</v>
      </c>
      <c r="R328" s="80">
        <f t="shared" si="93"/>
        <v>48</v>
      </c>
      <c r="S328" s="81">
        <f t="shared" si="94"/>
        <v>68</v>
      </c>
      <c r="T328" s="92">
        <f t="shared" si="95"/>
        <v>270.2</v>
      </c>
      <c r="U328" s="93">
        <f t="shared" si="106"/>
        <v>216.16</v>
      </c>
    </row>
    <row r="329" spans="1:21" x14ac:dyDescent="0.25">
      <c r="A329" s="71">
        <f t="shared" si="98"/>
        <v>2023</v>
      </c>
      <c r="B329" s="72" t="str">
        <f t="shared" si="96"/>
        <v>SETEMBRO</v>
      </c>
      <c r="C329" s="73" t="str">
        <f t="shared" si="97"/>
        <v>SEXTA</v>
      </c>
      <c r="D329" s="74">
        <v>45177</v>
      </c>
      <c r="E329" s="89">
        <f t="shared" si="99"/>
        <v>7</v>
      </c>
      <c r="F329" s="90">
        <f t="shared" si="100"/>
        <v>7</v>
      </c>
      <c r="G329" s="91"/>
      <c r="H329" s="76">
        <f t="shared" si="101"/>
        <v>14</v>
      </c>
      <c r="I329" s="89">
        <f t="shared" si="102"/>
        <v>8</v>
      </c>
      <c r="J329" s="90">
        <f t="shared" si="103"/>
        <v>8</v>
      </c>
      <c r="K329" s="91">
        <f t="shared" si="104"/>
        <v>8</v>
      </c>
      <c r="L329" s="76">
        <f t="shared" si="105"/>
        <v>24</v>
      </c>
      <c r="N329" s="79">
        <f t="shared" si="89"/>
        <v>52.36</v>
      </c>
      <c r="O329" s="80">
        <f t="shared" si="90"/>
        <v>42</v>
      </c>
      <c r="P329" s="81">
        <f t="shared" si="91"/>
        <v>0</v>
      </c>
      <c r="Q329" s="79">
        <f t="shared" si="92"/>
        <v>59.84</v>
      </c>
      <c r="R329" s="80">
        <f t="shared" si="93"/>
        <v>48</v>
      </c>
      <c r="S329" s="81">
        <f t="shared" si="94"/>
        <v>68</v>
      </c>
      <c r="T329" s="92">
        <f t="shared" si="95"/>
        <v>270.2</v>
      </c>
      <c r="U329" s="93">
        <f t="shared" si="106"/>
        <v>216.16</v>
      </c>
    </row>
    <row r="330" spans="1:21" x14ac:dyDescent="0.25">
      <c r="A330" s="71">
        <f t="shared" si="98"/>
        <v>2023</v>
      </c>
      <c r="B330" s="72" t="str">
        <f t="shared" si="96"/>
        <v>SETEMBRO</v>
      </c>
      <c r="C330" s="73" t="str">
        <f t="shared" si="97"/>
        <v>SÁBADO</v>
      </c>
      <c r="D330" s="74">
        <v>45178</v>
      </c>
      <c r="E330" s="89">
        <f t="shared" si="99"/>
        <v>0</v>
      </c>
      <c r="F330" s="90">
        <f t="shared" si="100"/>
        <v>7</v>
      </c>
      <c r="G330" s="91"/>
      <c r="H330" s="76">
        <f t="shared" si="101"/>
        <v>7</v>
      </c>
      <c r="I330" s="89">
        <f t="shared" si="102"/>
        <v>0</v>
      </c>
      <c r="J330" s="90">
        <f t="shared" si="103"/>
        <v>8</v>
      </c>
      <c r="K330" s="91">
        <f t="shared" si="104"/>
        <v>0</v>
      </c>
      <c r="L330" s="76">
        <f t="shared" si="105"/>
        <v>8</v>
      </c>
      <c r="N330" s="79">
        <f t="shared" si="89"/>
        <v>0</v>
      </c>
      <c r="O330" s="80">
        <f t="shared" si="90"/>
        <v>42</v>
      </c>
      <c r="P330" s="81">
        <f t="shared" si="91"/>
        <v>0</v>
      </c>
      <c r="Q330" s="79">
        <f t="shared" si="92"/>
        <v>0</v>
      </c>
      <c r="R330" s="80">
        <f t="shared" si="93"/>
        <v>48</v>
      </c>
      <c r="S330" s="81">
        <f t="shared" si="94"/>
        <v>0</v>
      </c>
      <c r="T330" s="92">
        <f t="shared" si="95"/>
        <v>90</v>
      </c>
      <c r="U330" s="93">
        <f t="shared" si="106"/>
        <v>72</v>
      </c>
    </row>
    <row r="331" spans="1:21" x14ac:dyDescent="0.25">
      <c r="A331" s="71">
        <f t="shared" si="98"/>
        <v>2023</v>
      </c>
      <c r="B331" s="72" t="str">
        <f t="shared" si="96"/>
        <v>SETEMBRO</v>
      </c>
      <c r="C331" s="73" t="str">
        <f t="shared" si="97"/>
        <v>DOMINGO</v>
      </c>
      <c r="D331" s="74">
        <v>45179</v>
      </c>
      <c r="E331" s="89">
        <f t="shared" si="99"/>
        <v>0</v>
      </c>
      <c r="F331" s="90">
        <f t="shared" si="100"/>
        <v>0</v>
      </c>
      <c r="G331" s="91"/>
      <c r="H331" s="76">
        <f t="shared" si="101"/>
        <v>0</v>
      </c>
      <c r="I331" s="89">
        <f t="shared" si="102"/>
        <v>0</v>
      </c>
      <c r="J331" s="90">
        <f t="shared" si="103"/>
        <v>0</v>
      </c>
      <c r="K331" s="91">
        <f t="shared" si="104"/>
        <v>0</v>
      </c>
      <c r="L331" s="76">
        <f t="shared" si="105"/>
        <v>0</v>
      </c>
      <c r="N331" s="79">
        <f t="shared" si="89"/>
        <v>0</v>
      </c>
      <c r="O331" s="80">
        <f t="shared" si="90"/>
        <v>0</v>
      </c>
      <c r="P331" s="81">
        <f t="shared" si="91"/>
        <v>0</v>
      </c>
      <c r="Q331" s="79">
        <f t="shared" si="92"/>
        <v>0</v>
      </c>
      <c r="R331" s="80">
        <f t="shared" si="93"/>
        <v>0</v>
      </c>
      <c r="S331" s="81">
        <f t="shared" si="94"/>
        <v>0</v>
      </c>
      <c r="T331" s="92">
        <f t="shared" si="95"/>
        <v>0</v>
      </c>
      <c r="U331" s="93">
        <f t="shared" si="106"/>
        <v>0</v>
      </c>
    </row>
    <row r="332" spans="1:21" x14ac:dyDescent="0.25">
      <c r="A332" s="71">
        <f t="shared" si="98"/>
        <v>2023</v>
      </c>
      <c r="B332" s="72" t="str">
        <f t="shared" si="96"/>
        <v>SETEMBRO</v>
      </c>
      <c r="C332" s="73" t="str">
        <f t="shared" si="97"/>
        <v>SEGUNDA</v>
      </c>
      <c r="D332" s="74">
        <v>45180</v>
      </c>
      <c r="E332" s="89">
        <f t="shared" si="99"/>
        <v>7</v>
      </c>
      <c r="F332" s="90">
        <f t="shared" si="100"/>
        <v>7</v>
      </c>
      <c r="G332" s="91"/>
      <c r="H332" s="76">
        <f t="shared" si="101"/>
        <v>14</v>
      </c>
      <c r="I332" s="89">
        <f t="shared" si="102"/>
        <v>8</v>
      </c>
      <c r="J332" s="90">
        <f t="shared" si="103"/>
        <v>8</v>
      </c>
      <c r="K332" s="91">
        <f t="shared" si="104"/>
        <v>8</v>
      </c>
      <c r="L332" s="76">
        <f t="shared" si="105"/>
        <v>24</v>
      </c>
      <c r="N332" s="79">
        <f t="shared" si="89"/>
        <v>52.36</v>
      </c>
      <c r="O332" s="80">
        <f t="shared" si="90"/>
        <v>42</v>
      </c>
      <c r="P332" s="81">
        <f t="shared" si="91"/>
        <v>0</v>
      </c>
      <c r="Q332" s="79">
        <f t="shared" si="92"/>
        <v>59.84</v>
      </c>
      <c r="R332" s="80">
        <f t="shared" si="93"/>
        <v>48</v>
      </c>
      <c r="S332" s="81">
        <f t="shared" si="94"/>
        <v>68</v>
      </c>
      <c r="T332" s="92">
        <f t="shared" si="95"/>
        <v>270.2</v>
      </c>
      <c r="U332" s="93">
        <f t="shared" si="106"/>
        <v>216.16</v>
      </c>
    </row>
    <row r="333" spans="1:21" x14ac:dyDescent="0.25">
      <c r="A333" s="71">
        <f t="shared" si="98"/>
        <v>2023</v>
      </c>
      <c r="B333" s="72" t="str">
        <f t="shared" si="96"/>
        <v>SETEMBRO</v>
      </c>
      <c r="C333" s="73" t="str">
        <f t="shared" si="97"/>
        <v>TERÇA</v>
      </c>
      <c r="D333" s="74">
        <v>45181</v>
      </c>
      <c r="E333" s="89">
        <f t="shared" si="99"/>
        <v>7</v>
      </c>
      <c r="F333" s="90">
        <f t="shared" si="100"/>
        <v>7</v>
      </c>
      <c r="G333" s="91"/>
      <c r="H333" s="76">
        <f t="shared" si="101"/>
        <v>14</v>
      </c>
      <c r="I333" s="89">
        <f t="shared" si="102"/>
        <v>8</v>
      </c>
      <c r="J333" s="90">
        <f t="shared" si="103"/>
        <v>8</v>
      </c>
      <c r="K333" s="91">
        <f t="shared" si="104"/>
        <v>8</v>
      </c>
      <c r="L333" s="76">
        <f t="shared" si="105"/>
        <v>24</v>
      </c>
      <c r="N333" s="79">
        <f t="shared" si="89"/>
        <v>52.36</v>
      </c>
      <c r="O333" s="80">
        <f t="shared" si="90"/>
        <v>42</v>
      </c>
      <c r="P333" s="81">
        <f t="shared" si="91"/>
        <v>0</v>
      </c>
      <c r="Q333" s="79">
        <f t="shared" si="92"/>
        <v>59.84</v>
      </c>
      <c r="R333" s="80">
        <f t="shared" si="93"/>
        <v>48</v>
      </c>
      <c r="S333" s="81">
        <f t="shared" si="94"/>
        <v>68</v>
      </c>
      <c r="T333" s="92">
        <f t="shared" si="95"/>
        <v>270.2</v>
      </c>
      <c r="U333" s="93">
        <f t="shared" si="106"/>
        <v>216.16</v>
      </c>
    </row>
    <row r="334" spans="1:21" x14ac:dyDescent="0.25">
      <c r="A334" s="71">
        <f t="shared" si="98"/>
        <v>2023</v>
      </c>
      <c r="B334" s="72" t="str">
        <f t="shared" si="96"/>
        <v>SETEMBRO</v>
      </c>
      <c r="C334" s="73" t="str">
        <f t="shared" si="97"/>
        <v>QUARTA</v>
      </c>
      <c r="D334" s="74">
        <v>45182</v>
      </c>
      <c r="E334" s="89">
        <f t="shared" si="99"/>
        <v>7</v>
      </c>
      <c r="F334" s="90">
        <f t="shared" si="100"/>
        <v>7</v>
      </c>
      <c r="G334" s="91"/>
      <c r="H334" s="76">
        <f t="shared" si="101"/>
        <v>14</v>
      </c>
      <c r="I334" s="89">
        <f t="shared" si="102"/>
        <v>8</v>
      </c>
      <c r="J334" s="90">
        <f t="shared" si="103"/>
        <v>8</v>
      </c>
      <c r="K334" s="91">
        <f t="shared" si="104"/>
        <v>8</v>
      </c>
      <c r="L334" s="76">
        <f t="shared" si="105"/>
        <v>24</v>
      </c>
      <c r="N334" s="79">
        <f t="shared" si="89"/>
        <v>52.36</v>
      </c>
      <c r="O334" s="80">
        <f t="shared" si="90"/>
        <v>42</v>
      </c>
      <c r="P334" s="81">
        <f t="shared" si="91"/>
        <v>0</v>
      </c>
      <c r="Q334" s="79">
        <f t="shared" si="92"/>
        <v>59.84</v>
      </c>
      <c r="R334" s="80">
        <f t="shared" si="93"/>
        <v>48</v>
      </c>
      <c r="S334" s="81">
        <f t="shared" si="94"/>
        <v>68</v>
      </c>
      <c r="T334" s="92">
        <f t="shared" si="95"/>
        <v>270.2</v>
      </c>
      <c r="U334" s="93">
        <f t="shared" si="106"/>
        <v>216.16</v>
      </c>
    </row>
    <row r="335" spans="1:21" x14ac:dyDescent="0.25">
      <c r="A335" s="71">
        <f t="shared" si="98"/>
        <v>2023</v>
      </c>
      <c r="B335" s="72" t="str">
        <f t="shared" si="96"/>
        <v>SETEMBRO</v>
      </c>
      <c r="C335" s="73" t="str">
        <f t="shared" si="97"/>
        <v>QUINTA</v>
      </c>
      <c r="D335" s="74">
        <v>45183</v>
      </c>
      <c r="E335" s="89">
        <f t="shared" si="99"/>
        <v>7</v>
      </c>
      <c r="F335" s="90">
        <f t="shared" si="100"/>
        <v>7</v>
      </c>
      <c r="G335" s="91"/>
      <c r="H335" s="76">
        <f t="shared" si="101"/>
        <v>14</v>
      </c>
      <c r="I335" s="89">
        <f t="shared" si="102"/>
        <v>8</v>
      </c>
      <c r="J335" s="90">
        <f t="shared" si="103"/>
        <v>8</v>
      </c>
      <c r="K335" s="91">
        <f t="shared" si="104"/>
        <v>8</v>
      </c>
      <c r="L335" s="76">
        <f t="shared" si="105"/>
        <v>24</v>
      </c>
      <c r="N335" s="79">
        <f t="shared" si="89"/>
        <v>52.36</v>
      </c>
      <c r="O335" s="80">
        <f t="shared" si="90"/>
        <v>42</v>
      </c>
      <c r="P335" s="81">
        <f t="shared" si="91"/>
        <v>0</v>
      </c>
      <c r="Q335" s="79">
        <f t="shared" si="92"/>
        <v>59.84</v>
      </c>
      <c r="R335" s="80">
        <f t="shared" si="93"/>
        <v>48</v>
      </c>
      <c r="S335" s="81">
        <f t="shared" si="94"/>
        <v>68</v>
      </c>
      <c r="T335" s="92">
        <f t="shared" si="95"/>
        <v>270.2</v>
      </c>
      <c r="U335" s="93">
        <f t="shared" si="106"/>
        <v>216.16</v>
      </c>
    </row>
    <row r="336" spans="1:21" x14ac:dyDescent="0.25">
      <c r="A336" s="71">
        <f t="shared" si="98"/>
        <v>2023</v>
      </c>
      <c r="B336" s="72" t="str">
        <f t="shared" si="96"/>
        <v>SETEMBRO</v>
      </c>
      <c r="C336" s="73" t="str">
        <f t="shared" si="97"/>
        <v>SEXTA</v>
      </c>
      <c r="D336" s="74">
        <v>45184</v>
      </c>
      <c r="E336" s="89">
        <f t="shared" si="99"/>
        <v>7</v>
      </c>
      <c r="F336" s="90">
        <f t="shared" si="100"/>
        <v>7</v>
      </c>
      <c r="G336" s="91"/>
      <c r="H336" s="76">
        <f t="shared" si="101"/>
        <v>14</v>
      </c>
      <c r="I336" s="89">
        <f t="shared" si="102"/>
        <v>8</v>
      </c>
      <c r="J336" s="90">
        <f t="shared" si="103"/>
        <v>8</v>
      </c>
      <c r="K336" s="91">
        <f t="shared" si="104"/>
        <v>8</v>
      </c>
      <c r="L336" s="76">
        <f t="shared" si="105"/>
        <v>24</v>
      </c>
      <c r="N336" s="79">
        <f t="shared" si="89"/>
        <v>52.36</v>
      </c>
      <c r="O336" s="80">
        <f t="shared" si="90"/>
        <v>42</v>
      </c>
      <c r="P336" s="81">
        <f t="shared" si="91"/>
        <v>0</v>
      </c>
      <c r="Q336" s="79">
        <f t="shared" si="92"/>
        <v>59.84</v>
      </c>
      <c r="R336" s="80">
        <f t="shared" si="93"/>
        <v>48</v>
      </c>
      <c r="S336" s="81">
        <f t="shared" si="94"/>
        <v>68</v>
      </c>
      <c r="T336" s="92">
        <f t="shared" si="95"/>
        <v>270.2</v>
      </c>
      <c r="U336" s="93">
        <f t="shared" si="106"/>
        <v>216.16</v>
      </c>
    </row>
    <row r="337" spans="1:21" x14ac:dyDescent="0.25">
      <c r="A337" s="71">
        <f t="shared" si="98"/>
        <v>2023</v>
      </c>
      <c r="B337" s="72" t="str">
        <f t="shared" si="96"/>
        <v>SETEMBRO</v>
      </c>
      <c r="C337" s="73" t="str">
        <f t="shared" si="97"/>
        <v>SÁBADO</v>
      </c>
      <c r="D337" s="74">
        <v>45185</v>
      </c>
      <c r="E337" s="89">
        <f t="shared" si="99"/>
        <v>0</v>
      </c>
      <c r="F337" s="90">
        <f t="shared" si="100"/>
        <v>7</v>
      </c>
      <c r="G337" s="91"/>
      <c r="H337" s="76">
        <f t="shared" si="101"/>
        <v>7</v>
      </c>
      <c r="I337" s="89">
        <f t="shared" si="102"/>
        <v>0</v>
      </c>
      <c r="J337" s="90">
        <f t="shared" si="103"/>
        <v>8</v>
      </c>
      <c r="K337" s="91">
        <f t="shared" si="104"/>
        <v>0</v>
      </c>
      <c r="L337" s="76">
        <f t="shared" si="105"/>
        <v>8</v>
      </c>
      <c r="N337" s="79">
        <f t="shared" si="89"/>
        <v>0</v>
      </c>
      <c r="O337" s="80">
        <f t="shared" si="90"/>
        <v>42</v>
      </c>
      <c r="P337" s="81">
        <f t="shared" si="91"/>
        <v>0</v>
      </c>
      <c r="Q337" s="79">
        <f t="shared" si="92"/>
        <v>0</v>
      </c>
      <c r="R337" s="80">
        <f t="shared" si="93"/>
        <v>48</v>
      </c>
      <c r="S337" s="81">
        <f t="shared" si="94"/>
        <v>0</v>
      </c>
      <c r="T337" s="92">
        <f t="shared" si="95"/>
        <v>90</v>
      </c>
      <c r="U337" s="93">
        <f t="shared" si="106"/>
        <v>72</v>
      </c>
    </row>
    <row r="338" spans="1:21" x14ac:dyDescent="0.25">
      <c r="A338" s="71">
        <f t="shared" si="98"/>
        <v>2023</v>
      </c>
      <c r="B338" s="72" t="str">
        <f t="shared" si="96"/>
        <v>SETEMBRO</v>
      </c>
      <c r="C338" s="73" t="str">
        <f t="shared" si="97"/>
        <v>DOMINGO</v>
      </c>
      <c r="D338" s="74">
        <v>45186</v>
      </c>
      <c r="E338" s="89">
        <f t="shared" si="99"/>
        <v>0</v>
      </c>
      <c r="F338" s="90">
        <f t="shared" si="100"/>
        <v>0</v>
      </c>
      <c r="G338" s="91"/>
      <c r="H338" s="76">
        <f t="shared" si="101"/>
        <v>0</v>
      </c>
      <c r="I338" s="89">
        <f t="shared" si="102"/>
        <v>0</v>
      </c>
      <c r="J338" s="90">
        <f t="shared" si="103"/>
        <v>0</v>
      </c>
      <c r="K338" s="91">
        <f t="shared" si="104"/>
        <v>0</v>
      </c>
      <c r="L338" s="76">
        <f t="shared" si="105"/>
        <v>0</v>
      </c>
      <c r="N338" s="79">
        <f t="shared" si="89"/>
        <v>0</v>
      </c>
      <c r="O338" s="80">
        <f t="shared" si="90"/>
        <v>0</v>
      </c>
      <c r="P338" s="81">
        <f t="shared" si="91"/>
        <v>0</v>
      </c>
      <c r="Q338" s="79">
        <f t="shared" si="92"/>
        <v>0</v>
      </c>
      <c r="R338" s="80">
        <f t="shared" si="93"/>
        <v>0</v>
      </c>
      <c r="S338" s="81">
        <f t="shared" si="94"/>
        <v>0</v>
      </c>
      <c r="T338" s="92">
        <f t="shared" si="95"/>
        <v>0</v>
      </c>
      <c r="U338" s="93">
        <f t="shared" si="106"/>
        <v>0</v>
      </c>
    </row>
    <row r="339" spans="1:21" x14ac:dyDescent="0.25">
      <c r="A339" s="71">
        <f t="shared" si="98"/>
        <v>2023</v>
      </c>
      <c r="B339" s="72" t="str">
        <f t="shared" si="96"/>
        <v>SETEMBRO</v>
      </c>
      <c r="C339" s="73" t="str">
        <f t="shared" si="97"/>
        <v>SEGUNDA</v>
      </c>
      <c r="D339" s="74">
        <v>45187</v>
      </c>
      <c r="E339" s="89">
        <f t="shared" si="99"/>
        <v>7</v>
      </c>
      <c r="F339" s="90">
        <f t="shared" si="100"/>
        <v>7</v>
      </c>
      <c r="G339" s="91"/>
      <c r="H339" s="76">
        <f t="shared" si="101"/>
        <v>14</v>
      </c>
      <c r="I339" s="89">
        <f t="shared" si="102"/>
        <v>8</v>
      </c>
      <c r="J339" s="90">
        <f t="shared" si="103"/>
        <v>8</v>
      </c>
      <c r="K339" s="91">
        <f t="shared" si="104"/>
        <v>8</v>
      </c>
      <c r="L339" s="76">
        <f t="shared" si="105"/>
        <v>24</v>
      </c>
      <c r="N339" s="79">
        <f t="shared" si="89"/>
        <v>52.36</v>
      </c>
      <c r="O339" s="80">
        <f t="shared" si="90"/>
        <v>42</v>
      </c>
      <c r="P339" s="81">
        <f t="shared" si="91"/>
        <v>0</v>
      </c>
      <c r="Q339" s="79">
        <f t="shared" si="92"/>
        <v>59.84</v>
      </c>
      <c r="R339" s="80">
        <f t="shared" si="93"/>
        <v>48</v>
      </c>
      <c r="S339" s="81">
        <f t="shared" si="94"/>
        <v>68</v>
      </c>
      <c r="T339" s="92">
        <f t="shared" si="95"/>
        <v>270.2</v>
      </c>
      <c r="U339" s="93">
        <f t="shared" si="106"/>
        <v>216.16</v>
      </c>
    </row>
    <row r="340" spans="1:21" x14ac:dyDescent="0.25">
      <c r="A340" s="71">
        <f t="shared" si="98"/>
        <v>2023</v>
      </c>
      <c r="B340" s="72" t="str">
        <f t="shared" si="96"/>
        <v>SETEMBRO</v>
      </c>
      <c r="C340" s="73" t="str">
        <f t="shared" si="97"/>
        <v>TERÇA</v>
      </c>
      <c r="D340" s="74">
        <v>45188</v>
      </c>
      <c r="E340" s="89">
        <f t="shared" si="99"/>
        <v>7</v>
      </c>
      <c r="F340" s="90">
        <f t="shared" si="100"/>
        <v>7</v>
      </c>
      <c r="G340" s="91"/>
      <c r="H340" s="76">
        <f t="shared" si="101"/>
        <v>14</v>
      </c>
      <c r="I340" s="89">
        <f t="shared" si="102"/>
        <v>8</v>
      </c>
      <c r="J340" s="90">
        <f t="shared" si="103"/>
        <v>8</v>
      </c>
      <c r="K340" s="91">
        <f t="shared" si="104"/>
        <v>8</v>
      </c>
      <c r="L340" s="76">
        <f t="shared" si="105"/>
        <v>24</v>
      </c>
      <c r="N340" s="79">
        <f t="shared" si="89"/>
        <v>52.36</v>
      </c>
      <c r="O340" s="80">
        <f t="shared" si="90"/>
        <v>42</v>
      </c>
      <c r="P340" s="81">
        <f t="shared" si="91"/>
        <v>0</v>
      </c>
      <c r="Q340" s="79">
        <f t="shared" si="92"/>
        <v>59.84</v>
      </c>
      <c r="R340" s="80">
        <f t="shared" si="93"/>
        <v>48</v>
      </c>
      <c r="S340" s="81">
        <f t="shared" si="94"/>
        <v>68</v>
      </c>
      <c r="T340" s="92">
        <f t="shared" si="95"/>
        <v>270.2</v>
      </c>
      <c r="U340" s="93">
        <f t="shared" si="106"/>
        <v>216.16</v>
      </c>
    </row>
    <row r="341" spans="1:21" x14ac:dyDescent="0.25">
      <c r="A341" s="71">
        <f t="shared" si="98"/>
        <v>2023</v>
      </c>
      <c r="B341" s="72" t="str">
        <f t="shared" si="96"/>
        <v>SETEMBRO</v>
      </c>
      <c r="C341" s="73" t="str">
        <f t="shared" si="97"/>
        <v>QUARTA</v>
      </c>
      <c r="D341" s="74">
        <v>45189</v>
      </c>
      <c r="E341" s="89">
        <f t="shared" si="99"/>
        <v>7</v>
      </c>
      <c r="F341" s="90">
        <f t="shared" si="100"/>
        <v>7</v>
      </c>
      <c r="G341" s="91"/>
      <c r="H341" s="76">
        <f t="shared" si="101"/>
        <v>14</v>
      </c>
      <c r="I341" s="89">
        <f t="shared" si="102"/>
        <v>8</v>
      </c>
      <c r="J341" s="90">
        <f t="shared" si="103"/>
        <v>8</v>
      </c>
      <c r="K341" s="91">
        <f t="shared" si="104"/>
        <v>8</v>
      </c>
      <c r="L341" s="76">
        <f t="shared" si="105"/>
        <v>24</v>
      </c>
      <c r="N341" s="79">
        <f t="shared" si="89"/>
        <v>52.36</v>
      </c>
      <c r="O341" s="80">
        <f t="shared" si="90"/>
        <v>42</v>
      </c>
      <c r="P341" s="81">
        <f t="shared" si="91"/>
        <v>0</v>
      </c>
      <c r="Q341" s="79">
        <f t="shared" si="92"/>
        <v>59.84</v>
      </c>
      <c r="R341" s="80">
        <f t="shared" si="93"/>
        <v>48</v>
      </c>
      <c r="S341" s="81">
        <f t="shared" si="94"/>
        <v>68</v>
      </c>
      <c r="T341" s="92">
        <f t="shared" si="95"/>
        <v>270.2</v>
      </c>
      <c r="U341" s="93">
        <f t="shared" si="106"/>
        <v>216.16</v>
      </c>
    </row>
    <row r="342" spans="1:21" x14ac:dyDescent="0.25">
      <c r="A342" s="71">
        <f t="shared" si="98"/>
        <v>2023</v>
      </c>
      <c r="B342" s="72" t="str">
        <f t="shared" si="96"/>
        <v>SETEMBRO</v>
      </c>
      <c r="C342" s="73" t="str">
        <f t="shared" si="97"/>
        <v>QUINTA</v>
      </c>
      <c r="D342" s="74">
        <v>45190</v>
      </c>
      <c r="E342" s="89">
        <f t="shared" si="99"/>
        <v>7</v>
      </c>
      <c r="F342" s="90">
        <f t="shared" si="100"/>
        <v>7</v>
      </c>
      <c r="G342" s="91"/>
      <c r="H342" s="76">
        <f t="shared" si="101"/>
        <v>14</v>
      </c>
      <c r="I342" s="89">
        <f t="shared" si="102"/>
        <v>8</v>
      </c>
      <c r="J342" s="90">
        <f t="shared" si="103"/>
        <v>8</v>
      </c>
      <c r="K342" s="91">
        <f t="shared" si="104"/>
        <v>8</v>
      </c>
      <c r="L342" s="76">
        <f t="shared" si="105"/>
        <v>24</v>
      </c>
      <c r="N342" s="79">
        <f t="shared" si="89"/>
        <v>52.36</v>
      </c>
      <c r="O342" s="80">
        <f t="shared" si="90"/>
        <v>42</v>
      </c>
      <c r="P342" s="81">
        <f t="shared" si="91"/>
        <v>0</v>
      </c>
      <c r="Q342" s="79">
        <f t="shared" si="92"/>
        <v>59.84</v>
      </c>
      <c r="R342" s="80">
        <f t="shared" si="93"/>
        <v>48</v>
      </c>
      <c r="S342" s="81">
        <f t="shared" si="94"/>
        <v>68</v>
      </c>
      <c r="T342" s="92">
        <f t="shared" si="95"/>
        <v>270.2</v>
      </c>
      <c r="U342" s="93">
        <f t="shared" si="106"/>
        <v>216.16</v>
      </c>
    </row>
    <row r="343" spans="1:21" x14ac:dyDescent="0.25">
      <c r="A343" s="71">
        <f t="shared" si="98"/>
        <v>2023</v>
      </c>
      <c r="B343" s="72" t="str">
        <f t="shared" si="96"/>
        <v>SETEMBRO</v>
      </c>
      <c r="C343" s="73" t="str">
        <f t="shared" si="97"/>
        <v>SEXTA</v>
      </c>
      <c r="D343" s="74">
        <v>45191</v>
      </c>
      <c r="E343" s="89">
        <f t="shared" si="99"/>
        <v>7</v>
      </c>
      <c r="F343" s="90">
        <f t="shared" si="100"/>
        <v>7</v>
      </c>
      <c r="G343" s="91"/>
      <c r="H343" s="76">
        <f t="shared" si="101"/>
        <v>14</v>
      </c>
      <c r="I343" s="89">
        <f t="shared" si="102"/>
        <v>8</v>
      </c>
      <c r="J343" s="90">
        <f t="shared" si="103"/>
        <v>8</v>
      </c>
      <c r="K343" s="91">
        <f t="shared" si="104"/>
        <v>8</v>
      </c>
      <c r="L343" s="76">
        <f t="shared" si="105"/>
        <v>24</v>
      </c>
      <c r="N343" s="79">
        <f t="shared" si="89"/>
        <v>52.36</v>
      </c>
      <c r="O343" s="80">
        <f t="shared" si="90"/>
        <v>42</v>
      </c>
      <c r="P343" s="81">
        <f t="shared" si="91"/>
        <v>0</v>
      </c>
      <c r="Q343" s="79">
        <f t="shared" si="92"/>
        <v>59.84</v>
      </c>
      <c r="R343" s="80">
        <f t="shared" si="93"/>
        <v>48</v>
      </c>
      <c r="S343" s="81">
        <f t="shared" si="94"/>
        <v>68</v>
      </c>
      <c r="T343" s="92">
        <f t="shared" si="95"/>
        <v>270.2</v>
      </c>
      <c r="U343" s="93">
        <f t="shared" si="106"/>
        <v>216.16</v>
      </c>
    </row>
    <row r="344" spans="1:21" x14ac:dyDescent="0.25">
      <c r="A344" s="71">
        <f t="shared" si="98"/>
        <v>2023</v>
      </c>
      <c r="B344" s="72" t="str">
        <f t="shared" si="96"/>
        <v>SETEMBRO</v>
      </c>
      <c r="C344" s="73" t="str">
        <f t="shared" si="97"/>
        <v>SÁBADO</v>
      </c>
      <c r="D344" s="74">
        <v>45192</v>
      </c>
      <c r="E344" s="89">
        <f t="shared" si="99"/>
        <v>0</v>
      </c>
      <c r="F344" s="90">
        <f t="shared" si="100"/>
        <v>7</v>
      </c>
      <c r="G344" s="91"/>
      <c r="H344" s="76">
        <f t="shared" si="101"/>
        <v>7</v>
      </c>
      <c r="I344" s="89">
        <f t="shared" si="102"/>
        <v>0</v>
      </c>
      <c r="J344" s="90">
        <f t="shared" si="103"/>
        <v>8</v>
      </c>
      <c r="K344" s="91">
        <f t="shared" si="104"/>
        <v>0</v>
      </c>
      <c r="L344" s="76">
        <f t="shared" si="105"/>
        <v>8</v>
      </c>
      <c r="N344" s="79">
        <f t="shared" si="89"/>
        <v>0</v>
      </c>
      <c r="O344" s="80">
        <f t="shared" si="90"/>
        <v>42</v>
      </c>
      <c r="P344" s="81">
        <f t="shared" si="91"/>
        <v>0</v>
      </c>
      <c r="Q344" s="79">
        <f t="shared" si="92"/>
        <v>0</v>
      </c>
      <c r="R344" s="80">
        <f t="shared" si="93"/>
        <v>48</v>
      </c>
      <c r="S344" s="81">
        <f t="shared" si="94"/>
        <v>0</v>
      </c>
      <c r="T344" s="92">
        <f t="shared" si="95"/>
        <v>90</v>
      </c>
      <c r="U344" s="93">
        <f t="shared" si="106"/>
        <v>72</v>
      </c>
    </row>
    <row r="345" spans="1:21" x14ac:dyDescent="0.25">
      <c r="A345" s="71">
        <f t="shared" si="98"/>
        <v>2023</v>
      </c>
      <c r="B345" s="72" t="str">
        <f t="shared" si="96"/>
        <v>SETEMBRO</v>
      </c>
      <c r="C345" s="73" t="str">
        <f t="shared" si="97"/>
        <v>DOMINGO</v>
      </c>
      <c r="D345" s="74">
        <v>45193</v>
      </c>
      <c r="E345" s="89">
        <f t="shared" si="99"/>
        <v>0</v>
      </c>
      <c r="F345" s="90">
        <f t="shared" si="100"/>
        <v>0</v>
      </c>
      <c r="G345" s="91"/>
      <c r="H345" s="76">
        <f t="shared" si="101"/>
        <v>0</v>
      </c>
      <c r="I345" s="89">
        <f t="shared" si="102"/>
        <v>0</v>
      </c>
      <c r="J345" s="90">
        <f t="shared" si="103"/>
        <v>0</v>
      </c>
      <c r="K345" s="91">
        <f t="shared" si="104"/>
        <v>0</v>
      </c>
      <c r="L345" s="76">
        <f t="shared" si="105"/>
        <v>0</v>
      </c>
      <c r="N345" s="79">
        <f t="shared" si="89"/>
        <v>0</v>
      </c>
      <c r="O345" s="80">
        <f t="shared" si="90"/>
        <v>0</v>
      </c>
      <c r="P345" s="81">
        <f t="shared" si="91"/>
        <v>0</v>
      </c>
      <c r="Q345" s="79">
        <f t="shared" si="92"/>
        <v>0</v>
      </c>
      <c r="R345" s="80">
        <f t="shared" si="93"/>
        <v>0</v>
      </c>
      <c r="S345" s="81">
        <f t="shared" si="94"/>
        <v>0</v>
      </c>
      <c r="T345" s="92">
        <f t="shared" si="95"/>
        <v>0</v>
      </c>
      <c r="U345" s="93">
        <f t="shared" si="106"/>
        <v>0</v>
      </c>
    </row>
    <row r="346" spans="1:21" x14ac:dyDescent="0.25">
      <c r="A346" s="71">
        <f t="shared" si="98"/>
        <v>2023</v>
      </c>
      <c r="B346" s="72" t="str">
        <f t="shared" si="96"/>
        <v>SETEMBRO</v>
      </c>
      <c r="C346" s="73" t="str">
        <f t="shared" si="97"/>
        <v>SEGUNDA</v>
      </c>
      <c r="D346" s="74">
        <v>45194</v>
      </c>
      <c r="E346" s="89">
        <f t="shared" si="99"/>
        <v>7</v>
      </c>
      <c r="F346" s="90">
        <f t="shared" si="100"/>
        <v>7</v>
      </c>
      <c r="G346" s="91"/>
      <c r="H346" s="76">
        <f t="shared" si="101"/>
        <v>14</v>
      </c>
      <c r="I346" s="89">
        <f t="shared" si="102"/>
        <v>8</v>
      </c>
      <c r="J346" s="90">
        <f t="shared" si="103"/>
        <v>8</v>
      </c>
      <c r="K346" s="91">
        <f t="shared" si="104"/>
        <v>8</v>
      </c>
      <c r="L346" s="76">
        <f t="shared" si="105"/>
        <v>24</v>
      </c>
      <c r="N346" s="79">
        <f t="shared" si="89"/>
        <v>52.36</v>
      </c>
      <c r="O346" s="80">
        <f t="shared" si="90"/>
        <v>42</v>
      </c>
      <c r="P346" s="81">
        <f t="shared" si="91"/>
        <v>0</v>
      </c>
      <c r="Q346" s="79">
        <f t="shared" si="92"/>
        <v>59.84</v>
      </c>
      <c r="R346" s="80">
        <f t="shared" si="93"/>
        <v>48</v>
      </c>
      <c r="S346" s="81">
        <f t="shared" si="94"/>
        <v>68</v>
      </c>
      <c r="T346" s="92">
        <f t="shared" si="95"/>
        <v>270.2</v>
      </c>
      <c r="U346" s="93">
        <f t="shared" si="106"/>
        <v>216.16</v>
      </c>
    </row>
    <row r="347" spans="1:21" x14ac:dyDescent="0.25">
      <c r="A347" s="71">
        <f t="shared" si="98"/>
        <v>2023</v>
      </c>
      <c r="B347" s="72" t="str">
        <f t="shared" si="96"/>
        <v>SETEMBRO</v>
      </c>
      <c r="C347" s="73" t="str">
        <f t="shared" si="97"/>
        <v>TERÇA</v>
      </c>
      <c r="D347" s="74">
        <v>45195</v>
      </c>
      <c r="E347" s="89">
        <f t="shared" si="99"/>
        <v>7</v>
      </c>
      <c r="F347" s="90">
        <f t="shared" si="100"/>
        <v>7</v>
      </c>
      <c r="G347" s="91"/>
      <c r="H347" s="76">
        <f t="shared" si="101"/>
        <v>14</v>
      </c>
      <c r="I347" s="89">
        <f t="shared" si="102"/>
        <v>8</v>
      </c>
      <c r="J347" s="90">
        <f t="shared" si="103"/>
        <v>8</v>
      </c>
      <c r="K347" s="91">
        <f t="shared" si="104"/>
        <v>8</v>
      </c>
      <c r="L347" s="76">
        <f t="shared" si="105"/>
        <v>24</v>
      </c>
      <c r="N347" s="79">
        <f t="shared" si="89"/>
        <v>52.36</v>
      </c>
      <c r="O347" s="80">
        <f t="shared" si="90"/>
        <v>42</v>
      </c>
      <c r="P347" s="81">
        <f t="shared" si="91"/>
        <v>0</v>
      </c>
      <c r="Q347" s="79">
        <f t="shared" si="92"/>
        <v>59.84</v>
      </c>
      <c r="R347" s="80">
        <f t="shared" si="93"/>
        <v>48</v>
      </c>
      <c r="S347" s="81">
        <f t="shared" si="94"/>
        <v>68</v>
      </c>
      <c r="T347" s="92">
        <f t="shared" si="95"/>
        <v>270.2</v>
      </c>
      <c r="U347" s="93">
        <f t="shared" si="106"/>
        <v>216.16</v>
      </c>
    </row>
    <row r="348" spans="1:21" x14ac:dyDescent="0.25">
      <c r="A348" s="71">
        <f t="shared" si="98"/>
        <v>2023</v>
      </c>
      <c r="B348" s="72" t="str">
        <f t="shared" si="96"/>
        <v>SETEMBRO</v>
      </c>
      <c r="C348" s="73" t="str">
        <f t="shared" si="97"/>
        <v>QUARTA</v>
      </c>
      <c r="D348" s="74">
        <v>45196</v>
      </c>
      <c r="E348" s="89">
        <f t="shared" si="99"/>
        <v>7</v>
      </c>
      <c r="F348" s="90">
        <f t="shared" si="100"/>
        <v>7</v>
      </c>
      <c r="G348" s="91"/>
      <c r="H348" s="76">
        <f t="shared" si="101"/>
        <v>14</v>
      </c>
      <c r="I348" s="89">
        <f t="shared" si="102"/>
        <v>8</v>
      </c>
      <c r="J348" s="90">
        <f t="shared" si="103"/>
        <v>8</v>
      </c>
      <c r="K348" s="91">
        <f t="shared" si="104"/>
        <v>8</v>
      </c>
      <c r="L348" s="76">
        <f t="shared" si="105"/>
        <v>24</v>
      </c>
      <c r="N348" s="79">
        <f t="shared" ref="N348:N411" si="107">E348*7.48</f>
        <v>52.36</v>
      </c>
      <c r="O348" s="80">
        <f t="shared" ref="O348:O411" si="108">F348*6</f>
        <v>42</v>
      </c>
      <c r="P348" s="81">
        <f t="shared" ref="P348:P411" si="109">G348*8.5</f>
        <v>0</v>
      </c>
      <c r="Q348" s="79">
        <f t="shared" ref="Q348:Q411" si="110">I348*7.48</f>
        <v>59.84</v>
      </c>
      <c r="R348" s="80">
        <f t="shared" ref="R348:R411" si="111">J348*6</f>
        <v>48</v>
      </c>
      <c r="S348" s="81">
        <f t="shared" ref="S348:S411" si="112">K348*8.5</f>
        <v>68</v>
      </c>
      <c r="T348" s="92">
        <f t="shared" ref="T348:T411" si="113">SUM(N348:S348)</f>
        <v>270.2</v>
      </c>
      <c r="U348" s="93">
        <f t="shared" si="106"/>
        <v>216.16</v>
      </c>
    </row>
    <row r="349" spans="1:21" x14ac:dyDescent="0.25">
      <c r="A349" s="71">
        <f t="shared" si="98"/>
        <v>2023</v>
      </c>
      <c r="B349" s="72" t="str">
        <f t="shared" si="96"/>
        <v>SETEMBRO</v>
      </c>
      <c r="C349" s="73" t="str">
        <f t="shared" si="97"/>
        <v>QUINTA</v>
      </c>
      <c r="D349" s="74">
        <v>45197</v>
      </c>
      <c r="E349" s="89">
        <f t="shared" si="99"/>
        <v>7</v>
      </c>
      <c r="F349" s="90">
        <f t="shared" si="100"/>
        <v>7</v>
      </c>
      <c r="G349" s="91"/>
      <c r="H349" s="76">
        <f t="shared" si="101"/>
        <v>14</v>
      </c>
      <c r="I349" s="89">
        <f t="shared" si="102"/>
        <v>8</v>
      </c>
      <c r="J349" s="90">
        <f t="shared" si="103"/>
        <v>8</v>
      </c>
      <c r="K349" s="91">
        <f t="shared" si="104"/>
        <v>8</v>
      </c>
      <c r="L349" s="76">
        <f t="shared" si="105"/>
        <v>24</v>
      </c>
      <c r="N349" s="79">
        <f t="shared" si="107"/>
        <v>52.36</v>
      </c>
      <c r="O349" s="80">
        <f t="shared" si="108"/>
        <v>42</v>
      </c>
      <c r="P349" s="81">
        <f t="shared" si="109"/>
        <v>0</v>
      </c>
      <c r="Q349" s="79">
        <f t="shared" si="110"/>
        <v>59.84</v>
      </c>
      <c r="R349" s="80">
        <f t="shared" si="111"/>
        <v>48</v>
      </c>
      <c r="S349" s="81">
        <f t="shared" si="112"/>
        <v>68</v>
      </c>
      <c r="T349" s="92">
        <f t="shared" si="113"/>
        <v>270.2</v>
      </c>
      <c r="U349" s="93">
        <f t="shared" si="106"/>
        <v>216.16</v>
      </c>
    </row>
    <row r="350" spans="1:21" x14ac:dyDescent="0.25">
      <c r="A350" s="71">
        <f t="shared" si="98"/>
        <v>2023</v>
      </c>
      <c r="B350" s="72" t="str">
        <f t="shared" si="96"/>
        <v>SETEMBRO</v>
      </c>
      <c r="C350" s="73" t="str">
        <f t="shared" si="97"/>
        <v>SEXTA</v>
      </c>
      <c r="D350" s="74">
        <v>45198</v>
      </c>
      <c r="E350" s="89">
        <f t="shared" si="99"/>
        <v>7</v>
      </c>
      <c r="F350" s="90">
        <f t="shared" si="100"/>
        <v>7</v>
      </c>
      <c r="G350" s="91"/>
      <c r="H350" s="76">
        <f t="shared" si="101"/>
        <v>14</v>
      </c>
      <c r="I350" s="89">
        <f t="shared" si="102"/>
        <v>8</v>
      </c>
      <c r="J350" s="90">
        <f t="shared" si="103"/>
        <v>8</v>
      </c>
      <c r="K350" s="91">
        <f t="shared" si="104"/>
        <v>8</v>
      </c>
      <c r="L350" s="76">
        <f t="shared" si="105"/>
        <v>24</v>
      </c>
      <c r="N350" s="79">
        <f t="shared" si="107"/>
        <v>52.36</v>
      </c>
      <c r="O350" s="80">
        <f t="shared" si="108"/>
        <v>42</v>
      </c>
      <c r="P350" s="81">
        <f t="shared" si="109"/>
        <v>0</v>
      </c>
      <c r="Q350" s="79">
        <f t="shared" si="110"/>
        <v>59.84</v>
      </c>
      <c r="R350" s="80">
        <f t="shared" si="111"/>
        <v>48</v>
      </c>
      <c r="S350" s="81">
        <f t="shared" si="112"/>
        <v>68</v>
      </c>
      <c r="T350" s="92">
        <f t="shared" si="113"/>
        <v>270.2</v>
      </c>
      <c r="U350" s="93">
        <f t="shared" si="106"/>
        <v>216.16</v>
      </c>
    </row>
    <row r="351" spans="1:21" x14ac:dyDescent="0.25">
      <c r="A351" s="71">
        <f t="shared" si="98"/>
        <v>2023</v>
      </c>
      <c r="B351" s="72" t="str">
        <f t="shared" si="96"/>
        <v>SETEMBRO</v>
      </c>
      <c r="C351" s="73" t="str">
        <f t="shared" si="97"/>
        <v>SÁBADO</v>
      </c>
      <c r="D351" s="74">
        <v>45199</v>
      </c>
      <c r="E351" s="89">
        <f t="shared" si="99"/>
        <v>0</v>
      </c>
      <c r="F351" s="90">
        <f t="shared" si="100"/>
        <v>7</v>
      </c>
      <c r="G351" s="91"/>
      <c r="H351" s="76">
        <f t="shared" si="101"/>
        <v>7</v>
      </c>
      <c r="I351" s="89">
        <f t="shared" si="102"/>
        <v>0</v>
      </c>
      <c r="J351" s="90">
        <f t="shared" si="103"/>
        <v>8</v>
      </c>
      <c r="K351" s="91">
        <f t="shared" si="104"/>
        <v>0</v>
      </c>
      <c r="L351" s="76">
        <f t="shared" si="105"/>
        <v>8</v>
      </c>
      <c r="N351" s="79">
        <f t="shared" si="107"/>
        <v>0</v>
      </c>
      <c r="O351" s="80">
        <f t="shared" si="108"/>
        <v>42</v>
      </c>
      <c r="P351" s="81">
        <f t="shared" si="109"/>
        <v>0</v>
      </c>
      <c r="Q351" s="79">
        <f t="shared" si="110"/>
        <v>0</v>
      </c>
      <c r="R351" s="80">
        <f t="shared" si="111"/>
        <v>48</v>
      </c>
      <c r="S351" s="81">
        <f t="shared" si="112"/>
        <v>0</v>
      </c>
      <c r="T351" s="92">
        <f t="shared" si="113"/>
        <v>90</v>
      </c>
      <c r="U351" s="93">
        <f t="shared" si="106"/>
        <v>72</v>
      </c>
    </row>
    <row r="352" spans="1:21" x14ac:dyDescent="0.25">
      <c r="A352" s="71">
        <f t="shared" si="98"/>
        <v>2023</v>
      </c>
      <c r="B352" s="72" t="str">
        <f t="shared" si="96"/>
        <v>OUTUBRO</v>
      </c>
      <c r="C352" s="73" t="str">
        <f t="shared" si="97"/>
        <v>DOMINGO</v>
      </c>
      <c r="D352" s="74">
        <v>45200</v>
      </c>
      <c r="E352" s="89">
        <f t="shared" si="99"/>
        <v>0</v>
      </c>
      <c r="F352" s="90">
        <f t="shared" si="100"/>
        <v>0</v>
      </c>
      <c r="G352" s="91"/>
      <c r="H352" s="76">
        <f t="shared" si="101"/>
        <v>0</v>
      </c>
      <c r="I352" s="89">
        <f t="shared" si="102"/>
        <v>0</v>
      </c>
      <c r="J352" s="90">
        <f t="shared" si="103"/>
        <v>0</v>
      </c>
      <c r="K352" s="91">
        <f t="shared" si="104"/>
        <v>0</v>
      </c>
      <c r="L352" s="76">
        <f t="shared" si="105"/>
        <v>0</v>
      </c>
      <c r="N352" s="79">
        <f t="shared" si="107"/>
        <v>0</v>
      </c>
      <c r="O352" s="80">
        <f t="shared" si="108"/>
        <v>0</v>
      </c>
      <c r="P352" s="81">
        <f t="shared" si="109"/>
        <v>0</v>
      </c>
      <c r="Q352" s="79">
        <f t="shared" si="110"/>
        <v>0</v>
      </c>
      <c r="R352" s="80">
        <f t="shared" si="111"/>
        <v>0</v>
      </c>
      <c r="S352" s="81">
        <f t="shared" si="112"/>
        <v>0</v>
      </c>
      <c r="T352" s="92">
        <f t="shared" si="113"/>
        <v>0</v>
      </c>
      <c r="U352" s="93">
        <f t="shared" si="106"/>
        <v>0</v>
      </c>
    </row>
    <row r="353" spans="1:21" x14ac:dyDescent="0.25">
      <c r="A353" s="71">
        <f t="shared" si="98"/>
        <v>2023</v>
      </c>
      <c r="B353" s="72" t="str">
        <f t="shared" si="96"/>
        <v>OUTUBRO</v>
      </c>
      <c r="C353" s="73" t="str">
        <f t="shared" si="97"/>
        <v>SEGUNDA</v>
      </c>
      <c r="D353" s="74">
        <v>45201</v>
      </c>
      <c r="E353" s="89">
        <f t="shared" si="99"/>
        <v>7</v>
      </c>
      <c r="F353" s="90">
        <f t="shared" si="100"/>
        <v>7</v>
      </c>
      <c r="G353" s="91"/>
      <c r="H353" s="76">
        <f t="shared" si="101"/>
        <v>14</v>
      </c>
      <c r="I353" s="89">
        <f t="shared" si="102"/>
        <v>8</v>
      </c>
      <c r="J353" s="90">
        <f t="shared" si="103"/>
        <v>8</v>
      </c>
      <c r="K353" s="91">
        <f t="shared" si="104"/>
        <v>8</v>
      </c>
      <c r="L353" s="76">
        <f t="shared" si="105"/>
        <v>24</v>
      </c>
      <c r="N353" s="79">
        <f t="shared" si="107"/>
        <v>52.36</v>
      </c>
      <c r="O353" s="80">
        <f t="shared" si="108"/>
        <v>42</v>
      </c>
      <c r="P353" s="81">
        <f t="shared" si="109"/>
        <v>0</v>
      </c>
      <c r="Q353" s="79">
        <f t="shared" si="110"/>
        <v>59.84</v>
      </c>
      <c r="R353" s="80">
        <f t="shared" si="111"/>
        <v>48</v>
      </c>
      <c r="S353" s="81">
        <f t="shared" si="112"/>
        <v>68</v>
      </c>
      <c r="T353" s="92">
        <f t="shared" si="113"/>
        <v>270.2</v>
      </c>
      <c r="U353" s="93">
        <f t="shared" si="106"/>
        <v>216.16</v>
      </c>
    </row>
    <row r="354" spans="1:21" x14ac:dyDescent="0.25">
      <c r="A354" s="71">
        <f t="shared" si="98"/>
        <v>2023</v>
      </c>
      <c r="B354" s="72" t="str">
        <f t="shared" si="96"/>
        <v>OUTUBRO</v>
      </c>
      <c r="C354" s="73" t="str">
        <f t="shared" si="97"/>
        <v>TERÇA</v>
      </c>
      <c r="D354" s="74">
        <v>45202</v>
      </c>
      <c r="E354" s="89">
        <f t="shared" si="99"/>
        <v>7</v>
      </c>
      <c r="F354" s="90">
        <f t="shared" si="100"/>
        <v>7</v>
      </c>
      <c r="G354" s="91"/>
      <c r="H354" s="76">
        <f t="shared" si="101"/>
        <v>14</v>
      </c>
      <c r="I354" s="89">
        <f t="shared" si="102"/>
        <v>8</v>
      </c>
      <c r="J354" s="90">
        <f t="shared" si="103"/>
        <v>8</v>
      </c>
      <c r="K354" s="91">
        <f t="shared" si="104"/>
        <v>8</v>
      </c>
      <c r="L354" s="76">
        <f t="shared" si="105"/>
        <v>24</v>
      </c>
      <c r="N354" s="79">
        <f t="shared" si="107"/>
        <v>52.36</v>
      </c>
      <c r="O354" s="80">
        <f t="shared" si="108"/>
        <v>42</v>
      </c>
      <c r="P354" s="81">
        <f t="shared" si="109"/>
        <v>0</v>
      </c>
      <c r="Q354" s="79">
        <f t="shared" si="110"/>
        <v>59.84</v>
      </c>
      <c r="R354" s="80">
        <f t="shared" si="111"/>
        <v>48</v>
      </c>
      <c r="S354" s="81">
        <f t="shared" si="112"/>
        <v>68</v>
      </c>
      <c r="T354" s="92">
        <f t="shared" si="113"/>
        <v>270.2</v>
      </c>
      <c r="U354" s="93">
        <f t="shared" si="106"/>
        <v>216.16</v>
      </c>
    </row>
    <row r="355" spans="1:21" x14ac:dyDescent="0.25">
      <c r="A355" s="71">
        <f t="shared" si="98"/>
        <v>2023</v>
      </c>
      <c r="B355" s="72" t="str">
        <f t="shared" si="96"/>
        <v>OUTUBRO</v>
      </c>
      <c r="C355" s="73" t="str">
        <f t="shared" si="97"/>
        <v>QUARTA</v>
      </c>
      <c r="D355" s="74">
        <v>45203</v>
      </c>
      <c r="E355" s="89">
        <f t="shared" si="99"/>
        <v>7</v>
      </c>
      <c r="F355" s="90">
        <f t="shared" si="100"/>
        <v>7</v>
      </c>
      <c r="G355" s="91"/>
      <c r="H355" s="76">
        <f t="shared" si="101"/>
        <v>14</v>
      </c>
      <c r="I355" s="89">
        <f t="shared" si="102"/>
        <v>8</v>
      </c>
      <c r="J355" s="90">
        <f t="shared" si="103"/>
        <v>8</v>
      </c>
      <c r="K355" s="91">
        <f t="shared" si="104"/>
        <v>8</v>
      </c>
      <c r="L355" s="76">
        <f t="shared" si="105"/>
        <v>24</v>
      </c>
      <c r="N355" s="79">
        <f t="shared" si="107"/>
        <v>52.36</v>
      </c>
      <c r="O355" s="80">
        <f t="shared" si="108"/>
        <v>42</v>
      </c>
      <c r="P355" s="81">
        <f t="shared" si="109"/>
        <v>0</v>
      </c>
      <c r="Q355" s="79">
        <f t="shared" si="110"/>
        <v>59.84</v>
      </c>
      <c r="R355" s="80">
        <f t="shared" si="111"/>
        <v>48</v>
      </c>
      <c r="S355" s="81">
        <f t="shared" si="112"/>
        <v>68</v>
      </c>
      <c r="T355" s="92">
        <f t="shared" si="113"/>
        <v>270.2</v>
      </c>
      <c r="U355" s="93">
        <f t="shared" si="106"/>
        <v>216.16</v>
      </c>
    </row>
    <row r="356" spans="1:21" x14ac:dyDescent="0.25">
      <c r="A356" s="71">
        <f t="shared" si="98"/>
        <v>2023</v>
      </c>
      <c r="B356" s="72" t="str">
        <f t="shared" si="96"/>
        <v>OUTUBRO</v>
      </c>
      <c r="C356" s="73" t="str">
        <f t="shared" si="97"/>
        <v>QUINTA</v>
      </c>
      <c r="D356" s="74">
        <v>45204</v>
      </c>
      <c r="E356" s="89">
        <f t="shared" si="99"/>
        <v>7</v>
      </c>
      <c r="F356" s="90">
        <f t="shared" si="100"/>
        <v>7</v>
      </c>
      <c r="G356" s="91"/>
      <c r="H356" s="76">
        <f t="shared" si="101"/>
        <v>14</v>
      </c>
      <c r="I356" s="89">
        <f t="shared" si="102"/>
        <v>8</v>
      </c>
      <c r="J356" s="90">
        <f t="shared" si="103"/>
        <v>8</v>
      </c>
      <c r="K356" s="91">
        <f t="shared" si="104"/>
        <v>8</v>
      </c>
      <c r="L356" s="76">
        <f t="shared" si="105"/>
        <v>24</v>
      </c>
      <c r="N356" s="79">
        <f t="shared" si="107"/>
        <v>52.36</v>
      </c>
      <c r="O356" s="80">
        <f t="shared" si="108"/>
        <v>42</v>
      </c>
      <c r="P356" s="81">
        <f t="shared" si="109"/>
        <v>0</v>
      </c>
      <c r="Q356" s="79">
        <f t="shared" si="110"/>
        <v>59.84</v>
      </c>
      <c r="R356" s="80">
        <f t="shared" si="111"/>
        <v>48</v>
      </c>
      <c r="S356" s="81">
        <f t="shared" si="112"/>
        <v>68</v>
      </c>
      <c r="T356" s="92">
        <f t="shared" si="113"/>
        <v>270.2</v>
      </c>
      <c r="U356" s="93">
        <f t="shared" si="106"/>
        <v>216.16</v>
      </c>
    </row>
    <row r="357" spans="1:21" x14ac:dyDescent="0.25">
      <c r="A357" s="71">
        <f t="shared" si="98"/>
        <v>2023</v>
      </c>
      <c r="B357" s="72" t="str">
        <f t="shared" si="96"/>
        <v>OUTUBRO</v>
      </c>
      <c r="C357" s="73" t="str">
        <f t="shared" si="97"/>
        <v>SEXTA</v>
      </c>
      <c r="D357" s="74">
        <v>45205</v>
      </c>
      <c r="E357" s="89">
        <f t="shared" si="99"/>
        <v>7</v>
      </c>
      <c r="F357" s="90">
        <f t="shared" si="100"/>
        <v>7</v>
      </c>
      <c r="G357" s="91"/>
      <c r="H357" s="76">
        <f t="shared" si="101"/>
        <v>14</v>
      </c>
      <c r="I357" s="89">
        <f t="shared" si="102"/>
        <v>8</v>
      </c>
      <c r="J357" s="90">
        <f t="shared" si="103"/>
        <v>8</v>
      </c>
      <c r="K357" s="91">
        <f t="shared" si="104"/>
        <v>8</v>
      </c>
      <c r="L357" s="76">
        <f t="shared" si="105"/>
        <v>24</v>
      </c>
      <c r="N357" s="79">
        <f t="shared" si="107"/>
        <v>52.36</v>
      </c>
      <c r="O357" s="80">
        <f t="shared" si="108"/>
        <v>42</v>
      </c>
      <c r="P357" s="81">
        <f t="shared" si="109"/>
        <v>0</v>
      </c>
      <c r="Q357" s="79">
        <f t="shared" si="110"/>
        <v>59.84</v>
      </c>
      <c r="R357" s="80">
        <f t="shared" si="111"/>
        <v>48</v>
      </c>
      <c r="S357" s="81">
        <f t="shared" si="112"/>
        <v>68</v>
      </c>
      <c r="T357" s="92">
        <f t="shared" si="113"/>
        <v>270.2</v>
      </c>
      <c r="U357" s="93">
        <f t="shared" si="106"/>
        <v>216.16</v>
      </c>
    </row>
    <row r="358" spans="1:21" x14ac:dyDescent="0.25">
      <c r="A358" s="71">
        <f t="shared" si="98"/>
        <v>2023</v>
      </c>
      <c r="B358" s="72" t="str">
        <f t="shared" si="96"/>
        <v>OUTUBRO</v>
      </c>
      <c r="C358" s="73" t="str">
        <f t="shared" si="97"/>
        <v>SÁBADO</v>
      </c>
      <c r="D358" s="74">
        <v>45206</v>
      </c>
      <c r="E358" s="89">
        <f t="shared" si="99"/>
        <v>0</v>
      </c>
      <c r="F358" s="90">
        <f t="shared" si="100"/>
        <v>7</v>
      </c>
      <c r="G358" s="91"/>
      <c r="H358" s="76">
        <f t="shared" si="101"/>
        <v>7</v>
      </c>
      <c r="I358" s="89">
        <f t="shared" si="102"/>
        <v>0</v>
      </c>
      <c r="J358" s="90">
        <f t="shared" si="103"/>
        <v>8</v>
      </c>
      <c r="K358" s="91">
        <f t="shared" si="104"/>
        <v>0</v>
      </c>
      <c r="L358" s="76">
        <f t="shared" si="105"/>
        <v>8</v>
      </c>
      <c r="N358" s="79">
        <f t="shared" si="107"/>
        <v>0</v>
      </c>
      <c r="O358" s="80">
        <f t="shared" si="108"/>
        <v>42</v>
      </c>
      <c r="P358" s="81">
        <f t="shared" si="109"/>
        <v>0</v>
      </c>
      <c r="Q358" s="79">
        <f t="shared" si="110"/>
        <v>0</v>
      </c>
      <c r="R358" s="80">
        <f t="shared" si="111"/>
        <v>48</v>
      </c>
      <c r="S358" s="81">
        <f t="shared" si="112"/>
        <v>0</v>
      </c>
      <c r="T358" s="92">
        <f t="shared" si="113"/>
        <v>90</v>
      </c>
      <c r="U358" s="93">
        <f t="shared" si="106"/>
        <v>72</v>
      </c>
    </row>
    <row r="359" spans="1:21" x14ac:dyDescent="0.25">
      <c r="A359" s="71">
        <f t="shared" si="98"/>
        <v>2023</v>
      </c>
      <c r="B359" s="72" t="str">
        <f t="shared" si="96"/>
        <v>OUTUBRO</v>
      </c>
      <c r="C359" s="73" t="str">
        <f t="shared" si="97"/>
        <v>DOMINGO</v>
      </c>
      <c r="D359" s="74">
        <v>45207</v>
      </c>
      <c r="E359" s="89">
        <f t="shared" si="99"/>
        <v>0</v>
      </c>
      <c r="F359" s="90">
        <f t="shared" si="100"/>
        <v>0</v>
      </c>
      <c r="G359" s="91"/>
      <c r="H359" s="76">
        <f t="shared" si="101"/>
        <v>0</v>
      </c>
      <c r="I359" s="89">
        <f t="shared" si="102"/>
        <v>0</v>
      </c>
      <c r="J359" s="90">
        <f t="shared" si="103"/>
        <v>0</v>
      </c>
      <c r="K359" s="91">
        <f t="shared" si="104"/>
        <v>0</v>
      </c>
      <c r="L359" s="76">
        <f t="shared" si="105"/>
        <v>0</v>
      </c>
      <c r="N359" s="79">
        <f t="shared" si="107"/>
        <v>0</v>
      </c>
      <c r="O359" s="80">
        <f t="shared" si="108"/>
        <v>0</v>
      </c>
      <c r="P359" s="81">
        <f t="shared" si="109"/>
        <v>0</v>
      </c>
      <c r="Q359" s="79">
        <f t="shared" si="110"/>
        <v>0</v>
      </c>
      <c r="R359" s="80">
        <f t="shared" si="111"/>
        <v>0</v>
      </c>
      <c r="S359" s="81">
        <f t="shared" si="112"/>
        <v>0</v>
      </c>
      <c r="T359" s="92">
        <f t="shared" si="113"/>
        <v>0</v>
      </c>
      <c r="U359" s="93">
        <f t="shared" si="106"/>
        <v>0</v>
      </c>
    </row>
    <row r="360" spans="1:21" x14ac:dyDescent="0.25">
      <c r="A360" s="71">
        <f t="shared" si="98"/>
        <v>2023</v>
      </c>
      <c r="B360" s="72" t="str">
        <f t="shared" si="96"/>
        <v>OUTUBRO</v>
      </c>
      <c r="C360" s="73" t="str">
        <f t="shared" si="97"/>
        <v>SEGUNDA</v>
      </c>
      <c r="D360" s="74">
        <v>45208</v>
      </c>
      <c r="E360" s="89">
        <f t="shared" si="99"/>
        <v>7</v>
      </c>
      <c r="F360" s="90">
        <f t="shared" si="100"/>
        <v>7</v>
      </c>
      <c r="G360" s="91"/>
      <c r="H360" s="76">
        <f t="shared" si="101"/>
        <v>14</v>
      </c>
      <c r="I360" s="89">
        <f t="shared" si="102"/>
        <v>8</v>
      </c>
      <c r="J360" s="90">
        <f t="shared" si="103"/>
        <v>8</v>
      </c>
      <c r="K360" s="91">
        <f t="shared" si="104"/>
        <v>8</v>
      </c>
      <c r="L360" s="76">
        <f t="shared" si="105"/>
        <v>24</v>
      </c>
      <c r="N360" s="79">
        <f t="shared" si="107"/>
        <v>52.36</v>
      </c>
      <c r="O360" s="80">
        <f t="shared" si="108"/>
        <v>42</v>
      </c>
      <c r="P360" s="81">
        <f t="shared" si="109"/>
        <v>0</v>
      </c>
      <c r="Q360" s="79">
        <f t="shared" si="110"/>
        <v>59.84</v>
      </c>
      <c r="R360" s="80">
        <f t="shared" si="111"/>
        <v>48</v>
      </c>
      <c r="S360" s="81">
        <f t="shared" si="112"/>
        <v>68</v>
      </c>
      <c r="T360" s="92">
        <f t="shared" si="113"/>
        <v>270.2</v>
      </c>
      <c r="U360" s="93">
        <f t="shared" si="106"/>
        <v>216.16</v>
      </c>
    </row>
    <row r="361" spans="1:21" x14ac:dyDescent="0.25">
      <c r="A361" s="71">
        <f t="shared" si="98"/>
        <v>2023</v>
      </c>
      <c r="B361" s="72" t="str">
        <f t="shared" si="96"/>
        <v>OUTUBRO</v>
      </c>
      <c r="C361" s="73" t="str">
        <f t="shared" si="97"/>
        <v>TERÇA</v>
      </c>
      <c r="D361" s="74">
        <v>45209</v>
      </c>
      <c r="E361" s="89">
        <f t="shared" si="99"/>
        <v>7</v>
      </c>
      <c r="F361" s="90">
        <f t="shared" si="100"/>
        <v>7</v>
      </c>
      <c r="G361" s="91"/>
      <c r="H361" s="76">
        <f t="shared" si="101"/>
        <v>14</v>
      </c>
      <c r="I361" s="89">
        <f t="shared" si="102"/>
        <v>8</v>
      </c>
      <c r="J361" s="90">
        <f t="shared" si="103"/>
        <v>8</v>
      </c>
      <c r="K361" s="91">
        <f t="shared" si="104"/>
        <v>8</v>
      </c>
      <c r="L361" s="76">
        <f t="shared" si="105"/>
        <v>24</v>
      </c>
      <c r="N361" s="79">
        <f t="shared" si="107"/>
        <v>52.36</v>
      </c>
      <c r="O361" s="80">
        <f t="shared" si="108"/>
        <v>42</v>
      </c>
      <c r="P361" s="81">
        <f t="shared" si="109"/>
        <v>0</v>
      </c>
      <c r="Q361" s="79">
        <f t="shared" si="110"/>
        <v>59.84</v>
      </c>
      <c r="R361" s="80">
        <f t="shared" si="111"/>
        <v>48</v>
      </c>
      <c r="S361" s="81">
        <f t="shared" si="112"/>
        <v>68</v>
      </c>
      <c r="T361" s="92">
        <f t="shared" si="113"/>
        <v>270.2</v>
      </c>
      <c r="U361" s="93">
        <f t="shared" si="106"/>
        <v>216.16</v>
      </c>
    </row>
    <row r="362" spans="1:21" x14ac:dyDescent="0.25">
      <c r="A362" s="71">
        <f t="shared" si="98"/>
        <v>2023</v>
      </c>
      <c r="B362" s="72" t="str">
        <f t="shared" si="96"/>
        <v>OUTUBRO</v>
      </c>
      <c r="C362" s="73" t="str">
        <f t="shared" si="97"/>
        <v>QUARTA</v>
      </c>
      <c r="D362" s="74">
        <v>45210</v>
      </c>
      <c r="E362" s="89">
        <f t="shared" si="99"/>
        <v>7</v>
      </c>
      <c r="F362" s="90">
        <f t="shared" si="100"/>
        <v>7</v>
      </c>
      <c r="G362" s="91"/>
      <c r="H362" s="76">
        <f t="shared" si="101"/>
        <v>14</v>
      </c>
      <c r="I362" s="89">
        <f t="shared" si="102"/>
        <v>8</v>
      </c>
      <c r="J362" s="90">
        <f t="shared" si="103"/>
        <v>8</v>
      </c>
      <c r="K362" s="91">
        <f t="shared" si="104"/>
        <v>8</v>
      </c>
      <c r="L362" s="76">
        <f t="shared" si="105"/>
        <v>24</v>
      </c>
      <c r="N362" s="79">
        <f t="shared" si="107"/>
        <v>52.36</v>
      </c>
      <c r="O362" s="80">
        <f t="shared" si="108"/>
        <v>42</v>
      </c>
      <c r="P362" s="81">
        <f t="shared" si="109"/>
        <v>0</v>
      </c>
      <c r="Q362" s="79">
        <f t="shared" si="110"/>
        <v>59.84</v>
      </c>
      <c r="R362" s="80">
        <f t="shared" si="111"/>
        <v>48</v>
      </c>
      <c r="S362" s="81">
        <f t="shared" si="112"/>
        <v>68</v>
      </c>
      <c r="T362" s="92">
        <f t="shared" si="113"/>
        <v>270.2</v>
      </c>
      <c r="U362" s="93">
        <f t="shared" si="106"/>
        <v>216.16</v>
      </c>
    </row>
    <row r="363" spans="1:21" x14ac:dyDescent="0.25">
      <c r="A363" s="71">
        <f t="shared" si="98"/>
        <v>2023</v>
      </c>
      <c r="B363" s="72" t="str">
        <f t="shared" si="96"/>
        <v>OUTUBRO</v>
      </c>
      <c r="C363" s="73" t="str">
        <f t="shared" si="97"/>
        <v>QUINTA</v>
      </c>
      <c r="D363" s="74">
        <v>45211</v>
      </c>
      <c r="E363" s="89">
        <f t="shared" si="99"/>
        <v>7</v>
      </c>
      <c r="F363" s="90">
        <f t="shared" si="100"/>
        <v>7</v>
      </c>
      <c r="G363" s="91"/>
      <c r="H363" s="76">
        <f t="shared" si="101"/>
        <v>14</v>
      </c>
      <c r="I363" s="89">
        <f t="shared" si="102"/>
        <v>8</v>
      </c>
      <c r="J363" s="90">
        <f t="shared" si="103"/>
        <v>8</v>
      </c>
      <c r="K363" s="91">
        <f t="shared" si="104"/>
        <v>8</v>
      </c>
      <c r="L363" s="76">
        <f t="shared" si="105"/>
        <v>24</v>
      </c>
      <c r="N363" s="79">
        <f t="shared" si="107"/>
        <v>52.36</v>
      </c>
      <c r="O363" s="80">
        <f t="shared" si="108"/>
        <v>42</v>
      </c>
      <c r="P363" s="81">
        <f t="shared" si="109"/>
        <v>0</v>
      </c>
      <c r="Q363" s="79">
        <f t="shared" si="110"/>
        <v>59.84</v>
      </c>
      <c r="R363" s="80">
        <f t="shared" si="111"/>
        <v>48</v>
      </c>
      <c r="S363" s="81">
        <f t="shared" si="112"/>
        <v>68</v>
      </c>
      <c r="T363" s="92">
        <f t="shared" si="113"/>
        <v>270.2</v>
      </c>
      <c r="U363" s="93">
        <f t="shared" si="106"/>
        <v>216.16</v>
      </c>
    </row>
    <row r="364" spans="1:21" x14ac:dyDescent="0.25">
      <c r="A364" s="71">
        <f t="shared" si="98"/>
        <v>2023</v>
      </c>
      <c r="B364" s="72" t="str">
        <f t="shared" si="96"/>
        <v>OUTUBRO</v>
      </c>
      <c r="C364" s="73" t="str">
        <f t="shared" si="97"/>
        <v>SEXTA</v>
      </c>
      <c r="D364" s="74">
        <v>45212</v>
      </c>
      <c r="E364" s="89">
        <f t="shared" si="99"/>
        <v>7</v>
      </c>
      <c r="F364" s="90">
        <f t="shared" si="100"/>
        <v>7</v>
      </c>
      <c r="G364" s="91"/>
      <c r="H364" s="76">
        <f t="shared" si="101"/>
        <v>14</v>
      </c>
      <c r="I364" s="89">
        <f t="shared" si="102"/>
        <v>8</v>
      </c>
      <c r="J364" s="90">
        <f t="shared" si="103"/>
        <v>8</v>
      </c>
      <c r="K364" s="91">
        <f t="shared" si="104"/>
        <v>8</v>
      </c>
      <c r="L364" s="76">
        <f t="shared" si="105"/>
        <v>24</v>
      </c>
      <c r="N364" s="79">
        <f t="shared" si="107"/>
        <v>52.36</v>
      </c>
      <c r="O364" s="80">
        <f t="shared" si="108"/>
        <v>42</v>
      </c>
      <c r="P364" s="81">
        <f t="shared" si="109"/>
        <v>0</v>
      </c>
      <c r="Q364" s="79">
        <f t="shared" si="110"/>
        <v>59.84</v>
      </c>
      <c r="R364" s="80">
        <f t="shared" si="111"/>
        <v>48</v>
      </c>
      <c r="S364" s="81">
        <f t="shared" si="112"/>
        <v>68</v>
      </c>
      <c r="T364" s="92">
        <f t="shared" si="113"/>
        <v>270.2</v>
      </c>
      <c r="U364" s="93">
        <f t="shared" si="106"/>
        <v>216.16</v>
      </c>
    </row>
    <row r="365" spans="1:21" x14ac:dyDescent="0.25">
      <c r="A365" s="71">
        <f t="shared" si="98"/>
        <v>2023</v>
      </c>
      <c r="B365" s="72" t="str">
        <f t="shared" si="96"/>
        <v>OUTUBRO</v>
      </c>
      <c r="C365" s="73" t="str">
        <f t="shared" si="97"/>
        <v>SÁBADO</v>
      </c>
      <c r="D365" s="74">
        <v>45213</v>
      </c>
      <c r="E365" s="89">
        <f t="shared" si="99"/>
        <v>0</v>
      </c>
      <c r="F365" s="90">
        <f t="shared" si="100"/>
        <v>7</v>
      </c>
      <c r="G365" s="91"/>
      <c r="H365" s="76">
        <f t="shared" si="101"/>
        <v>7</v>
      </c>
      <c r="I365" s="89">
        <f t="shared" si="102"/>
        <v>0</v>
      </c>
      <c r="J365" s="90">
        <f t="shared" si="103"/>
        <v>8</v>
      </c>
      <c r="K365" s="91">
        <f t="shared" si="104"/>
        <v>0</v>
      </c>
      <c r="L365" s="76">
        <f t="shared" si="105"/>
        <v>8</v>
      </c>
      <c r="N365" s="79">
        <f t="shared" si="107"/>
        <v>0</v>
      </c>
      <c r="O365" s="80">
        <f t="shared" si="108"/>
        <v>42</v>
      </c>
      <c r="P365" s="81">
        <f t="shared" si="109"/>
        <v>0</v>
      </c>
      <c r="Q365" s="79">
        <f t="shared" si="110"/>
        <v>0</v>
      </c>
      <c r="R365" s="80">
        <f t="shared" si="111"/>
        <v>48</v>
      </c>
      <c r="S365" s="81">
        <f t="shared" si="112"/>
        <v>0</v>
      </c>
      <c r="T365" s="92">
        <f t="shared" si="113"/>
        <v>90</v>
      </c>
      <c r="U365" s="93">
        <f t="shared" si="106"/>
        <v>72</v>
      </c>
    </row>
    <row r="366" spans="1:21" x14ac:dyDescent="0.25">
      <c r="A366" s="71">
        <f t="shared" si="98"/>
        <v>2023</v>
      </c>
      <c r="B366" s="72" t="str">
        <f t="shared" si="96"/>
        <v>OUTUBRO</v>
      </c>
      <c r="C366" s="73" t="str">
        <f t="shared" si="97"/>
        <v>DOMINGO</v>
      </c>
      <c r="D366" s="74">
        <v>45214</v>
      </c>
      <c r="E366" s="89">
        <f t="shared" si="99"/>
        <v>0</v>
      </c>
      <c r="F366" s="90">
        <f t="shared" si="100"/>
        <v>0</v>
      </c>
      <c r="G366" s="91"/>
      <c r="H366" s="76">
        <f t="shared" si="101"/>
        <v>0</v>
      </c>
      <c r="I366" s="89">
        <f t="shared" si="102"/>
        <v>0</v>
      </c>
      <c r="J366" s="90">
        <f t="shared" si="103"/>
        <v>0</v>
      </c>
      <c r="K366" s="91">
        <f t="shared" si="104"/>
        <v>0</v>
      </c>
      <c r="L366" s="76">
        <f t="shared" si="105"/>
        <v>0</v>
      </c>
      <c r="N366" s="79">
        <f t="shared" si="107"/>
        <v>0</v>
      </c>
      <c r="O366" s="80">
        <f t="shared" si="108"/>
        <v>0</v>
      </c>
      <c r="P366" s="81">
        <f t="shared" si="109"/>
        <v>0</v>
      </c>
      <c r="Q366" s="79">
        <f t="shared" si="110"/>
        <v>0</v>
      </c>
      <c r="R366" s="80">
        <f t="shared" si="111"/>
        <v>0</v>
      </c>
      <c r="S366" s="81">
        <f t="shared" si="112"/>
        <v>0</v>
      </c>
      <c r="T366" s="92">
        <f t="shared" si="113"/>
        <v>0</v>
      </c>
      <c r="U366" s="93">
        <f t="shared" si="106"/>
        <v>0</v>
      </c>
    </row>
    <row r="367" spans="1:21" x14ac:dyDescent="0.25">
      <c r="A367" s="71">
        <f t="shared" si="98"/>
        <v>2023</v>
      </c>
      <c r="B367" s="72" t="str">
        <f t="shared" si="96"/>
        <v>OUTUBRO</v>
      </c>
      <c r="C367" s="73" t="str">
        <f t="shared" si="97"/>
        <v>SEGUNDA</v>
      </c>
      <c r="D367" s="74">
        <v>45215</v>
      </c>
      <c r="E367" s="89">
        <f t="shared" si="99"/>
        <v>7</v>
      </c>
      <c r="F367" s="90">
        <f t="shared" si="100"/>
        <v>7</v>
      </c>
      <c r="G367" s="91"/>
      <c r="H367" s="76">
        <f t="shared" si="101"/>
        <v>14</v>
      </c>
      <c r="I367" s="89">
        <f t="shared" si="102"/>
        <v>8</v>
      </c>
      <c r="J367" s="90">
        <f t="shared" si="103"/>
        <v>8</v>
      </c>
      <c r="K367" s="91">
        <f t="shared" si="104"/>
        <v>8</v>
      </c>
      <c r="L367" s="76">
        <f t="shared" si="105"/>
        <v>24</v>
      </c>
      <c r="N367" s="79">
        <f t="shared" si="107"/>
        <v>52.36</v>
      </c>
      <c r="O367" s="80">
        <f t="shared" si="108"/>
        <v>42</v>
      </c>
      <c r="P367" s="81">
        <f t="shared" si="109"/>
        <v>0</v>
      </c>
      <c r="Q367" s="79">
        <f t="shared" si="110"/>
        <v>59.84</v>
      </c>
      <c r="R367" s="80">
        <f t="shared" si="111"/>
        <v>48</v>
      </c>
      <c r="S367" s="81">
        <f t="shared" si="112"/>
        <v>68</v>
      </c>
      <c r="T367" s="92">
        <f t="shared" si="113"/>
        <v>270.2</v>
      </c>
      <c r="U367" s="93">
        <f t="shared" si="106"/>
        <v>216.16</v>
      </c>
    </row>
    <row r="368" spans="1:21" x14ac:dyDescent="0.25">
      <c r="A368" s="71">
        <f t="shared" si="98"/>
        <v>2023</v>
      </c>
      <c r="B368" s="72" t="str">
        <f t="shared" si="96"/>
        <v>OUTUBRO</v>
      </c>
      <c r="C368" s="73" t="str">
        <f t="shared" si="97"/>
        <v>TERÇA</v>
      </c>
      <c r="D368" s="74">
        <v>45216</v>
      </c>
      <c r="E368" s="89">
        <f t="shared" si="99"/>
        <v>7</v>
      </c>
      <c r="F368" s="90">
        <f t="shared" si="100"/>
        <v>7</v>
      </c>
      <c r="G368" s="91"/>
      <c r="H368" s="76">
        <f t="shared" si="101"/>
        <v>14</v>
      </c>
      <c r="I368" s="89">
        <f t="shared" si="102"/>
        <v>8</v>
      </c>
      <c r="J368" s="90">
        <f t="shared" si="103"/>
        <v>8</v>
      </c>
      <c r="K368" s="91">
        <f t="shared" si="104"/>
        <v>8</v>
      </c>
      <c r="L368" s="76">
        <f t="shared" si="105"/>
        <v>24</v>
      </c>
      <c r="N368" s="79">
        <f t="shared" si="107"/>
        <v>52.36</v>
      </c>
      <c r="O368" s="80">
        <f t="shared" si="108"/>
        <v>42</v>
      </c>
      <c r="P368" s="81">
        <f t="shared" si="109"/>
        <v>0</v>
      </c>
      <c r="Q368" s="79">
        <f t="shared" si="110"/>
        <v>59.84</v>
      </c>
      <c r="R368" s="80">
        <f t="shared" si="111"/>
        <v>48</v>
      </c>
      <c r="S368" s="81">
        <f t="shared" si="112"/>
        <v>68</v>
      </c>
      <c r="T368" s="92">
        <f t="shared" si="113"/>
        <v>270.2</v>
      </c>
      <c r="U368" s="93">
        <f t="shared" si="106"/>
        <v>216.16</v>
      </c>
    </row>
    <row r="369" spans="1:21" x14ac:dyDescent="0.25">
      <c r="A369" s="71">
        <f t="shared" si="98"/>
        <v>2023</v>
      </c>
      <c r="B369" s="72" t="str">
        <f t="shared" si="96"/>
        <v>OUTUBRO</v>
      </c>
      <c r="C369" s="73" t="str">
        <f t="shared" si="97"/>
        <v>QUARTA</v>
      </c>
      <c r="D369" s="74">
        <v>45217</v>
      </c>
      <c r="E369" s="89">
        <f t="shared" si="99"/>
        <v>7</v>
      </c>
      <c r="F369" s="90">
        <f t="shared" si="100"/>
        <v>7</v>
      </c>
      <c r="G369" s="91"/>
      <c r="H369" s="76">
        <f t="shared" si="101"/>
        <v>14</v>
      </c>
      <c r="I369" s="89">
        <f t="shared" si="102"/>
        <v>8</v>
      </c>
      <c r="J369" s="90">
        <f t="shared" si="103"/>
        <v>8</v>
      </c>
      <c r="K369" s="91">
        <f t="shared" si="104"/>
        <v>8</v>
      </c>
      <c r="L369" s="76">
        <f t="shared" si="105"/>
        <v>24</v>
      </c>
      <c r="N369" s="79">
        <f t="shared" si="107"/>
        <v>52.36</v>
      </c>
      <c r="O369" s="80">
        <f t="shared" si="108"/>
        <v>42</v>
      </c>
      <c r="P369" s="81">
        <f t="shared" si="109"/>
        <v>0</v>
      </c>
      <c r="Q369" s="79">
        <f t="shared" si="110"/>
        <v>59.84</v>
      </c>
      <c r="R369" s="80">
        <f t="shared" si="111"/>
        <v>48</v>
      </c>
      <c r="S369" s="81">
        <f t="shared" si="112"/>
        <v>68</v>
      </c>
      <c r="T369" s="92">
        <f t="shared" si="113"/>
        <v>270.2</v>
      </c>
      <c r="U369" s="93">
        <f t="shared" si="106"/>
        <v>216.16</v>
      </c>
    </row>
    <row r="370" spans="1:21" x14ac:dyDescent="0.25">
      <c r="A370" s="71">
        <f t="shared" si="98"/>
        <v>2023</v>
      </c>
      <c r="B370" s="72" t="str">
        <f t="shared" si="96"/>
        <v>OUTUBRO</v>
      </c>
      <c r="C370" s="73" t="str">
        <f t="shared" si="97"/>
        <v>QUINTA</v>
      </c>
      <c r="D370" s="74">
        <v>45218</v>
      </c>
      <c r="E370" s="89">
        <f t="shared" si="99"/>
        <v>7</v>
      </c>
      <c r="F370" s="90">
        <f t="shared" si="100"/>
        <v>7</v>
      </c>
      <c r="G370" s="91"/>
      <c r="H370" s="76">
        <f t="shared" si="101"/>
        <v>14</v>
      </c>
      <c r="I370" s="89">
        <f t="shared" si="102"/>
        <v>8</v>
      </c>
      <c r="J370" s="90">
        <f t="shared" si="103"/>
        <v>8</v>
      </c>
      <c r="K370" s="91">
        <f t="shared" si="104"/>
        <v>8</v>
      </c>
      <c r="L370" s="76">
        <f t="shared" si="105"/>
        <v>24</v>
      </c>
      <c r="N370" s="79">
        <f t="shared" si="107"/>
        <v>52.36</v>
      </c>
      <c r="O370" s="80">
        <f t="shared" si="108"/>
        <v>42</v>
      </c>
      <c r="P370" s="81">
        <f t="shared" si="109"/>
        <v>0</v>
      </c>
      <c r="Q370" s="79">
        <f t="shared" si="110"/>
        <v>59.84</v>
      </c>
      <c r="R370" s="80">
        <f t="shared" si="111"/>
        <v>48</v>
      </c>
      <c r="S370" s="81">
        <f t="shared" si="112"/>
        <v>68</v>
      </c>
      <c r="T370" s="92">
        <f t="shared" si="113"/>
        <v>270.2</v>
      </c>
      <c r="U370" s="93">
        <f t="shared" si="106"/>
        <v>216.16</v>
      </c>
    </row>
    <row r="371" spans="1:21" x14ac:dyDescent="0.25">
      <c r="A371" s="71">
        <f t="shared" si="98"/>
        <v>2023</v>
      </c>
      <c r="B371" s="72" t="str">
        <f t="shared" si="96"/>
        <v>OUTUBRO</v>
      </c>
      <c r="C371" s="73" t="str">
        <f t="shared" si="97"/>
        <v>SEXTA</v>
      </c>
      <c r="D371" s="74">
        <v>45219</v>
      </c>
      <c r="E371" s="89">
        <f t="shared" si="99"/>
        <v>7</v>
      </c>
      <c r="F371" s="90">
        <f t="shared" si="100"/>
        <v>7</v>
      </c>
      <c r="G371" s="91"/>
      <c r="H371" s="76">
        <f t="shared" si="101"/>
        <v>14</v>
      </c>
      <c r="I371" s="89">
        <f t="shared" si="102"/>
        <v>8</v>
      </c>
      <c r="J371" s="90">
        <f t="shared" si="103"/>
        <v>8</v>
      </c>
      <c r="K371" s="91">
        <f t="shared" si="104"/>
        <v>8</v>
      </c>
      <c r="L371" s="76">
        <f t="shared" si="105"/>
        <v>24</v>
      </c>
      <c r="N371" s="79">
        <f t="shared" si="107"/>
        <v>52.36</v>
      </c>
      <c r="O371" s="80">
        <f t="shared" si="108"/>
        <v>42</v>
      </c>
      <c r="P371" s="81">
        <f t="shared" si="109"/>
        <v>0</v>
      </c>
      <c r="Q371" s="79">
        <f t="shared" si="110"/>
        <v>59.84</v>
      </c>
      <c r="R371" s="80">
        <f t="shared" si="111"/>
        <v>48</v>
      </c>
      <c r="S371" s="81">
        <f t="shared" si="112"/>
        <v>68</v>
      </c>
      <c r="T371" s="92">
        <f t="shared" si="113"/>
        <v>270.2</v>
      </c>
      <c r="U371" s="93">
        <f t="shared" si="106"/>
        <v>216.16</v>
      </c>
    </row>
    <row r="372" spans="1:21" x14ac:dyDescent="0.25">
      <c r="A372" s="71">
        <f t="shared" si="98"/>
        <v>2023</v>
      </c>
      <c r="B372" s="72" t="str">
        <f t="shared" si="96"/>
        <v>OUTUBRO</v>
      </c>
      <c r="C372" s="73" t="str">
        <f t="shared" si="97"/>
        <v>SÁBADO</v>
      </c>
      <c r="D372" s="74">
        <v>45220</v>
      </c>
      <c r="E372" s="89">
        <f t="shared" si="99"/>
        <v>0</v>
      </c>
      <c r="F372" s="90">
        <f t="shared" si="100"/>
        <v>7</v>
      </c>
      <c r="G372" s="91"/>
      <c r="H372" s="76">
        <f t="shared" si="101"/>
        <v>7</v>
      </c>
      <c r="I372" s="89">
        <f t="shared" si="102"/>
        <v>0</v>
      </c>
      <c r="J372" s="90">
        <f t="shared" si="103"/>
        <v>8</v>
      </c>
      <c r="K372" s="91">
        <f t="shared" si="104"/>
        <v>0</v>
      </c>
      <c r="L372" s="76">
        <f t="shared" si="105"/>
        <v>8</v>
      </c>
      <c r="N372" s="79">
        <f t="shared" si="107"/>
        <v>0</v>
      </c>
      <c r="O372" s="80">
        <f t="shared" si="108"/>
        <v>42</v>
      </c>
      <c r="P372" s="81">
        <f t="shared" si="109"/>
        <v>0</v>
      </c>
      <c r="Q372" s="79">
        <f t="shared" si="110"/>
        <v>0</v>
      </c>
      <c r="R372" s="80">
        <f t="shared" si="111"/>
        <v>48</v>
      </c>
      <c r="S372" s="81">
        <f t="shared" si="112"/>
        <v>0</v>
      </c>
      <c r="T372" s="92">
        <f t="shared" si="113"/>
        <v>90</v>
      </c>
      <c r="U372" s="93">
        <f t="shared" si="106"/>
        <v>72</v>
      </c>
    </row>
    <row r="373" spans="1:21" x14ac:dyDescent="0.25">
      <c r="A373" s="71">
        <f t="shared" si="98"/>
        <v>2023</v>
      </c>
      <c r="B373" s="72" t="str">
        <f t="shared" si="96"/>
        <v>OUTUBRO</v>
      </c>
      <c r="C373" s="73" t="str">
        <f t="shared" si="97"/>
        <v>DOMINGO</v>
      </c>
      <c r="D373" s="74">
        <v>45221</v>
      </c>
      <c r="E373" s="89">
        <f t="shared" si="99"/>
        <v>0</v>
      </c>
      <c r="F373" s="90">
        <f t="shared" si="100"/>
        <v>0</v>
      </c>
      <c r="G373" s="91"/>
      <c r="H373" s="76">
        <f t="shared" si="101"/>
        <v>0</v>
      </c>
      <c r="I373" s="89">
        <f t="shared" si="102"/>
        <v>0</v>
      </c>
      <c r="J373" s="90">
        <f t="shared" si="103"/>
        <v>0</v>
      </c>
      <c r="K373" s="91">
        <f t="shared" si="104"/>
        <v>0</v>
      </c>
      <c r="L373" s="76">
        <f t="shared" si="105"/>
        <v>0</v>
      </c>
      <c r="N373" s="79">
        <f t="shared" si="107"/>
        <v>0</v>
      </c>
      <c r="O373" s="80">
        <f t="shared" si="108"/>
        <v>0</v>
      </c>
      <c r="P373" s="81">
        <f t="shared" si="109"/>
        <v>0</v>
      </c>
      <c r="Q373" s="79">
        <f t="shared" si="110"/>
        <v>0</v>
      </c>
      <c r="R373" s="80">
        <f t="shared" si="111"/>
        <v>0</v>
      </c>
      <c r="S373" s="81">
        <f t="shared" si="112"/>
        <v>0</v>
      </c>
      <c r="T373" s="92">
        <f t="shared" si="113"/>
        <v>0</v>
      </c>
      <c r="U373" s="93">
        <f t="shared" si="106"/>
        <v>0</v>
      </c>
    </row>
    <row r="374" spans="1:21" x14ac:dyDescent="0.25">
      <c r="A374" s="71">
        <f t="shared" si="98"/>
        <v>2023</v>
      </c>
      <c r="B374" s="72" t="str">
        <f t="shared" si="96"/>
        <v>OUTUBRO</v>
      </c>
      <c r="C374" s="73" t="str">
        <f t="shared" si="97"/>
        <v>SEGUNDA</v>
      </c>
      <c r="D374" s="74">
        <v>45222</v>
      </c>
      <c r="E374" s="89">
        <f t="shared" si="99"/>
        <v>7</v>
      </c>
      <c r="F374" s="90">
        <f t="shared" si="100"/>
        <v>7</v>
      </c>
      <c r="G374" s="91"/>
      <c r="H374" s="76">
        <f t="shared" si="101"/>
        <v>14</v>
      </c>
      <c r="I374" s="89">
        <f t="shared" si="102"/>
        <v>8</v>
      </c>
      <c r="J374" s="90">
        <f t="shared" si="103"/>
        <v>8</v>
      </c>
      <c r="K374" s="91">
        <f t="shared" si="104"/>
        <v>8</v>
      </c>
      <c r="L374" s="76">
        <f t="shared" si="105"/>
        <v>24</v>
      </c>
      <c r="N374" s="79">
        <f t="shared" si="107"/>
        <v>52.36</v>
      </c>
      <c r="O374" s="80">
        <f t="shared" si="108"/>
        <v>42</v>
      </c>
      <c r="P374" s="81">
        <f t="shared" si="109"/>
        <v>0</v>
      </c>
      <c r="Q374" s="79">
        <f t="shared" si="110"/>
        <v>59.84</v>
      </c>
      <c r="R374" s="80">
        <f t="shared" si="111"/>
        <v>48</v>
      </c>
      <c r="S374" s="81">
        <f t="shared" si="112"/>
        <v>68</v>
      </c>
      <c r="T374" s="92">
        <f t="shared" si="113"/>
        <v>270.2</v>
      </c>
      <c r="U374" s="93">
        <f t="shared" si="106"/>
        <v>216.16</v>
      </c>
    </row>
    <row r="375" spans="1:21" x14ac:dyDescent="0.25">
      <c r="A375" s="71">
        <f t="shared" si="98"/>
        <v>2023</v>
      </c>
      <c r="B375" s="72" t="str">
        <f t="shared" si="96"/>
        <v>OUTUBRO</v>
      </c>
      <c r="C375" s="73" t="str">
        <f t="shared" si="97"/>
        <v>TERÇA</v>
      </c>
      <c r="D375" s="74">
        <v>45223</v>
      </c>
      <c r="E375" s="89">
        <f t="shared" si="99"/>
        <v>7</v>
      </c>
      <c r="F375" s="90">
        <f t="shared" si="100"/>
        <v>7</v>
      </c>
      <c r="G375" s="91"/>
      <c r="H375" s="76">
        <f t="shared" si="101"/>
        <v>14</v>
      </c>
      <c r="I375" s="89">
        <f t="shared" si="102"/>
        <v>8</v>
      </c>
      <c r="J375" s="90">
        <f t="shared" si="103"/>
        <v>8</v>
      </c>
      <c r="K375" s="91">
        <f t="shared" si="104"/>
        <v>8</v>
      </c>
      <c r="L375" s="76">
        <f t="shared" si="105"/>
        <v>24</v>
      </c>
      <c r="N375" s="79">
        <f t="shared" si="107"/>
        <v>52.36</v>
      </c>
      <c r="O375" s="80">
        <f t="shared" si="108"/>
        <v>42</v>
      </c>
      <c r="P375" s="81">
        <f t="shared" si="109"/>
        <v>0</v>
      </c>
      <c r="Q375" s="79">
        <f t="shared" si="110"/>
        <v>59.84</v>
      </c>
      <c r="R375" s="80">
        <f t="shared" si="111"/>
        <v>48</v>
      </c>
      <c r="S375" s="81">
        <f t="shared" si="112"/>
        <v>68</v>
      </c>
      <c r="T375" s="92">
        <f t="shared" si="113"/>
        <v>270.2</v>
      </c>
      <c r="U375" s="93">
        <f t="shared" si="106"/>
        <v>216.16</v>
      </c>
    </row>
    <row r="376" spans="1:21" x14ac:dyDescent="0.25">
      <c r="A376" s="71">
        <f t="shared" si="98"/>
        <v>2023</v>
      </c>
      <c r="B376" s="72" t="str">
        <f t="shared" si="96"/>
        <v>OUTUBRO</v>
      </c>
      <c r="C376" s="73" t="str">
        <f t="shared" si="97"/>
        <v>QUARTA</v>
      </c>
      <c r="D376" s="74">
        <v>45224</v>
      </c>
      <c r="E376" s="89">
        <f t="shared" si="99"/>
        <v>7</v>
      </c>
      <c r="F376" s="90">
        <f t="shared" si="100"/>
        <v>7</v>
      </c>
      <c r="G376" s="91"/>
      <c r="H376" s="76">
        <f t="shared" si="101"/>
        <v>14</v>
      </c>
      <c r="I376" s="89">
        <f t="shared" si="102"/>
        <v>8</v>
      </c>
      <c r="J376" s="90">
        <f t="shared" si="103"/>
        <v>8</v>
      </c>
      <c r="K376" s="91">
        <f t="shared" si="104"/>
        <v>8</v>
      </c>
      <c r="L376" s="76">
        <f t="shared" si="105"/>
        <v>24</v>
      </c>
      <c r="N376" s="79">
        <f t="shared" si="107"/>
        <v>52.36</v>
      </c>
      <c r="O376" s="80">
        <f t="shared" si="108"/>
        <v>42</v>
      </c>
      <c r="P376" s="81">
        <f t="shared" si="109"/>
        <v>0</v>
      </c>
      <c r="Q376" s="79">
        <f t="shared" si="110"/>
        <v>59.84</v>
      </c>
      <c r="R376" s="80">
        <f t="shared" si="111"/>
        <v>48</v>
      </c>
      <c r="S376" s="81">
        <f t="shared" si="112"/>
        <v>68</v>
      </c>
      <c r="T376" s="92">
        <f t="shared" si="113"/>
        <v>270.2</v>
      </c>
      <c r="U376" s="93">
        <f t="shared" si="106"/>
        <v>216.16</v>
      </c>
    </row>
    <row r="377" spans="1:21" x14ac:dyDescent="0.25">
      <c r="A377" s="71">
        <f t="shared" si="98"/>
        <v>2023</v>
      </c>
      <c r="B377" s="72" t="str">
        <f t="shared" si="96"/>
        <v>OUTUBRO</v>
      </c>
      <c r="C377" s="73" t="str">
        <f t="shared" si="97"/>
        <v>QUINTA</v>
      </c>
      <c r="D377" s="74">
        <v>45225</v>
      </c>
      <c r="E377" s="89">
        <f t="shared" si="99"/>
        <v>7</v>
      </c>
      <c r="F377" s="90">
        <f t="shared" si="100"/>
        <v>7</v>
      </c>
      <c r="G377" s="91"/>
      <c r="H377" s="76">
        <f t="shared" si="101"/>
        <v>14</v>
      </c>
      <c r="I377" s="89">
        <f t="shared" si="102"/>
        <v>8</v>
      </c>
      <c r="J377" s="90">
        <f t="shared" si="103"/>
        <v>8</v>
      </c>
      <c r="K377" s="91">
        <f t="shared" si="104"/>
        <v>8</v>
      </c>
      <c r="L377" s="76">
        <f t="shared" si="105"/>
        <v>24</v>
      </c>
      <c r="N377" s="79">
        <f t="shared" si="107"/>
        <v>52.36</v>
      </c>
      <c r="O377" s="80">
        <f t="shared" si="108"/>
        <v>42</v>
      </c>
      <c r="P377" s="81">
        <f t="shared" si="109"/>
        <v>0</v>
      </c>
      <c r="Q377" s="79">
        <f t="shared" si="110"/>
        <v>59.84</v>
      </c>
      <c r="R377" s="80">
        <f t="shared" si="111"/>
        <v>48</v>
      </c>
      <c r="S377" s="81">
        <f t="shared" si="112"/>
        <v>68</v>
      </c>
      <c r="T377" s="92">
        <f t="shared" si="113"/>
        <v>270.2</v>
      </c>
      <c r="U377" s="93">
        <f t="shared" si="106"/>
        <v>216.16</v>
      </c>
    </row>
    <row r="378" spans="1:21" x14ac:dyDescent="0.25">
      <c r="A378" s="71">
        <f t="shared" si="98"/>
        <v>2023</v>
      </c>
      <c r="B378" s="72" t="str">
        <f t="shared" si="96"/>
        <v>OUTUBRO</v>
      </c>
      <c r="C378" s="73" t="str">
        <f t="shared" si="97"/>
        <v>SEXTA</v>
      </c>
      <c r="D378" s="74">
        <v>45226</v>
      </c>
      <c r="E378" s="89">
        <f t="shared" si="99"/>
        <v>7</v>
      </c>
      <c r="F378" s="90">
        <f t="shared" si="100"/>
        <v>7</v>
      </c>
      <c r="G378" s="91"/>
      <c r="H378" s="76">
        <f t="shared" si="101"/>
        <v>14</v>
      </c>
      <c r="I378" s="89">
        <f t="shared" si="102"/>
        <v>8</v>
      </c>
      <c r="J378" s="90">
        <f t="shared" si="103"/>
        <v>8</v>
      </c>
      <c r="K378" s="91">
        <f t="shared" si="104"/>
        <v>8</v>
      </c>
      <c r="L378" s="76">
        <f t="shared" si="105"/>
        <v>24</v>
      </c>
      <c r="N378" s="79">
        <f t="shared" si="107"/>
        <v>52.36</v>
      </c>
      <c r="O378" s="80">
        <f t="shared" si="108"/>
        <v>42</v>
      </c>
      <c r="P378" s="81">
        <f t="shared" si="109"/>
        <v>0</v>
      </c>
      <c r="Q378" s="79">
        <f t="shared" si="110"/>
        <v>59.84</v>
      </c>
      <c r="R378" s="80">
        <f t="shared" si="111"/>
        <v>48</v>
      </c>
      <c r="S378" s="81">
        <f t="shared" si="112"/>
        <v>68</v>
      </c>
      <c r="T378" s="92">
        <f t="shared" si="113"/>
        <v>270.2</v>
      </c>
      <c r="U378" s="93">
        <f t="shared" si="106"/>
        <v>216.16</v>
      </c>
    </row>
    <row r="379" spans="1:21" x14ac:dyDescent="0.25">
      <c r="A379" s="71">
        <f t="shared" si="98"/>
        <v>2023</v>
      </c>
      <c r="B379" s="72" t="str">
        <f t="shared" si="96"/>
        <v>OUTUBRO</v>
      </c>
      <c r="C379" s="73" t="str">
        <f t="shared" si="97"/>
        <v>SÁBADO</v>
      </c>
      <c r="D379" s="74">
        <v>45227</v>
      </c>
      <c r="E379" s="89">
        <f t="shared" si="99"/>
        <v>0</v>
      </c>
      <c r="F379" s="90">
        <f t="shared" si="100"/>
        <v>7</v>
      </c>
      <c r="G379" s="91"/>
      <c r="H379" s="76">
        <f t="shared" si="101"/>
        <v>7</v>
      </c>
      <c r="I379" s="89">
        <f t="shared" si="102"/>
        <v>0</v>
      </c>
      <c r="J379" s="90">
        <f t="shared" si="103"/>
        <v>8</v>
      </c>
      <c r="K379" s="91">
        <f t="shared" si="104"/>
        <v>0</v>
      </c>
      <c r="L379" s="76">
        <f t="shared" si="105"/>
        <v>8</v>
      </c>
      <c r="N379" s="79">
        <f t="shared" si="107"/>
        <v>0</v>
      </c>
      <c r="O379" s="80">
        <f t="shared" si="108"/>
        <v>42</v>
      </c>
      <c r="P379" s="81">
        <f t="shared" si="109"/>
        <v>0</v>
      </c>
      <c r="Q379" s="79">
        <f t="shared" si="110"/>
        <v>0</v>
      </c>
      <c r="R379" s="80">
        <f t="shared" si="111"/>
        <v>48</v>
      </c>
      <c r="S379" s="81">
        <f t="shared" si="112"/>
        <v>0</v>
      </c>
      <c r="T379" s="92">
        <f t="shared" si="113"/>
        <v>90</v>
      </c>
      <c r="U379" s="93">
        <f t="shared" si="106"/>
        <v>72</v>
      </c>
    </row>
    <row r="380" spans="1:21" x14ac:dyDescent="0.25">
      <c r="A380" s="71">
        <f t="shared" si="98"/>
        <v>2023</v>
      </c>
      <c r="B380" s="72" t="str">
        <f t="shared" si="96"/>
        <v>OUTUBRO</v>
      </c>
      <c r="C380" s="73" t="str">
        <f t="shared" si="97"/>
        <v>DOMINGO</v>
      </c>
      <c r="D380" s="74">
        <v>45228</v>
      </c>
      <c r="E380" s="89">
        <f t="shared" si="99"/>
        <v>0</v>
      </c>
      <c r="F380" s="90">
        <f t="shared" si="100"/>
        <v>0</v>
      </c>
      <c r="G380" s="91"/>
      <c r="H380" s="76">
        <f t="shared" si="101"/>
        <v>0</v>
      </c>
      <c r="I380" s="89">
        <f t="shared" si="102"/>
        <v>0</v>
      </c>
      <c r="J380" s="90">
        <f t="shared" si="103"/>
        <v>0</v>
      </c>
      <c r="K380" s="91">
        <f t="shared" si="104"/>
        <v>0</v>
      </c>
      <c r="L380" s="76">
        <f t="shared" si="105"/>
        <v>0</v>
      </c>
      <c r="N380" s="79">
        <f t="shared" si="107"/>
        <v>0</v>
      </c>
      <c r="O380" s="80">
        <f t="shared" si="108"/>
        <v>0</v>
      </c>
      <c r="P380" s="81">
        <f t="shared" si="109"/>
        <v>0</v>
      </c>
      <c r="Q380" s="79">
        <f t="shared" si="110"/>
        <v>0</v>
      </c>
      <c r="R380" s="80">
        <f t="shared" si="111"/>
        <v>0</v>
      </c>
      <c r="S380" s="81">
        <f t="shared" si="112"/>
        <v>0</v>
      </c>
      <c r="T380" s="92">
        <f t="shared" si="113"/>
        <v>0</v>
      </c>
      <c r="U380" s="93">
        <f t="shared" si="106"/>
        <v>0</v>
      </c>
    </row>
    <row r="381" spans="1:21" x14ac:dyDescent="0.25">
      <c r="A381" s="71">
        <f t="shared" si="98"/>
        <v>2023</v>
      </c>
      <c r="B381" s="72" t="str">
        <f t="shared" si="96"/>
        <v>OUTUBRO</v>
      </c>
      <c r="C381" s="73" t="str">
        <f t="shared" si="97"/>
        <v>SEGUNDA</v>
      </c>
      <c r="D381" s="74">
        <v>45229</v>
      </c>
      <c r="E381" s="89">
        <f t="shared" si="99"/>
        <v>7</v>
      </c>
      <c r="F381" s="90">
        <f t="shared" si="100"/>
        <v>7</v>
      </c>
      <c r="G381" s="91"/>
      <c r="H381" s="76">
        <f t="shared" si="101"/>
        <v>14</v>
      </c>
      <c r="I381" s="89">
        <f t="shared" si="102"/>
        <v>8</v>
      </c>
      <c r="J381" s="90">
        <f t="shared" si="103"/>
        <v>8</v>
      </c>
      <c r="K381" s="91">
        <f t="shared" si="104"/>
        <v>8</v>
      </c>
      <c r="L381" s="76">
        <f t="shared" si="105"/>
        <v>24</v>
      </c>
      <c r="N381" s="79">
        <f t="shared" si="107"/>
        <v>52.36</v>
      </c>
      <c r="O381" s="80">
        <f t="shared" si="108"/>
        <v>42</v>
      </c>
      <c r="P381" s="81">
        <f t="shared" si="109"/>
        <v>0</v>
      </c>
      <c r="Q381" s="79">
        <f t="shared" si="110"/>
        <v>59.84</v>
      </c>
      <c r="R381" s="80">
        <f t="shared" si="111"/>
        <v>48</v>
      </c>
      <c r="S381" s="81">
        <f t="shared" si="112"/>
        <v>68</v>
      </c>
      <c r="T381" s="92">
        <f t="shared" si="113"/>
        <v>270.2</v>
      </c>
      <c r="U381" s="93">
        <f t="shared" si="106"/>
        <v>216.16</v>
      </c>
    </row>
    <row r="382" spans="1:21" x14ac:dyDescent="0.25">
      <c r="A382" s="71">
        <f t="shared" si="98"/>
        <v>2023</v>
      </c>
      <c r="B382" s="72" t="str">
        <f t="shared" si="96"/>
        <v>OUTUBRO</v>
      </c>
      <c r="C382" s="73" t="str">
        <f t="shared" si="97"/>
        <v>TERÇA</v>
      </c>
      <c r="D382" s="74">
        <v>45230</v>
      </c>
      <c r="E382" s="89">
        <f t="shared" si="99"/>
        <v>7</v>
      </c>
      <c r="F382" s="90">
        <f t="shared" si="100"/>
        <v>7</v>
      </c>
      <c r="G382" s="91"/>
      <c r="H382" s="76">
        <f t="shared" si="101"/>
        <v>14</v>
      </c>
      <c r="I382" s="89">
        <f t="shared" si="102"/>
        <v>8</v>
      </c>
      <c r="J382" s="90">
        <f t="shared" si="103"/>
        <v>8</v>
      </c>
      <c r="K382" s="91">
        <f t="shared" si="104"/>
        <v>8</v>
      </c>
      <c r="L382" s="76">
        <f t="shared" si="105"/>
        <v>24</v>
      </c>
      <c r="N382" s="79">
        <f t="shared" si="107"/>
        <v>52.36</v>
      </c>
      <c r="O382" s="80">
        <f t="shared" si="108"/>
        <v>42</v>
      </c>
      <c r="P382" s="81">
        <f t="shared" si="109"/>
        <v>0</v>
      </c>
      <c r="Q382" s="79">
        <f t="shared" si="110"/>
        <v>59.84</v>
      </c>
      <c r="R382" s="80">
        <f t="shared" si="111"/>
        <v>48</v>
      </c>
      <c r="S382" s="81">
        <f t="shared" si="112"/>
        <v>68</v>
      </c>
      <c r="T382" s="92">
        <f t="shared" si="113"/>
        <v>270.2</v>
      </c>
      <c r="U382" s="93">
        <f t="shared" si="106"/>
        <v>216.16</v>
      </c>
    </row>
    <row r="383" spans="1:21" x14ac:dyDescent="0.25">
      <c r="A383" s="71">
        <f t="shared" si="98"/>
        <v>2023</v>
      </c>
      <c r="B383" s="72" t="str">
        <f t="shared" ref="B383:B446" si="114">VLOOKUP(MONTH(D383),$AG$2:$AH$14,2,0)</f>
        <v>NOVEMBRO</v>
      </c>
      <c r="C383" s="73" t="str">
        <f t="shared" si="97"/>
        <v>QUARTA</v>
      </c>
      <c r="D383" s="74">
        <v>45231</v>
      </c>
      <c r="E383" s="89">
        <f t="shared" si="99"/>
        <v>7</v>
      </c>
      <c r="F383" s="90">
        <f t="shared" si="100"/>
        <v>7</v>
      </c>
      <c r="G383" s="91"/>
      <c r="H383" s="76">
        <f t="shared" si="101"/>
        <v>14</v>
      </c>
      <c r="I383" s="89">
        <f t="shared" si="102"/>
        <v>8</v>
      </c>
      <c r="J383" s="90">
        <f t="shared" si="103"/>
        <v>8</v>
      </c>
      <c r="K383" s="91">
        <f t="shared" si="104"/>
        <v>8</v>
      </c>
      <c r="L383" s="76">
        <f t="shared" si="105"/>
        <v>24</v>
      </c>
      <c r="N383" s="79">
        <f t="shared" si="107"/>
        <v>52.36</v>
      </c>
      <c r="O383" s="80">
        <f t="shared" si="108"/>
        <v>42</v>
      </c>
      <c r="P383" s="81">
        <f t="shared" si="109"/>
        <v>0</v>
      </c>
      <c r="Q383" s="79">
        <f t="shared" si="110"/>
        <v>59.84</v>
      </c>
      <c r="R383" s="80">
        <f t="shared" si="111"/>
        <v>48</v>
      </c>
      <c r="S383" s="81">
        <f t="shared" si="112"/>
        <v>68</v>
      </c>
      <c r="T383" s="92">
        <f t="shared" si="113"/>
        <v>270.2</v>
      </c>
      <c r="U383" s="93">
        <f t="shared" si="106"/>
        <v>216.16</v>
      </c>
    </row>
    <row r="384" spans="1:21" x14ac:dyDescent="0.25">
      <c r="A384" s="71">
        <f t="shared" si="98"/>
        <v>2023</v>
      </c>
      <c r="B384" s="72" t="str">
        <f t="shared" si="114"/>
        <v>NOVEMBRO</v>
      </c>
      <c r="C384" s="73" t="str">
        <f t="shared" si="97"/>
        <v>QUINTA</v>
      </c>
      <c r="D384" s="74">
        <v>45232</v>
      </c>
      <c r="E384" s="89">
        <f t="shared" si="99"/>
        <v>7</v>
      </c>
      <c r="F384" s="90">
        <f t="shared" si="100"/>
        <v>7</v>
      </c>
      <c r="G384" s="91"/>
      <c r="H384" s="76">
        <f t="shared" si="101"/>
        <v>14</v>
      </c>
      <c r="I384" s="89">
        <f t="shared" si="102"/>
        <v>8</v>
      </c>
      <c r="J384" s="90">
        <f t="shared" si="103"/>
        <v>8</v>
      </c>
      <c r="K384" s="91">
        <f t="shared" si="104"/>
        <v>8</v>
      </c>
      <c r="L384" s="76">
        <f t="shared" si="105"/>
        <v>24</v>
      </c>
      <c r="N384" s="79">
        <f t="shared" si="107"/>
        <v>52.36</v>
      </c>
      <c r="O384" s="80">
        <f t="shared" si="108"/>
        <v>42</v>
      </c>
      <c r="P384" s="81">
        <f t="shared" si="109"/>
        <v>0</v>
      </c>
      <c r="Q384" s="79">
        <f t="shared" si="110"/>
        <v>59.84</v>
      </c>
      <c r="R384" s="80">
        <f t="shared" si="111"/>
        <v>48</v>
      </c>
      <c r="S384" s="81">
        <f t="shared" si="112"/>
        <v>68</v>
      </c>
      <c r="T384" s="92">
        <f t="shared" si="113"/>
        <v>270.2</v>
      </c>
      <c r="U384" s="93">
        <f t="shared" si="106"/>
        <v>216.16</v>
      </c>
    </row>
    <row r="385" spans="1:21" x14ac:dyDescent="0.25">
      <c r="A385" s="71">
        <f t="shared" si="98"/>
        <v>2023</v>
      </c>
      <c r="B385" s="72" t="str">
        <f t="shared" si="114"/>
        <v>NOVEMBRO</v>
      </c>
      <c r="C385" s="73" t="str">
        <f t="shared" si="97"/>
        <v>SEXTA</v>
      </c>
      <c r="D385" s="74">
        <v>45233</v>
      </c>
      <c r="E385" s="89">
        <f t="shared" si="99"/>
        <v>7</v>
      </c>
      <c r="F385" s="90">
        <f t="shared" si="100"/>
        <v>7</v>
      </c>
      <c r="G385" s="91"/>
      <c r="H385" s="76">
        <f t="shared" si="101"/>
        <v>14</v>
      </c>
      <c r="I385" s="89">
        <f t="shared" si="102"/>
        <v>8</v>
      </c>
      <c r="J385" s="90">
        <f t="shared" si="103"/>
        <v>8</v>
      </c>
      <c r="K385" s="91">
        <f t="shared" si="104"/>
        <v>8</v>
      </c>
      <c r="L385" s="76">
        <f t="shared" si="105"/>
        <v>24</v>
      </c>
      <c r="N385" s="79">
        <f t="shared" si="107"/>
        <v>52.36</v>
      </c>
      <c r="O385" s="80">
        <f t="shared" si="108"/>
        <v>42</v>
      </c>
      <c r="P385" s="81">
        <f t="shared" si="109"/>
        <v>0</v>
      </c>
      <c r="Q385" s="79">
        <f t="shared" si="110"/>
        <v>59.84</v>
      </c>
      <c r="R385" s="80">
        <f t="shared" si="111"/>
        <v>48</v>
      </c>
      <c r="S385" s="81">
        <f t="shared" si="112"/>
        <v>68</v>
      </c>
      <c r="T385" s="92">
        <f t="shared" si="113"/>
        <v>270.2</v>
      </c>
      <c r="U385" s="93">
        <f t="shared" si="106"/>
        <v>216.16</v>
      </c>
    </row>
    <row r="386" spans="1:21" x14ac:dyDescent="0.25">
      <c r="A386" s="71">
        <f t="shared" si="98"/>
        <v>2023</v>
      </c>
      <c r="B386" s="72" t="str">
        <f t="shared" si="114"/>
        <v>NOVEMBRO</v>
      </c>
      <c r="C386" s="73" t="str">
        <f t="shared" si="97"/>
        <v>SÁBADO</v>
      </c>
      <c r="D386" s="74">
        <v>45234</v>
      </c>
      <c r="E386" s="89">
        <f t="shared" si="99"/>
        <v>0</v>
      </c>
      <c r="F386" s="90">
        <f t="shared" si="100"/>
        <v>7</v>
      </c>
      <c r="G386" s="91"/>
      <c r="H386" s="76">
        <f t="shared" si="101"/>
        <v>7</v>
      </c>
      <c r="I386" s="89">
        <f t="shared" si="102"/>
        <v>0</v>
      </c>
      <c r="J386" s="90">
        <f t="shared" si="103"/>
        <v>8</v>
      </c>
      <c r="K386" s="91">
        <f t="shared" si="104"/>
        <v>0</v>
      </c>
      <c r="L386" s="76">
        <f t="shared" si="105"/>
        <v>8</v>
      </c>
      <c r="N386" s="79">
        <f t="shared" si="107"/>
        <v>0</v>
      </c>
      <c r="O386" s="80">
        <f t="shared" si="108"/>
        <v>42</v>
      </c>
      <c r="P386" s="81">
        <f t="shared" si="109"/>
        <v>0</v>
      </c>
      <c r="Q386" s="79">
        <f t="shared" si="110"/>
        <v>0</v>
      </c>
      <c r="R386" s="80">
        <f t="shared" si="111"/>
        <v>48</v>
      </c>
      <c r="S386" s="81">
        <f t="shared" si="112"/>
        <v>0</v>
      </c>
      <c r="T386" s="92">
        <f t="shared" si="113"/>
        <v>90</v>
      </c>
      <c r="U386" s="93">
        <f t="shared" si="106"/>
        <v>72</v>
      </c>
    </row>
    <row r="387" spans="1:21" x14ac:dyDescent="0.25">
      <c r="A387" s="71">
        <f t="shared" si="98"/>
        <v>2023</v>
      </c>
      <c r="B387" s="72" t="str">
        <f t="shared" si="114"/>
        <v>NOVEMBRO</v>
      </c>
      <c r="C387" s="73" t="str">
        <f t="shared" si="97"/>
        <v>DOMINGO</v>
      </c>
      <c r="D387" s="74">
        <v>45235</v>
      </c>
      <c r="E387" s="89">
        <f t="shared" si="99"/>
        <v>0</v>
      </c>
      <c r="F387" s="90">
        <f t="shared" si="100"/>
        <v>0</v>
      </c>
      <c r="G387" s="91"/>
      <c r="H387" s="76">
        <f t="shared" si="101"/>
        <v>0</v>
      </c>
      <c r="I387" s="89">
        <f t="shared" si="102"/>
        <v>0</v>
      </c>
      <c r="J387" s="90">
        <f t="shared" si="103"/>
        <v>0</v>
      </c>
      <c r="K387" s="91">
        <f t="shared" si="104"/>
        <v>0</v>
      </c>
      <c r="L387" s="76">
        <f t="shared" si="105"/>
        <v>0</v>
      </c>
      <c r="N387" s="79">
        <f t="shared" si="107"/>
        <v>0</v>
      </c>
      <c r="O387" s="80">
        <f t="shared" si="108"/>
        <v>0</v>
      </c>
      <c r="P387" s="81">
        <f t="shared" si="109"/>
        <v>0</v>
      </c>
      <c r="Q387" s="79">
        <f t="shared" si="110"/>
        <v>0</v>
      </c>
      <c r="R387" s="80">
        <f t="shared" si="111"/>
        <v>0</v>
      </c>
      <c r="S387" s="81">
        <f t="shared" si="112"/>
        <v>0</v>
      </c>
      <c r="T387" s="92">
        <f t="shared" si="113"/>
        <v>0</v>
      </c>
      <c r="U387" s="93">
        <f t="shared" si="106"/>
        <v>0</v>
      </c>
    </row>
    <row r="388" spans="1:21" x14ac:dyDescent="0.25">
      <c r="A388" s="71">
        <f t="shared" si="98"/>
        <v>2023</v>
      </c>
      <c r="B388" s="72" t="str">
        <f t="shared" si="114"/>
        <v>NOVEMBRO</v>
      </c>
      <c r="C388" s="73" t="str">
        <f t="shared" si="97"/>
        <v>SEGUNDA</v>
      </c>
      <c r="D388" s="74">
        <v>45236</v>
      </c>
      <c r="E388" s="89">
        <f t="shared" si="99"/>
        <v>7</v>
      </c>
      <c r="F388" s="90">
        <f t="shared" si="100"/>
        <v>7</v>
      </c>
      <c r="G388" s="91"/>
      <c r="H388" s="76">
        <f t="shared" si="101"/>
        <v>14</v>
      </c>
      <c r="I388" s="89">
        <f t="shared" si="102"/>
        <v>8</v>
      </c>
      <c r="J388" s="90">
        <f t="shared" si="103"/>
        <v>8</v>
      </c>
      <c r="K388" s="91">
        <f t="shared" si="104"/>
        <v>8</v>
      </c>
      <c r="L388" s="76">
        <f t="shared" si="105"/>
        <v>24</v>
      </c>
      <c r="N388" s="79">
        <f t="shared" si="107"/>
        <v>52.36</v>
      </c>
      <c r="O388" s="80">
        <f t="shared" si="108"/>
        <v>42</v>
      </c>
      <c r="P388" s="81">
        <f t="shared" si="109"/>
        <v>0</v>
      </c>
      <c r="Q388" s="79">
        <f t="shared" si="110"/>
        <v>59.84</v>
      </c>
      <c r="R388" s="80">
        <f t="shared" si="111"/>
        <v>48</v>
      </c>
      <c r="S388" s="81">
        <f t="shared" si="112"/>
        <v>68</v>
      </c>
      <c r="T388" s="92">
        <f t="shared" si="113"/>
        <v>270.2</v>
      </c>
      <c r="U388" s="93">
        <f t="shared" si="106"/>
        <v>216.16</v>
      </c>
    </row>
    <row r="389" spans="1:21" x14ac:dyDescent="0.25">
      <c r="A389" s="71">
        <f t="shared" si="98"/>
        <v>2023</v>
      </c>
      <c r="B389" s="72" t="str">
        <f t="shared" si="114"/>
        <v>NOVEMBRO</v>
      </c>
      <c r="C389" s="73" t="str">
        <f t="shared" ref="C389:C452" si="115">VLOOKUP(WEEKDAY(D389),$AE$2:$AF$9,2,0)</f>
        <v>TERÇA</v>
      </c>
      <c r="D389" s="74">
        <v>45237</v>
      </c>
      <c r="E389" s="89">
        <f t="shared" si="99"/>
        <v>7</v>
      </c>
      <c r="F389" s="90">
        <f t="shared" si="100"/>
        <v>7</v>
      </c>
      <c r="G389" s="91"/>
      <c r="H389" s="76">
        <f t="shared" si="101"/>
        <v>14</v>
      </c>
      <c r="I389" s="89">
        <f t="shared" si="102"/>
        <v>8</v>
      </c>
      <c r="J389" s="90">
        <f t="shared" si="103"/>
        <v>8</v>
      </c>
      <c r="K389" s="91">
        <f t="shared" si="104"/>
        <v>8</v>
      </c>
      <c r="L389" s="76">
        <f t="shared" si="105"/>
        <v>24</v>
      </c>
      <c r="N389" s="79">
        <f t="shared" si="107"/>
        <v>52.36</v>
      </c>
      <c r="O389" s="80">
        <f t="shared" si="108"/>
        <v>42</v>
      </c>
      <c r="P389" s="81">
        <f t="shared" si="109"/>
        <v>0</v>
      </c>
      <c r="Q389" s="79">
        <f t="shared" si="110"/>
        <v>59.84</v>
      </c>
      <c r="R389" s="80">
        <f t="shared" si="111"/>
        <v>48</v>
      </c>
      <c r="S389" s="81">
        <f t="shared" si="112"/>
        <v>68</v>
      </c>
      <c r="T389" s="92">
        <f t="shared" si="113"/>
        <v>270.2</v>
      </c>
      <c r="U389" s="93">
        <f t="shared" si="106"/>
        <v>216.16</v>
      </c>
    </row>
    <row r="390" spans="1:21" x14ac:dyDescent="0.25">
      <c r="A390" s="71">
        <f t="shared" ref="A390:A453" si="116">YEAR(D390)</f>
        <v>2023</v>
      </c>
      <c r="B390" s="72" t="str">
        <f t="shared" si="114"/>
        <v>NOVEMBRO</v>
      </c>
      <c r="C390" s="73" t="str">
        <f t="shared" si="115"/>
        <v>QUARTA</v>
      </c>
      <c r="D390" s="74">
        <v>45238</v>
      </c>
      <c r="E390" s="89">
        <f t="shared" ref="E390:E453" si="117">IF(WEEKDAY($D390)&lt;2,0,IF(WEEKDAY($D390)&gt;6,0,7))</f>
        <v>7</v>
      </c>
      <c r="F390" s="90">
        <f t="shared" ref="F390:F453" si="118">IF(WEEKDAY($D390)&lt;2,0,IF(WEEKDAY($D390)&gt;7,0,7))</f>
        <v>7</v>
      </c>
      <c r="G390" s="91"/>
      <c r="H390" s="76">
        <f t="shared" ref="H390:H453" si="119">SUM(E390:G390)</f>
        <v>14</v>
      </c>
      <c r="I390" s="89">
        <f t="shared" si="102"/>
        <v>8</v>
      </c>
      <c r="J390" s="90">
        <f t="shared" si="103"/>
        <v>8</v>
      </c>
      <c r="K390" s="91">
        <f t="shared" si="104"/>
        <v>8</v>
      </c>
      <c r="L390" s="76">
        <f t="shared" si="105"/>
        <v>24</v>
      </c>
      <c r="N390" s="79">
        <f t="shared" si="107"/>
        <v>52.36</v>
      </c>
      <c r="O390" s="80">
        <f t="shared" si="108"/>
        <v>42</v>
      </c>
      <c r="P390" s="81">
        <f t="shared" si="109"/>
        <v>0</v>
      </c>
      <c r="Q390" s="79">
        <f t="shared" si="110"/>
        <v>59.84</v>
      </c>
      <c r="R390" s="80">
        <f t="shared" si="111"/>
        <v>48</v>
      </c>
      <c r="S390" s="81">
        <f t="shared" si="112"/>
        <v>68</v>
      </c>
      <c r="T390" s="92">
        <f t="shared" si="113"/>
        <v>270.2</v>
      </c>
      <c r="U390" s="93">
        <f t="shared" si="106"/>
        <v>216.16</v>
      </c>
    </row>
    <row r="391" spans="1:21" x14ac:dyDescent="0.25">
      <c r="A391" s="71">
        <f t="shared" si="116"/>
        <v>2023</v>
      </c>
      <c r="B391" s="72" t="str">
        <f t="shared" si="114"/>
        <v>NOVEMBRO</v>
      </c>
      <c r="C391" s="73" t="str">
        <f t="shared" si="115"/>
        <v>QUINTA</v>
      </c>
      <c r="D391" s="74">
        <v>45239</v>
      </c>
      <c r="E391" s="89">
        <f t="shared" si="117"/>
        <v>7</v>
      </c>
      <c r="F391" s="90">
        <f t="shared" si="118"/>
        <v>7</v>
      </c>
      <c r="G391" s="91"/>
      <c r="H391" s="76">
        <f t="shared" si="119"/>
        <v>14</v>
      </c>
      <c r="I391" s="89">
        <f t="shared" ref="I391:I454" si="120">IF(WEEKDAY($D391)&lt;2,0,IF(WEEKDAY($D391)&gt;6,0,8))</f>
        <v>8</v>
      </c>
      <c r="J391" s="90">
        <f t="shared" ref="J391:J454" si="121">IF(WEEKDAY($D391)&lt;2,0,IF(WEEKDAY($D391)&gt;7,0,8))</f>
        <v>8</v>
      </c>
      <c r="K391" s="91">
        <f t="shared" ref="K391:K454" si="122">IF(WEEKDAY($D391)&lt;2,0,IF(WEEKDAY($D391)&gt;6,0,8))</f>
        <v>8</v>
      </c>
      <c r="L391" s="76">
        <f t="shared" ref="L391:L454" si="123">SUM(I391:K391)</f>
        <v>24</v>
      </c>
      <c r="N391" s="79">
        <f t="shared" si="107"/>
        <v>52.36</v>
      </c>
      <c r="O391" s="80">
        <f t="shared" si="108"/>
        <v>42</v>
      </c>
      <c r="P391" s="81">
        <f t="shared" si="109"/>
        <v>0</v>
      </c>
      <c r="Q391" s="79">
        <f t="shared" si="110"/>
        <v>59.84</v>
      </c>
      <c r="R391" s="80">
        <f t="shared" si="111"/>
        <v>48</v>
      </c>
      <c r="S391" s="81">
        <f t="shared" si="112"/>
        <v>68</v>
      </c>
      <c r="T391" s="92">
        <f t="shared" si="113"/>
        <v>270.2</v>
      </c>
      <c r="U391" s="93">
        <f t="shared" ref="U391:U454" si="124">T391*0.8</f>
        <v>216.16</v>
      </c>
    </row>
    <row r="392" spans="1:21" x14ac:dyDescent="0.25">
      <c r="A392" s="71">
        <f t="shared" si="116"/>
        <v>2023</v>
      </c>
      <c r="B392" s="72" t="str">
        <f t="shared" si="114"/>
        <v>NOVEMBRO</v>
      </c>
      <c r="C392" s="73" t="str">
        <f t="shared" si="115"/>
        <v>SEXTA</v>
      </c>
      <c r="D392" s="74">
        <v>45240</v>
      </c>
      <c r="E392" s="89">
        <f t="shared" si="117"/>
        <v>7</v>
      </c>
      <c r="F392" s="90">
        <f t="shared" si="118"/>
        <v>7</v>
      </c>
      <c r="G392" s="91"/>
      <c r="H392" s="76">
        <f t="shared" si="119"/>
        <v>14</v>
      </c>
      <c r="I392" s="89">
        <f t="shared" si="120"/>
        <v>8</v>
      </c>
      <c r="J392" s="90">
        <f t="shared" si="121"/>
        <v>8</v>
      </c>
      <c r="K392" s="91">
        <f t="shared" si="122"/>
        <v>8</v>
      </c>
      <c r="L392" s="76">
        <f t="shared" si="123"/>
        <v>24</v>
      </c>
      <c r="N392" s="79">
        <f t="shared" si="107"/>
        <v>52.36</v>
      </c>
      <c r="O392" s="80">
        <f t="shared" si="108"/>
        <v>42</v>
      </c>
      <c r="P392" s="81">
        <f t="shared" si="109"/>
        <v>0</v>
      </c>
      <c r="Q392" s="79">
        <f t="shared" si="110"/>
        <v>59.84</v>
      </c>
      <c r="R392" s="80">
        <f t="shared" si="111"/>
        <v>48</v>
      </c>
      <c r="S392" s="81">
        <f t="shared" si="112"/>
        <v>68</v>
      </c>
      <c r="T392" s="92">
        <f t="shared" si="113"/>
        <v>270.2</v>
      </c>
      <c r="U392" s="93">
        <f t="shared" si="124"/>
        <v>216.16</v>
      </c>
    </row>
    <row r="393" spans="1:21" x14ac:dyDescent="0.25">
      <c r="A393" s="71">
        <f t="shared" si="116"/>
        <v>2023</v>
      </c>
      <c r="B393" s="72" t="str">
        <f t="shared" si="114"/>
        <v>NOVEMBRO</v>
      </c>
      <c r="C393" s="73" t="str">
        <f t="shared" si="115"/>
        <v>SÁBADO</v>
      </c>
      <c r="D393" s="74">
        <v>45241</v>
      </c>
      <c r="E393" s="89">
        <f t="shared" si="117"/>
        <v>0</v>
      </c>
      <c r="F393" s="90">
        <f t="shared" si="118"/>
        <v>7</v>
      </c>
      <c r="G393" s="91"/>
      <c r="H393" s="76">
        <f t="shared" si="119"/>
        <v>7</v>
      </c>
      <c r="I393" s="89">
        <f t="shared" si="120"/>
        <v>0</v>
      </c>
      <c r="J393" s="90">
        <f t="shared" si="121"/>
        <v>8</v>
      </c>
      <c r="K393" s="91">
        <f t="shared" si="122"/>
        <v>0</v>
      </c>
      <c r="L393" s="76">
        <f t="shared" si="123"/>
        <v>8</v>
      </c>
      <c r="N393" s="79">
        <f t="shared" si="107"/>
        <v>0</v>
      </c>
      <c r="O393" s="80">
        <f t="shared" si="108"/>
        <v>42</v>
      </c>
      <c r="P393" s="81">
        <f t="shared" si="109"/>
        <v>0</v>
      </c>
      <c r="Q393" s="79">
        <f t="shared" si="110"/>
        <v>0</v>
      </c>
      <c r="R393" s="80">
        <f t="shared" si="111"/>
        <v>48</v>
      </c>
      <c r="S393" s="81">
        <f t="shared" si="112"/>
        <v>0</v>
      </c>
      <c r="T393" s="92">
        <f t="shared" si="113"/>
        <v>90</v>
      </c>
      <c r="U393" s="93">
        <f t="shared" si="124"/>
        <v>72</v>
      </c>
    </row>
    <row r="394" spans="1:21" x14ac:dyDescent="0.25">
      <c r="A394" s="71">
        <f t="shared" si="116"/>
        <v>2023</v>
      </c>
      <c r="B394" s="72" t="str">
        <f t="shared" si="114"/>
        <v>NOVEMBRO</v>
      </c>
      <c r="C394" s="73" t="str">
        <f t="shared" si="115"/>
        <v>DOMINGO</v>
      </c>
      <c r="D394" s="74">
        <v>45242</v>
      </c>
      <c r="E394" s="89">
        <f t="shared" si="117"/>
        <v>0</v>
      </c>
      <c r="F394" s="90">
        <f t="shared" si="118"/>
        <v>0</v>
      </c>
      <c r="G394" s="91"/>
      <c r="H394" s="76">
        <f t="shared" si="119"/>
        <v>0</v>
      </c>
      <c r="I394" s="89">
        <f t="shared" si="120"/>
        <v>0</v>
      </c>
      <c r="J394" s="90">
        <f t="shared" si="121"/>
        <v>0</v>
      </c>
      <c r="K394" s="91">
        <f t="shared" si="122"/>
        <v>0</v>
      </c>
      <c r="L394" s="76">
        <f t="shared" si="123"/>
        <v>0</v>
      </c>
      <c r="N394" s="79">
        <f t="shared" si="107"/>
        <v>0</v>
      </c>
      <c r="O394" s="80">
        <f t="shared" si="108"/>
        <v>0</v>
      </c>
      <c r="P394" s="81">
        <f t="shared" si="109"/>
        <v>0</v>
      </c>
      <c r="Q394" s="79">
        <f t="shared" si="110"/>
        <v>0</v>
      </c>
      <c r="R394" s="80">
        <f t="shared" si="111"/>
        <v>0</v>
      </c>
      <c r="S394" s="81">
        <f t="shared" si="112"/>
        <v>0</v>
      </c>
      <c r="T394" s="92">
        <f t="shared" si="113"/>
        <v>0</v>
      </c>
      <c r="U394" s="93">
        <f t="shared" si="124"/>
        <v>0</v>
      </c>
    </row>
    <row r="395" spans="1:21" x14ac:dyDescent="0.25">
      <c r="A395" s="71">
        <f t="shared" si="116"/>
        <v>2023</v>
      </c>
      <c r="B395" s="72" t="str">
        <f t="shared" si="114"/>
        <v>NOVEMBRO</v>
      </c>
      <c r="C395" s="73" t="str">
        <f t="shared" si="115"/>
        <v>SEGUNDA</v>
      </c>
      <c r="D395" s="74">
        <v>45243</v>
      </c>
      <c r="E395" s="89">
        <f t="shared" si="117"/>
        <v>7</v>
      </c>
      <c r="F395" s="90">
        <f t="shared" si="118"/>
        <v>7</v>
      </c>
      <c r="G395" s="91"/>
      <c r="H395" s="76">
        <f t="shared" si="119"/>
        <v>14</v>
      </c>
      <c r="I395" s="89">
        <f t="shared" si="120"/>
        <v>8</v>
      </c>
      <c r="J395" s="90">
        <f t="shared" si="121"/>
        <v>8</v>
      </c>
      <c r="K395" s="91">
        <f t="shared" si="122"/>
        <v>8</v>
      </c>
      <c r="L395" s="76">
        <f t="shared" si="123"/>
        <v>24</v>
      </c>
      <c r="N395" s="79">
        <f t="shared" si="107"/>
        <v>52.36</v>
      </c>
      <c r="O395" s="80">
        <f t="shared" si="108"/>
        <v>42</v>
      </c>
      <c r="P395" s="81">
        <f t="shared" si="109"/>
        <v>0</v>
      </c>
      <c r="Q395" s="79">
        <f t="shared" si="110"/>
        <v>59.84</v>
      </c>
      <c r="R395" s="80">
        <f t="shared" si="111"/>
        <v>48</v>
      </c>
      <c r="S395" s="81">
        <f t="shared" si="112"/>
        <v>68</v>
      </c>
      <c r="T395" s="92">
        <f t="shared" si="113"/>
        <v>270.2</v>
      </c>
      <c r="U395" s="93">
        <f t="shared" si="124"/>
        <v>216.16</v>
      </c>
    </row>
    <row r="396" spans="1:21" x14ac:dyDescent="0.25">
      <c r="A396" s="71">
        <f t="shared" si="116"/>
        <v>2023</v>
      </c>
      <c r="B396" s="72" t="str">
        <f t="shared" si="114"/>
        <v>NOVEMBRO</v>
      </c>
      <c r="C396" s="73" t="str">
        <f t="shared" si="115"/>
        <v>TERÇA</v>
      </c>
      <c r="D396" s="74">
        <v>45244</v>
      </c>
      <c r="E396" s="89">
        <f t="shared" si="117"/>
        <v>7</v>
      </c>
      <c r="F396" s="90">
        <f t="shared" si="118"/>
        <v>7</v>
      </c>
      <c r="G396" s="91"/>
      <c r="H396" s="76">
        <f t="shared" si="119"/>
        <v>14</v>
      </c>
      <c r="I396" s="89">
        <f t="shared" si="120"/>
        <v>8</v>
      </c>
      <c r="J396" s="90">
        <f t="shared" si="121"/>
        <v>8</v>
      </c>
      <c r="K396" s="91">
        <f t="shared" si="122"/>
        <v>8</v>
      </c>
      <c r="L396" s="76">
        <f t="shared" si="123"/>
        <v>24</v>
      </c>
      <c r="N396" s="79">
        <f t="shared" si="107"/>
        <v>52.36</v>
      </c>
      <c r="O396" s="80">
        <f t="shared" si="108"/>
        <v>42</v>
      </c>
      <c r="P396" s="81">
        <f t="shared" si="109"/>
        <v>0</v>
      </c>
      <c r="Q396" s="79">
        <f t="shared" si="110"/>
        <v>59.84</v>
      </c>
      <c r="R396" s="80">
        <f t="shared" si="111"/>
        <v>48</v>
      </c>
      <c r="S396" s="81">
        <f t="shared" si="112"/>
        <v>68</v>
      </c>
      <c r="T396" s="92">
        <f t="shared" si="113"/>
        <v>270.2</v>
      </c>
      <c r="U396" s="93">
        <f t="shared" si="124"/>
        <v>216.16</v>
      </c>
    </row>
    <row r="397" spans="1:21" x14ac:dyDescent="0.25">
      <c r="A397" s="71">
        <f t="shared" si="116"/>
        <v>2023</v>
      </c>
      <c r="B397" s="72" t="str">
        <f t="shared" si="114"/>
        <v>NOVEMBRO</v>
      </c>
      <c r="C397" s="73" t="str">
        <f t="shared" si="115"/>
        <v>QUARTA</v>
      </c>
      <c r="D397" s="74">
        <v>45245</v>
      </c>
      <c r="E397" s="89">
        <f t="shared" si="117"/>
        <v>7</v>
      </c>
      <c r="F397" s="90">
        <f t="shared" si="118"/>
        <v>7</v>
      </c>
      <c r="G397" s="91"/>
      <c r="H397" s="76">
        <f t="shared" si="119"/>
        <v>14</v>
      </c>
      <c r="I397" s="89">
        <f t="shared" si="120"/>
        <v>8</v>
      </c>
      <c r="J397" s="90">
        <f t="shared" si="121"/>
        <v>8</v>
      </c>
      <c r="K397" s="91">
        <f t="shared" si="122"/>
        <v>8</v>
      </c>
      <c r="L397" s="76">
        <f t="shared" si="123"/>
        <v>24</v>
      </c>
      <c r="N397" s="79">
        <f t="shared" si="107"/>
        <v>52.36</v>
      </c>
      <c r="O397" s="80">
        <f t="shared" si="108"/>
        <v>42</v>
      </c>
      <c r="P397" s="81">
        <f t="shared" si="109"/>
        <v>0</v>
      </c>
      <c r="Q397" s="79">
        <f t="shared" si="110"/>
        <v>59.84</v>
      </c>
      <c r="R397" s="80">
        <f t="shared" si="111"/>
        <v>48</v>
      </c>
      <c r="S397" s="81">
        <f t="shared" si="112"/>
        <v>68</v>
      </c>
      <c r="T397" s="92">
        <f t="shared" si="113"/>
        <v>270.2</v>
      </c>
      <c r="U397" s="93">
        <f t="shared" si="124"/>
        <v>216.16</v>
      </c>
    </row>
    <row r="398" spans="1:21" x14ac:dyDescent="0.25">
      <c r="A398" s="71">
        <f t="shared" si="116"/>
        <v>2023</v>
      </c>
      <c r="B398" s="72" t="str">
        <f t="shared" si="114"/>
        <v>NOVEMBRO</v>
      </c>
      <c r="C398" s="73" t="str">
        <f t="shared" si="115"/>
        <v>QUINTA</v>
      </c>
      <c r="D398" s="74">
        <v>45246</v>
      </c>
      <c r="E398" s="89">
        <f t="shared" si="117"/>
        <v>7</v>
      </c>
      <c r="F398" s="90">
        <f t="shared" si="118"/>
        <v>7</v>
      </c>
      <c r="G398" s="91"/>
      <c r="H398" s="76">
        <f t="shared" si="119"/>
        <v>14</v>
      </c>
      <c r="I398" s="89">
        <f t="shared" si="120"/>
        <v>8</v>
      </c>
      <c r="J398" s="90">
        <f t="shared" si="121"/>
        <v>8</v>
      </c>
      <c r="K398" s="91">
        <f t="shared" si="122"/>
        <v>8</v>
      </c>
      <c r="L398" s="76">
        <f t="shared" si="123"/>
        <v>24</v>
      </c>
      <c r="N398" s="79">
        <f t="shared" si="107"/>
        <v>52.36</v>
      </c>
      <c r="O398" s="80">
        <f t="shared" si="108"/>
        <v>42</v>
      </c>
      <c r="P398" s="81">
        <f t="shared" si="109"/>
        <v>0</v>
      </c>
      <c r="Q398" s="79">
        <f t="shared" si="110"/>
        <v>59.84</v>
      </c>
      <c r="R398" s="80">
        <f t="shared" si="111"/>
        <v>48</v>
      </c>
      <c r="S398" s="81">
        <f t="shared" si="112"/>
        <v>68</v>
      </c>
      <c r="T398" s="92">
        <f t="shared" si="113"/>
        <v>270.2</v>
      </c>
      <c r="U398" s="93">
        <f t="shared" si="124"/>
        <v>216.16</v>
      </c>
    </row>
    <row r="399" spans="1:21" x14ac:dyDescent="0.25">
      <c r="A399" s="71">
        <f t="shared" si="116"/>
        <v>2023</v>
      </c>
      <c r="B399" s="72" t="str">
        <f t="shared" si="114"/>
        <v>NOVEMBRO</v>
      </c>
      <c r="C399" s="73" t="str">
        <f t="shared" si="115"/>
        <v>SEXTA</v>
      </c>
      <c r="D399" s="74">
        <v>45247</v>
      </c>
      <c r="E399" s="89">
        <f t="shared" si="117"/>
        <v>7</v>
      </c>
      <c r="F399" s="90">
        <f t="shared" si="118"/>
        <v>7</v>
      </c>
      <c r="G399" s="91"/>
      <c r="H399" s="76">
        <f t="shared" si="119"/>
        <v>14</v>
      </c>
      <c r="I399" s="89">
        <f t="shared" si="120"/>
        <v>8</v>
      </c>
      <c r="J399" s="90">
        <f t="shared" si="121"/>
        <v>8</v>
      </c>
      <c r="K399" s="91">
        <f t="shared" si="122"/>
        <v>8</v>
      </c>
      <c r="L399" s="76">
        <f t="shared" si="123"/>
        <v>24</v>
      </c>
      <c r="N399" s="79">
        <f t="shared" si="107"/>
        <v>52.36</v>
      </c>
      <c r="O399" s="80">
        <f t="shared" si="108"/>
        <v>42</v>
      </c>
      <c r="P399" s="81">
        <f t="shared" si="109"/>
        <v>0</v>
      </c>
      <c r="Q399" s="79">
        <f t="shared" si="110"/>
        <v>59.84</v>
      </c>
      <c r="R399" s="80">
        <f t="shared" si="111"/>
        <v>48</v>
      </c>
      <c r="S399" s="81">
        <f t="shared" si="112"/>
        <v>68</v>
      </c>
      <c r="T399" s="92">
        <f t="shared" si="113"/>
        <v>270.2</v>
      </c>
      <c r="U399" s="93">
        <f t="shared" si="124"/>
        <v>216.16</v>
      </c>
    </row>
    <row r="400" spans="1:21" x14ac:dyDescent="0.25">
      <c r="A400" s="71">
        <f t="shared" si="116"/>
        <v>2023</v>
      </c>
      <c r="B400" s="72" t="str">
        <f t="shared" si="114"/>
        <v>NOVEMBRO</v>
      </c>
      <c r="C400" s="73" t="str">
        <f t="shared" si="115"/>
        <v>SÁBADO</v>
      </c>
      <c r="D400" s="74">
        <v>45248</v>
      </c>
      <c r="E400" s="89">
        <f t="shared" si="117"/>
        <v>0</v>
      </c>
      <c r="F400" s="90">
        <f t="shared" si="118"/>
        <v>7</v>
      </c>
      <c r="G400" s="91"/>
      <c r="H400" s="76">
        <f t="shared" si="119"/>
        <v>7</v>
      </c>
      <c r="I400" s="89">
        <f t="shared" si="120"/>
        <v>0</v>
      </c>
      <c r="J400" s="90">
        <f t="shared" si="121"/>
        <v>8</v>
      </c>
      <c r="K400" s="91">
        <f t="shared" si="122"/>
        <v>0</v>
      </c>
      <c r="L400" s="76">
        <f t="shared" si="123"/>
        <v>8</v>
      </c>
      <c r="N400" s="79">
        <f t="shared" si="107"/>
        <v>0</v>
      </c>
      <c r="O400" s="80">
        <f t="shared" si="108"/>
        <v>42</v>
      </c>
      <c r="P400" s="81">
        <f t="shared" si="109"/>
        <v>0</v>
      </c>
      <c r="Q400" s="79">
        <f t="shared" si="110"/>
        <v>0</v>
      </c>
      <c r="R400" s="80">
        <f t="shared" si="111"/>
        <v>48</v>
      </c>
      <c r="S400" s="81">
        <f t="shared" si="112"/>
        <v>0</v>
      </c>
      <c r="T400" s="92">
        <f t="shared" si="113"/>
        <v>90</v>
      </c>
      <c r="U400" s="93">
        <f t="shared" si="124"/>
        <v>72</v>
      </c>
    </row>
    <row r="401" spans="1:21" x14ac:dyDescent="0.25">
      <c r="A401" s="71">
        <f t="shared" si="116"/>
        <v>2023</v>
      </c>
      <c r="B401" s="72" t="str">
        <f t="shared" si="114"/>
        <v>NOVEMBRO</v>
      </c>
      <c r="C401" s="73" t="str">
        <f t="shared" si="115"/>
        <v>DOMINGO</v>
      </c>
      <c r="D401" s="74">
        <v>45249</v>
      </c>
      <c r="E401" s="89">
        <f t="shared" si="117"/>
        <v>0</v>
      </c>
      <c r="F401" s="90">
        <f t="shared" si="118"/>
        <v>0</v>
      </c>
      <c r="G401" s="91"/>
      <c r="H401" s="76">
        <f t="shared" si="119"/>
        <v>0</v>
      </c>
      <c r="I401" s="89">
        <f t="shared" si="120"/>
        <v>0</v>
      </c>
      <c r="J401" s="90">
        <f t="shared" si="121"/>
        <v>0</v>
      </c>
      <c r="K401" s="91">
        <f t="shared" si="122"/>
        <v>0</v>
      </c>
      <c r="L401" s="76">
        <f t="shared" si="123"/>
        <v>0</v>
      </c>
      <c r="N401" s="79">
        <f t="shared" si="107"/>
        <v>0</v>
      </c>
      <c r="O401" s="80">
        <f t="shared" si="108"/>
        <v>0</v>
      </c>
      <c r="P401" s="81">
        <f t="shared" si="109"/>
        <v>0</v>
      </c>
      <c r="Q401" s="79">
        <f t="shared" si="110"/>
        <v>0</v>
      </c>
      <c r="R401" s="80">
        <f t="shared" si="111"/>
        <v>0</v>
      </c>
      <c r="S401" s="81">
        <f t="shared" si="112"/>
        <v>0</v>
      </c>
      <c r="T401" s="92">
        <f t="shared" si="113"/>
        <v>0</v>
      </c>
      <c r="U401" s="93">
        <f t="shared" si="124"/>
        <v>0</v>
      </c>
    </row>
    <row r="402" spans="1:21" x14ac:dyDescent="0.25">
      <c r="A402" s="71">
        <f t="shared" si="116"/>
        <v>2023</v>
      </c>
      <c r="B402" s="72" t="str">
        <f t="shared" si="114"/>
        <v>NOVEMBRO</v>
      </c>
      <c r="C402" s="73" t="str">
        <f t="shared" si="115"/>
        <v>SEGUNDA</v>
      </c>
      <c r="D402" s="74">
        <v>45250</v>
      </c>
      <c r="E402" s="89">
        <f t="shared" si="117"/>
        <v>7</v>
      </c>
      <c r="F402" s="90">
        <f t="shared" si="118"/>
        <v>7</v>
      </c>
      <c r="G402" s="91"/>
      <c r="H402" s="76">
        <f t="shared" si="119"/>
        <v>14</v>
      </c>
      <c r="I402" s="89">
        <f t="shared" si="120"/>
        <v>8</v>
      </c>
      <c r="J402" s="90">
        <f t="shared" si="121"/>
        <v>8</v>
      </c>
      <c r="K402" s="91">
        <f t="shared" si="122"/>
        <v>8</v>
      </c>
      <c r="L402" s="76">
        <f t="shared" si="123"/>
        <v>24</v>
      </c>
      <c r="N402" s="79">
        <f t="shared" si="107"/>
        <v>52.36</v>
      </c>
      <c r="O402" s="80">
        <f t="shared" si="108"/>
        <v>42</v>
      </c>
      <c r="P402" s="81">
        <f t="shared" si="109"/>
        <v>0</v>
      </c>
      <c r="Q402" s="79">
        <f t="shared" si="110"/>
        <v>59.84</v>
      </c>
      <c r="R402" s="80">
        <f t="shared" si="111"/>
        <v>48</v>
      </c>
      <c r="S402" s="81">
        <f t="shared" si="112"/>
        <v>68</v>
      </c>
      <c r="T402" s="92">
        <f t="shared" si="113"/>
        <v>270.2</v>
      </c>
      <c r="U402" s="93">
        <f t="shared" si="124"/>
        <v>216.16</v>
      </c>
    </row>
    <row r="403" spans="1:21" x14ac:dyDescent="0.25">
      <c r="A403" s="71">
        <f t="shared" si="116"/>
        <v>2023</v>
      </c>
      <c r="B403" s="72" t="str">
        <f t="shared" si="114"/>
        <v>NOVEMBRO</v>
      </c>
      <c r="C403" s="73" t="str">
        <f t="shared" si="115"/>
        <v>TERÇA</v>
      </c>
      <c r="D403" s="74">
        <v>45251</v>
      </c>
      <c r="E403" s="89">
        <f t="shared" si="117"/>
        <v>7</v>
      </c>
      <c r="F403" s="90">
        <f t="shared" si="118"/>
        <v>7</v>
      </c>
      <c r="G403" s="91"/>
      <c r="H403" s="76">
        <f t="shared" si="119"/>
        <v>14</v>
      </c>
      <c r="I403" s="89">
        <f t="shared" si="120"/>
        <v>8</v>
      </c>
      <c r="J403" s="90">
        <f t="shared" si="121"/>
        <v>8</v>
      </c>
      <c r="K403" s="91">
        <f t="shared" si="122"/>
        <v>8</v>
      </c>
      <c r="L403" s="76">
        <f t="shared" si="123"/>
        <v>24</v>
      </c>
      <c r="N403" s="79">
        <f t="shared" si="107"/>
        <v>52.36</v>
      </c>
      <c r="O403" s="80">
        <f t="shared" si="108"/>
        <v>42</v>
      </c>
      <c r="P403" s="81">
        <f t="shared" si="109"/>
        <v>0</v>
      </c>
      <c r="Q403" s="79">
        <f t="shared" si="110"/>
        <v>59.84</v>
      </c>
      <c r="R403" s="80">
        <f t="shared" si="111"/>
        <v>48</v>
      </c>
      <c r="S403" s="81">
        <f t="shared" si="112"/>
        <v>68</v>
      </c>
      <c r="T403" s="92">
        <f t="shared" si="113"/>
        <v>270.2</v>
      </c>
      <c r="U403" s="93">
        <f t="shared" si="124"/>
        <v>216.16</v>
      </c>
    </row>
    <row r="404" spans="1:21" x14ac:dyDescent="0.25">
      <c r="A404" s="71">
        <f t="shared" si="116"/>
        <v>2023</v>
      </c>
      <c r="B404" s="72" t="str">
        <f t="shared" si="114"/>
        <v>NOVEMBRO</v>
      </c>
      <c r="C404" s="73" t="str">
        <f t="shared" si="115"/>
        <v>QUARTA</v>
      </c>
      <c r="D404" s="74">
        <v>45252</v>
      </c>
      <c r="E404" s="89">
        <f t="shared" si="117"/>
        <v>7</v>
      </c>
      <c r="F404" s="90">
        <f t="shared" si="118"/>
        <v>7</v>
      </c>
      <c r="G404" s="91"/>
      <c r="H404" s="76">
        <f t="shared" si="119"/>
        <v>14</v>
      </c>
      <c r="I404" s="89">
        <f t="shared" si="120"/>
        <v>8</v>
      </c>
      <c r="J404" s="90">
        <f t="shared" si="121"/>
        <v>8</v>
      </c>
      <c r="K404" s="91">
        <f t="shared" si="122"/>
        <v>8</v>
      </c>
      <c r="L404" s="76">
        <f t="shared" si="123"/>
        <v>24</v>
      </c>
      <c r="N404" s="79">
        <f t="shared" si="107"/>
        <v>52.36</v>
      </c>
      <c r="O404" s="80">
        <f t="shared" si="108"/>
        <v>42</v>
      </c>
      <c r="P404" s="81">
        <f t="shared" si="109"/>
        <v>0</v>
      </c>
      <c r="Q404" s="79">
        <f t="shared" si="110"/>
        <v>59.84</v>
      </c>
      <c r="R404" s="80">
        <f t="shared" si="111"/>
        <v>48</v>
      </c>
      <c r="S404" s="81">
        <f t="shared" si="112"/>
        <v>68</v>
      </c>
      <c r="T404" s="92">
        <f t="shared" si="113"/>
        <v>270.2</v>
      </c>
      <c r="U404" s="93">
        <f t="shared" si="124"/>
        <v>216.16</v>
      </c>
    </row>
    <row r="405" spans="1:21" x14ac:dyDescent="0.25">
      <c r="A405" s="71">
        <f t="shared" si="116"/>
        <v>2023</v>
      </c>
      <c r="B405" s="72" t="str">
        <f t="shared" si="114"/>
        <v>NOVEMBRO</v>
      </c>
      <c r="C405" s="73" t="str">
        <f t="shared" si="115"/>
        <v>QUINTA</v>
      </c>
      <c r="D405" s="74">
        <v>45253</v>
      </c>
      <c r="E405" s="89">
        <f t="shared" si="117"/>
        <v>7</v>
      </c>
      <c r="F405" s="90">
        <f t="shared" si="118"/>
        <v>7</v>
      </c>
      <c r="G405" s="91"/>
      <c r="H405" s="76">
        <f t="shared" si="119"/>
        <v>14</v>
      </c>
      <c r="I405" s="89">
        <f t="shared" si="120"/>
        <v>8</v>
      </c>
      <c r="J405" s="90">
        <f t="shared" si="121"/>
        <v>8</v>
      </c>
      <c r="K405" s="91">
        <f t="shared" si="122"/>
        <v>8</v>
      </c>
      <c r="L405" s="76">
        <f t="shared" si="123"/>
        <v>24</v>
      </c>
      <c r="N405" s="79">
        <f t="shared" si="107"/>
        <v>52.36</v>
      </c>
      <c r="O405" s="80">
        <f t="shared" si="108"/>
        <v>42</v>
      </c>
      <c r="P405" s="81">
        <f t="shared" si="109"/>
        <v>0</v>
      </c>
      <c r="Q405" s="79">
        <f t="shared" si="110"/>
        <v>59.84</v>
      </c>
      <c r="R405" s="80">
        <f t="shared" si="111"/>
        <v>48</v>
      </c>
      <c r="S405" s="81">
        <f t="shared" si="112"/>
        <v>68</v>
      </c>
      <c r="T405" s="92">
        <f t="shared" si="113"/>
        <v>270.2</v>
      </c>
      <c r="U405" s="93">
        <f t="shared" si="124"/>
        <v>216.16</v>
      </c>
    </row>
    <row r="406" spans="1:21" x14ac:dyDescent="0.25">
      <c r="A406" s="71">
        <f t="shared" si="116"/>
        <v>2023</v>
      </c>
      <c r="B406" s="72" t="str">
        <f t="shared" si="114"/>
        <v>NOVEMBRO</v>
      </c>
      <c r="C406" s="73" t="str">
        <f t="shared" si="115"/>
        <v>SEXTA</v>
      </c>
      <c r="D406" s="74">
        <v>45254</v>
      </c>
      <c r="E406" s="89">
        <f t="shared" si="117"/>
        <v>7</v>
      </c>
      <c r="F406" s="90">
        <f t="shared" si="118"/>
        <v>7</v>
      </c>
      <c r="G406" s="91"/>
      <c r="H406" s="76">
        <f t="shared" si="119"/>
        <v>14</v>
      </c>
      <c r="I406" s="89">
        <f t="shared" si="120"/>
        <v>8</v>
      </c>
      <c r="J406" s="90">
        <f t="shared" si="121"/>
        <v>8</v>
      </c>
      <c r="K406" s="91">
        <f t="shared" si="122"/>
        <v>8</v>
      </c>
      <c r="L406" s="76">
        <f t="shared" si="123"/>
        <v>24</v>
      </c>
      <c r="N406" s="79">
        <f t="shared" si="107"/>
        <v>52.36</v>
      </c>
      <c r="O406" s="80">
        <f t="shared" si="108"/>
        <v>42</v>
      </c>
      <c r="P406" s="81">
        <f t="shared" si="109"/>
        <v>0</v>
      </c>
      <c r="Q406" s="79">
        <f t="shared" si="110"/>
        <v>59.84</v>
      </c>
      <c r="R406" s="80">
        <f t="shared" si="111"/>
        <v>48</v>
      </c>
      <c r="S406" s="81">
        <f t="shared" si="112"/>
        <v>68</v>
      </c>
      <c r="T406" s="92">
        <f t="shared" si="113"/>
        <v>270.2</v>
      </c>
      <c r="U406" s="93">
        <f t="shared" si="124"/>
        <v>216.16</v>
      </c>
    </row>
    <row r="407" spans="1:21" x14ac:dyDescent="0.25">
      <c r="A407" s="71">
        <f t="shared" si="116"/>
        <v>2023</v>
      </c>
      <c r="B407" s="72" t="str">
        <f t="shared" si="114"/>
        <v>NOVEMBRO</v>
      </c>
      <c r="C407" s="73" t="str">
        <f t="shared" si="115"/>
        <v>SÁBADO</v>
      </c>
      <c r="D407" s="74">
        <v>45255</v>
      </c>
      <c r="E407" s="89">
        <f t="shared" si="117"/>
        <v>0</v>
      </c>
      <c r="F407" s="90">
        <f t="shared" si="118"/>
        <v>7</v>
      </c>
      <c r="G407" s="91"/>
      <c r="H407" s="76">
        <f t="shared" si="119"/>
        <v>7</v>
      </c>
      <c r="I407" s="89">
        <f t="shared" si="120"/>
        <v>0</v>
      </c>
      <c r="J407" s="90">
        <f t="shared" si="121"/>
        <v>8</v>
      </c>
      <c r="K407" s="91">
        <f t="shared" si="122"/>
        <v>0</v>
      </c>
      <c r="L407" s="76">
        <f t="shared" si="123"/>
        <v>8</v>
      </c>
      <c r="N407" s="79">
        <f t="shared" si="107"/>
        <v>0</v>
      </c>
      <c r="O407" s="80">
        <f t="shared" si="108"/>
        <v>42</v>
      </c>
      <c r="P407" s="81">
        <f t="shared" si="109"/>
        <v>0</v>
      </c>
      <c r="Q407" s="79">
        <f t="shared" si="110"/>
        <v>0</v>
      </c>
      <c r="R407" s="80">
        <f t="shared" si="111"/>
        <v>48</v>
      </c>
      <c r="S407" s="81">
        <f t="shared" si="112"/>
        <v>0</v>
      </c>
      <c r="T407" s="92">
        <f t="shared" si="113"/>
        <v>90</v>
      </c>
      <c r="U407" s="93">
        <f t="shared" si="124"/>
        <v>72</v>
      </c>
    </row>
    <row r="408" spans="1:21" x14ac:dyDescent="0.25">
      <c r="A408" s="71">
        <f t="shared" si="116"/>
        <v>2023</v>
      </c>
      <c r="B408" s="72" t="str">
        <f t="shared" si="114"/>
        <v>NOVEMBRO</v>
      </c>
      <c r="C408" s="73" t="str">
        <f t="shared" si="115"/>
        <v>DOMINGO</v>
      </c>
      <c r="D408" s="74">
        <v>45256</v>
      </c>
      <c r="E408" s="89">
        <f t="shared" si="117"/>
        <v>0</v>
      </c>
      <c r="F408" s="90">
        <f t="shared" si="118"/>
        <v>0</v>
      </c>
      <c r="G408" s="91"/>
      <c r="H408" s="76">
        <f t="shared" si="119"/>
        <v>0</v>
      </c>
      <c r="I408" s="89">
        <f t="shared" si="120"/>
        <v>0</v>
      </c>
      <c r="J408" s="90">
        <f t="shared" si="121"/>
        <v>0</v>
      </c>
      <c r="K408" s="91">
        <f t="shared" si="122"/>
        <v>0</v>
      </c>
      <c r="L408" s="76">
        <f t="shared" si="123"/>
        <v>0</v>
      </c>
      <c r="N408" s="79">
        <f t="shared" si="107"/>
        <v>0</v>
      </c>
      <c r="O408" s="80">
        <f t="shared" si="108"/>
        <v>0</v>
      </c>
      <c r="P408" s="81">
        <f t="shared" si="109"/>
        <v>0</v>
      </c>
      <c r="Q408" s="79">
        <f t="shared" si="110"/>
        <v>0</v>
      </c>
      <c r="R408" s="80">
        <f t="shared" si="111"/>
        <v>0</v>
      </c>
      <c r="S408" s="81">
        <f t="shared" si="112"/>
        <v>0</v>
      </c>
      <c r="T408" s="92">
        <f t="shared" si="113"/>
        <v>0</v>
      </c>
      <c r="U408" s="93">
        <f t="shared" si="124"/>
        <v>0</v>
      </c>
    </row>
    <row r="409" spans="1:21" x14ac:dyDescent="0.25">
      <c r="A409" s="71">
        <f t="shared" si="116"/>
        <v>2023</v>
      </c>
      <c r="B409" s="72" t="str">
        <f t="shared" si="114"/>
        <v>NOVEMBRO</v>
      </c>
      <c r="C409" s="73" t="str">
        <f t="shared" si="115"/>
        <v>SEGUNDA</v>
      </c>
      <c r="D409" s="74">
        <v>45257</v>
      </c>
      <c r="E409" s="89">
        <f t="shared" si="117"/>
        <v>7</v>
      </c>
      <c r="F409" s="90">
        <f t="shared" si="118"/>
        <v>7</v>
      </c>
      <c r="G409" s="91"/>
      <c r="H409" s="76">
        <f t="shared" si="119"/>
        <v>14</v>
      </c>
      <c r="I409" s="89">
        <f t="shared" si="120"/>
        <v>8</v>
      </c>
      <c r="J409" s="90">
        <f t="shared" si="121"/>
        <v>8</v>
      </c>
      <c r="K409" s="91">
        <f t="shared" si="122"/>
        <v>8</v>
      </c>
      <c r="L409" s="76">
        <f t="shared" si="123"/>
        <v>24</v>
      </c>
      <c r="N409" s="79">
        <f t="shared" si="107"/>
        <v>52.36</v>
      </c>
      <c r="O409" s="80">
        <f t="shared" si="108"/>
        <v>42</v>
      </c>
      <c r="P409" s="81">
        <f t="shared" si="109"/>
        <v>0</v>
      </c>
      <c r="Q409" s="79">
        <f t="shared" si="110"/>
        <v>59.84</v>
      </c>
      <c r="R409" s="80">
        <f t="shared" si="111"/>
        <v>48</v>
      </c>
      <c r="S409" s="81">
        <f t="shared" si="112"/>
        <v>68</v>
      </c>
      <c r="T409" s="92">
        <f t="shared" si="113"/>
        <v>270.2</v>
      </c>
      <c r="U409" s="93">
        <f t="shared" si="124"/>
        <v>216.16</v>
      </c>
    </row>
    <row r="410" spans="1:21" x14ac:dyDescent="0.25">
      <c r="A410" s="71">
        <f t="shared" si="116"/>
        <v>2023</v>
      </c>
      <c r="B410" s="72" t="str">
        <f t="shared" si="114"/>
        <v>NOVEMBRO</v>
      </c>
      <c r="C410" s="73" t="str">
        <f t="shared" si="115"/>
        <v>TERÇA</v>
      </c>
      <c r="D410" s="74">
        <v>45258</v>
      </c>
      <c r="E410" s="89">
        <f t="shared" si="117"/>
        <v>7</v>
      </c>
      <c r="F410" s="90">
        <f t="shared" si="118"/>
        <v>7</v>
      </c>
      <c r="G410" s="91"/>
      <c r="H410" s="76">
        <f t="shared" si="119"/>
        <v>14</v>
      </c>
      <c r="I410" s="89">
        <f t="shared" si="120"/>
        <v>8</v>
      </c>
      <c r="J410" s="90">
        <f t="shared" si="121"/>
        <v>8</v>
      </c>
      <c r="K410" s="91">
        <f t="shared" si="122"/>
        <v>8</v>
      </c>
      <c r="L410" s="76">
        <f t="shared" si="123"/>
        <v>24</v>
      </c>
      <c r="N410" s="79">
        <f t="shared" si="107"/>
        <v>52.36</v>
      </c>
      <c r="O410" s="80">
        <f t="shared" si="108"/>
        <v>42</v>
      </c>
      <c r="P410" s="81">
        <f t="shared" si="109"/>
        <v>0</v>
      </c>
      <c r="Q410" s="79">
        <f t="shared" si="110"/>
        <v>59.84</v>
      </c>
      <c r="R410" s="80">
        <f t="shared" si="111"/>
        <v>48</v>
      </c>
      <c r="S410" s="81">
        <f t="shared" si="112"/>
        <v>68</v>
      </c>
      <c r="T410" s="92">
        <f t="shared" si="113"/>
        <v>270.2</v>
      </c>
      <c r="U410" s="93">
        <f t="shared" si="124"/>
        <v>216.16</v>
      </c>
    </row>
    <row r="411" spans="1:21" x14ac:dyDescent="0.25">
      <c r="A411" s="71">
        <f t="shared" si="116"/>
        <v>2023</v>
      </c>
      <c r="B411" s="72" t="str">
        <f t="shared" si="114"/>
        <v>NOVEMBRO</v>
      </c>
      <c r="C411" s="73" t="str">
        <f t="shared" si="115"/>
        <v>QUARTA</v>
      </c>
      <c r="D411" s="74">
        <v>45259</v>
      </c>
      <c r="E411" s="89">
        <f t="shared" si="117"/>
        <v>7</v>
      </c>
      <c r="F411" s="90">
        <f t="shared" si="118"/>
        <v>7</v>
      </c>
      <c r="G411" s="91"/>
      <c r="H411" s="76">
        <f t="shared" si="119"/>
        <v>14</v>
      </c>
      <c r="I411" s="89">
        <f t="shared" si="120"/>
        <v>8</v>
      </c>
      <c r="J411" s="90">
        <f t="shared" si="121"/>
        <v>8</v>
      </c>
      <c r="K411" s="91">
        <f t="shared" si="122"/>
        <v>8</v>
      </c>
      <c r="L411" s="76">
        <f t="shared" si="123"/>
        <v>24</v>
      </c>
      <c r="N411" s="79">
        <f t="shared" si="107"/>
        <v>52.36</v>
      </c>
      <c r="O411" s="80">
        <f t="shared" si="108"/>
        <v>42</v>
      </c>
      <c r="P411" s="81">
        <f t="shared" si="109"/>
        <v>0</v>
      </c>
      <c r="Q411" s="79">
        <f t="shared" si="110"/>
        <v>59.84</v>
      </c>
      <c r="R411" s="80">
        <f t="shared" si="111"/>
        <v>48</v>
      </c>
      <c r="S411" s="81">
        <f t="shared" si="112"/>
        <v>68</v>
      </c>
      <c r="T411" s="92">
        <f t="shared" si="113"/>
        <v>270.2</v>
      </c>
      <c r="U411" s="93">
        <f t="shared" si="124"/>
        <v>216.16</v>
      </c>
    </row>
    <row r="412" spans="1:21" x14ac:dyDescent="0.25">
      <c r="A412" s="71">
        <f t="shared" si="116"/>
        <v>2023</v>
      </c>
      <c r="B412" s="72" t="str">
        <f t="shared" si="114"/>
        <v>NOVEMBRO</v>
      </c>
      <c r="C412" s="73" t="str">
        <f t="shared" si="115"/>
        <v>QUINTA</v>
      </c>
      <c r="D412" s="74">
        <v>45260</v>
      </c>
      <c r="E412" s="89">
        <f t="shared" si="117"/>
        <v>7</v>
      </c>
      <c r="F412" s="90">
        <f t="shared" si="118"/>
        <v>7</v>
      </c>
      <c r="G412" s="91"/>
      <c r="H412" s="76">
        <f t="shared" si="119"/>
        <v>14</v>
      </c>
      <c r="I412" s="89">
        <f t="shared" si="120"/>
        <v>8</v>
      </c>
      <c r="J412" s="90">
        <f t="shared" si="121"/>
        <v>8</v>
      </c>
      <c r="K412" s="91">
        <f t="shared" si="122"/>
        <v>8</v>
      </c>
      <c r="L412" s="76">
        <f t="shared" si="123"/>
        <v>24</v>
      </c>
      <c r="N412" s="79">
        <f t="shared" ref="N412:N475" si="125">E412*7.48</f>
        <v>52.36</v>
      </c>
      <c r="O412" s="80">
        <f t="shared" ref="O412:O475" si="126">F412*6</f>
        <v>42</v>
      </c>
      <c r="P412" s="81">
        <f t="shared" ref="P412:P475" si="127">G412*8.5</f>
        <v>0</v>
      </c>
      <c r="Q412" s="79">
        <f t="shared" ref="Q412:Q475" si="128">I412*7.48</f>
        <v>59.84</v>
      </c>
      <c r="R412" s="80">
        <f t="shared" ref="R412:R475" si="129">J412*6</f>
        <v>48</v>
      </c>
      <c r="S412" s="81">
        <f t="shared" ref="S412:S475" si="130">K412*8.5</f>
        <v>68</v>
      </c>
      <c r="T412" s="92">
        <f t="shared" ref="T412:T475" si="131">SUM(N412:S412)</f>
        <v>270.2</v>
      </c>
      <c r="U412" s="93">
        <f t="shared" si="124"/>
        <v>216.16</v>
      </c>
    </row>
    <row r="413" spans="1:21" x14ac:dyDescent="0.25">
      <c r="A413" s="71">
        <f t="shared" si="116"/>
        <v>2023</v>
      </c>
      <c r="B413" s="72" t="str">
        <f t="shared" si="114"/>
        <v>DEZEMBRO</v>
      </c>
      <c r="C413" s="73" t="str">
        <f t="shared" si="115"/>
        <v>SEXTA</v>
      </c>
      <c r="D413" s="74">
        <v>45261</v>
      </c>
      <c r="E413" s="89">
        <f t="shared" si="117"/>
        <v>7</v>
      </c>
      <c r="F413" s="90">
        <f t="shared" si="118"/>
        <v>7</v>
      </c>
      <c r="G413" s="91"/>
      <c r="H413" s="76">
        <f t="shared" si="119"/>
        <v>14</v>
      </c>
      <c r="I413" s="89">
        <f t="shared" si="120"/>
        <v>8</v>
      </c>
      <c r="J413" s="90">
        <f t="shared" si="121"/>
        <v>8</v>
      </c>
      <c r="K413" s="91">
        <f t="shared" si="122"/>
        <v>8</v>
      </c>
      <c r="L413" s="76">
        <f t="shared" si="123"/>
        <v>24</v>
      </c>
      <c r="N413" s="79">
        <f t="shared" si="125"/>
        <v>52.36</v>
      </c>
      <c r="O413" s="80">
        <f t="shared" si="126"/>
        <v>42</v>
      </c>
      <c r="P413" s="81">
        <f t="shared" si="127"/>
        <v>0</v>
      </c>
      <c r="Q413" s="79">
        <f t="shared" si="128"/>
        <v>59.84</v>
      </c>
      <c r="R413" s="80">
        <f t="shared" si="129"/>
        <v>48</v>
      </c>
      <c r="S413" s="81">
        <f t="shared" si="130"/>
        <v>68</v>
      </c>
      <c r="T413" s="92">
        <f t="shared" si="131"/>
        <v>270.2</v>
      </c>
      <c r="U413" s="93">
        <f t="shared" si="124"/>
        <v>216.16</v>
      </c>
    </row>
    <row r="414" spans="1:21" x14ac:dyDescent="0.25">
      <c r="A414" s="71">
        <f t="shared" si="116"/>
        <v>2023</v>
      </c>
      <c r="B414" s="72" t="str">
        <f t="shared" si="114"/>
        <v>DEZEMBRO</v>
      </c>
      <c r="C414" s="73" t="str">
        <f t="shared" si="115"/>
        <v>SÁBADO</v>
      </c>
      <c r="D414" s="74">
        <v>45262</v>
      </c>
      <c r="E414" s="89">
        <f t="shared" si="117"/>
        <v>0</v>
      </c>
      <c r="F414" s="90">
        <f t="shared" si="118"/>
        <v>7</v>
      </c>
      <c r="G414" s="91"/>
      <c r="H414" s="76">
        <f t="shared" si="119"/>
        <v>7</v>
      </c>
      <c r="I414" s="89">
        <f t="shared" si="120"/>
        <v>0</v>
      </c>
      <c r="J414" s="90">
        <f t="shared" si="121"/>
        <v>8</v>
      </c>
      <c r="K414" s="91">
        <f t="shared" si="122"/>
        <v>0</v>
      </c>
      <c r="L414" s="76">
        <f t="shared" si="123"/>
        <v>8</v>
      </c>
      <c r="N414" s="79">
        <f t="shared" si="125"/>
        <v>0</v>
      </c>
      <c r="O414" s="80">
        <f t="shared" si="126"/>
        <v>42</v>
      </c>
      <c r="P414" s="81">
        <f t="shared" si="127"/>
        <v>0</v>
      </c>
      <c r="Q414" s="79">
        <f t="shared" si="128"/>
        <v>0</v>
      </c>
      <c r="R414" s="80">
        <f t="shared" si="129"/>
        <v>48</v>
      </c>
      <c r="S414" s="81">
        <f t="shared" si="130"/>
        <v>0</v>
      </c>
      <c r="T414" s="92">
        <f t="shared" si="131"/>
        <v>90</v>
      </c>
      <c r="U414" s="93">
        <f t="shared" si="124"/>
        <v>72</v>
      </c>
    </row>
    <row r="415" spans="1:21" x14ac:dyDescent="0.25">
      <c r="A415" s="71">
        <f t="shared" si="116"/>
        <v>2023</v>
      </c>
      <c r="B415" s="72" t="str">
        <f t="shared" si="114"/>
        <v>DEZEMBRO</v>
      </c>
      <c r="C415" s="73" t="str">
        <f t="shared" si="115"/>
        <v>DOMINGO</v>
      </c>
      <c r="D415" s="74">
        <v>45263</v>
      </c>
      <c r="E415" s="89">
        <f t="shared" si="117"/>
        <v>0</v>
      </c>
      <c r="F415" s="90">
        <f t="shared" si="118"/>
        <v>0</v>
      </c>
      <c r="G415" s="91"/>
      <c r="H415" s="76">
        <f t="shared" si="119"/>
        <v>0</v>
      </c>
      <c r="I415" s="89">
        <f t="shared" si="120"/>
        <v>0</v>
      </c>
      <c r="J415" s="90">
        <f t="shared" si="121"/>
        <v>0</v>
      </c>
      <c r="K415" s="91">
        <f t="shared" si="122"/>
        <v>0</v>
      </c>
      <c r="L415" s="76">
        <f t="shared" si="123"/>
        <v>0</v>
      </c>
      <c r="N415" s="79">
        <f t="shared" si="125"/>
        <v>0</v>
      </c>
      <c r="O415" s="80">
        <f t="shared" si="126"/>
        <v>0</v>
      </c>
      <c r="P415" s="81">
        <f t="shared" si="127"/>
        <v>0</v>
      </c>
      <c r="Q415" s="79">
        <f t="shared" si="128"/>
        <v>0</v>
      </c>
      <c r="R415" s="80">
        <f t="shared" si="129"/>
        <v>0</v>
      </c>
      <c r="S415" s="81">
        <f t="shared" si="130"/>
        <v>0</v>
      </c>
      <c r="T415" s="92">
        <f t="shared" si="131"/>
        <v>0</v>
      </c>
      <c r="U415" s="93">
        <f t="shared" si="124"/>
        <v>0</v>
      </c>
    </row>
    <row r="416" spans="1:21" x14ac:dyDescent="0.25">
      <c r="A416" s="71">
        <f t="shared" si="116"/>
        <v>2023</v>
      </c>
      <c r="B416" s="72" t="str">
        <f t="shared" si="114"/>
        <v>DEZEMBRO</v>
      </c>
      <c r="C416" s="73" t="str">
        <f t="shared" si="115"/>
        <v>SEGUNDA</v>
      </c>
      <c r="D416" s="74">
        <v>45264</v>
      </c>
      <c r="E416" s="89">
        <f t="shared" si="117"/>
        <v>7</v>
      </c>
      <c r="F416" s="90">
        <f t="shared" si="118"/>
        <v>7</v>
      </c>
      <c r="G416" s="91"/>
      <c r="H416" s="76">
        <f t="shared" si="119"/>
        <v>14</v>
      </c>
      <c r="I416" s="89">
        <f t="shared" si="120"/>
        <v>8</v>
      </c>
      <c r="J416" s="90">
        <f t="shared" si="121"/>
        <v>8</v>
      </c>
      <c r="K416" s="91">
        <f t="shared" si="122"/>
        <v>8</v>
      </c>
      <c r="L416" s="76">
        <f t="shared" si="123"/>
        <v>24</v>
      </c>
      <c r="N416" s="79">
        <f t="shared" si="125"/>
        <v>52.36</v>
      </c>
      <c r="O416" s="80">
        <f t="shared" si="126"/>
        <v>42</v>
      </c>
      <c r="P416" s="81">
        <f t="shared" si="127"/>
        <v>0</v>
      </c>
      <c r="Q416" s="79">
        <f t="shared" si="128"/>
        <v>59.84</v>
      </c>
      <c r="R416" s="80">
        <f t="shared" si="129"/>
        <v>48</v>
      </c>
      <c r="S416" s="81">
        <f t="shared" si="130"/>
        <v>68</v>
      </c>
      <c r="T416" s="92">
        <f t="shared" si="131"/>
        <v>270.2</v>
      </c>
      <c r="U416" s="93">
        <f t="shared" si="124"/>
        <v>216.16</v>
      </c>
    </row>
    <row r="417" spans="1:21" x14ac:dyDescent="0.25">
      <c r="A417" s="71">
        <f t="shared" si="116"/>
        <v>2023</v>
      </c>
      <c r="B417" s="72" t="str">
        <f t="shared" si="114"/>
        <v>DEZEMBRO</v>
      </c>
      <c r="C417" s="73" t="str">
        <f t="shared" si="115"/>
        <v>TERÇA</v>
      </c>
      <c r="D417" s="74">
        <v>45265</v>
      </c>
      <c r="E417" s="89">
        <f t="shared" si="117"/>
        <v>7</v>
      </c>
      <c r="F417" s="90">
        <f t="shared" si="118"/>
        <v>7</v>
      </c>
      <c r="G417" s="91"/>
      <c r="H417" s="76">
        <f t="shared" si="119"/>
        <v>14</v>
      </c>
      <c r="I417" s="89">
        <f t="shared" si="120"/>
        <v>8</v>
      </c>
      <c r="J417" s="90">
        <f t="shared" si="121"/>
        <v>8</v>
      </c>
      <c r="K417" s="91">
        <f t="shared" si="122"/>
        <v>8</v>
      </c>
      <c r="L417" s="76">
        <f t="shared" si="123"/>
        <v>24</v>
      </c>
      <c r="N417" s="79">
        <f t="shared" si="125"/>
        <v>52.36</v>
      </c>
      <c r="O417" s="80">
        <f t="shared" si="126"/>
        <v>42</v>
      </c>
      <c r="P417" s="81">
        <f t="shared" si="127"/>
        <v>0</v>
      </c>
      <c r="Q417" s="79">
        <f t="shared" si="128"/>
        <v>59.84</v>
      </c>
      <c r="R417" s="80">
        <f t="shared" si="129"/>
        <v>48</v>
      </c>
      <c r="S417" s="81">
        <f t="shared" si="130"/>
        <v>68</v>
      </c>
      <c r="T417" s="92">
        <f t="shared" si="131"/>
        <v>270.2</v>
      </c>
      <c r="U417" s="93">
        <f t="shared" si="124"/>
        <v>216.16</v>
      </c>
    </row>
    <row r="418" spans="1:21" x14ac:dyDescent="0.25">
      <c r="A418" s="71">
        <f t="shared" si="116"/>
        <v>2023</v>
      </c>
      <c r="B418" s="72" t="str">
        <f t="shared" si="114"/>
        <v>DEZEMBRO</v>
      </c>
      <c r="C418" s="73" t="str">
        <f t="shared" si="115"/>
        <v>QUARTA</v>
      </c>
      <c r="D418" s="74">
        <v>45266</v>
      </c>
      <c r="E418" s="89">
        <f t="shared" si="117"/>
        <v>7</v>
      </c>
      <c r="F418" s="90">
        <f t="shared" si="118"/>
        <v>7</v>
      </c>
      <c r="G418" s="91"/>
      <c r="H418" s="76">
        <f t="shared" si="119"/>
        <v>14</v>
      </c>
      <c r="I418" s="89">
        <f t="shared" si="120"/>
        <v>8</v>
      </c>
      <c r="J418" s="90">
        <f t="shared" si="121"/>
        <v>8</v>
      </c>
      <c r="K418" s="91">
        <f t="shared" si="122"/>
        <v>8</v>
      </c>
      <c r="L418" s="76">
        <f t="shared" si="123"/>
        <v>24</v>
      </c>
      <c r="N418" s="79">
        <f t="shared" si="125"/>
        <v>52.36</v>
      </c>
      <c r="O418" s="80">
        <f t="shared" si="126"/>
        <v>42</v>
      </c>
      <c r="P418" s="81">
        <f t="shared" si="127"/>
        <v>0</v>
      </c>
      <c r="Q418" s="79">
        <f t="shared" si="128"/>
        <v>59.84</v>
      </c>
      <c r="R418" s="80">
        <f t="shared" si="129"/>
        <v>48</v>
      </c>
      <c r="S418" s="81">
        <f t="shared" si="130"/>
        <v>68</v>
      </c>
      <c r="T418" s="92">
        <f t="shared" si="131"/>
        <v>270.2</v>
      </c>
      <c r="U418" s="93">
        <f t="shared" si="124"/>
        <v>216.16</v>
      </c>
    </row>
    <row r="419" spans="1:21" x14ac:dyDescent="0.25">
      <c r="A419" s="71">
        <f t="shared" si="116"/>
        <v>2023</v>
      </c>
      <c r="B419" s="72" t="str">
        <f t="shared" si="114"/>
        <v>DEZEMBRO</v>
      </c>
      <c r="C419" s="73" t="str">
        <f t="shared" si="115"/>
        <v>QUINTA</v>
      </c>
      <c r="D419" s="74">
        <v>45267</v>
      </c>
      <c r="E419" s="89">
        <f t="shared" si="117"/>
        <v>7</v>
      </c>
      <c r="F419" s="90">
        <f t="shared" si="118"/>
        <v>7</v>
      </c>
      <c r="G419" s="91"/>
      <c r="H419" s="76">
        <f t="shared" si="119"/>
        <v>14</v>
      </c>
      <c r="I419" s="89">
        <f t="shared" si="120"/>
        <v>8</v>
      </c>
      <c r="J419" s="90">
        <f t="shared" si="121"/>
        <v>8</v>
      </c>
      <c r="K419" s="91">
        <f t="shared" si="122"/>
        <v>8</v>
      </c>
      <c r="L419" s="76">
        <f t="shared" si="123"/>
        <v>24</v>
      </c>
      <c r="N419" s="79">
        <f t="shared" si="125"/>
        <v>52.36</v>
      </c>
      <c r="O419" s="80">
        <f t="shared" si="126"/>
        <v>42</v>
      </c>
      <c r="P419" s="81">
        <f t="shared" si="127"/>
        <v>0</v>
      </c>
      <c r="Q419" s="79">
        <f t="shared" si="128"/>
        <v>59.84</v>
      </c>
      <c r="R419" s="80">
        <f t="shared" si="129"/>
        <v>48</v>
      </c>
      <c r="S419" s="81">
        <f t="shared" si="130"/>
        <v>68</v>
      </c>
      <c r="T419" s="92">
        <f t="shared" si="131"/>
        <v>270.2</v>
      </c>
      <c r="U419" s="93">
        <f t="shared" si="124"/>
        <v>216.16</v>
      </c>
    </row>
    <row r="420" spans="1:21" x14ac:dyDescent="0.25">
      <c r="A420" s="71">
        <f t="shared" si="116"/>
        <v>2023</v>
      </c>
      <c r="B420" s="72" t="str">
        <f t="shared" si="114"/>
        <v>DEZEMBRO</v>
      </c>
      <c r="C420" s="73" t="str">
        <f t="shared" si="115"/>
        <v>SEXTA</v>
      </c>
      <c r="D420" s="74">
        <v>45268</v>
      </c>
      <c r="E420" s="89">
        <f t="shared" si="117"/>
        <v>7</v>
      </c>
      <c r="F420" s="90">
        <f t="shared" si="118"/>
        <v>7</v>
      </c>
      <c r="G420" s="91"/>
      <c r="H420" s="76">
        <f t="shared" si="119"/>
        <v>14</v>
      </c>
      <c r="I420" s="89">
        <f t="shared" si="120"/>
        <v>8</v>
      </c>
      <c r="J420" s="90">
        <f t="shared" si="121"/>
        <v>8</v>
      </c>
      <c r="K420" s="91">
        <f t="shared" si="122"/>
        <v>8</v>
      </c>
      <c r="L420" s="76">
        <f t="shared" si="123"/>
        <v>24</v>
      </c>
      <c r="N420" s="79">
        <f t="shared" si="125"/>
        <v>52.36</v>
      </c>
      <c r="O420" s="80">
        <f t="shared" si="126"/>
        <v>42</v>
      </c>
      <c r="P420" s="81">
        <f t="shared" si="127"/>
        <v>0</v>
      </c>
      <c r="Q420" s="79">
        <f t="shared" si="128"/>
        <v>59.84</v>
      </c>
      <c r="R420" s="80">
        <f t="shared" si="129"/>
        <v>48</v>
      </c>
      <c r="S420" s="81">
        <f t="shared" si="130"/>
        <v>68</v>
      </c>
      <c r="T420" s="92">
        <f t="shared" si="131"/>
        <v>270.2</v>
      </c>
      <c r="U420" s="93">
        <f t="shared" si="124"/>
        <v>216.16</v>
      </c>
    </row>
    <row r="421" spans="1:21" x14ac:dyDescent="0.25">
      <c r="A421" s="71">
        <f t="shared" si="116"/>
        <v>2023</v>
      </c>
      <c r="B421" s="72" t="str">
        <f t="shared" si="114"/>
        <v>DEZEMBRO</v>
      </c>
      <c r="C421" s="73" t="str">
        <f t="shared" si="115"/>
        <v>SÁBADO</v>
      </c>
      <c r="D421" s="74">
        <v>45269</v>
      </c>
      <c r="E421" s="89">
        <f t="shared" si="117"/>
        <v>0</v>
      </c>
      <c r="F421" s="90">
        <f t="shared" si="118"/>
        <v>7</v>
      </c>
      <c r="G421" s="91"/>
      <c r="H421" s="76">
        <f t="shared" si="119"/>
        <v>7</v>
      </c>
      <c r="I421" s="89">
        <f t="shared" si="120"/>
        <v>0</v>
      </c>
      <c r="J421" s="90">
        <f t="shared" si="121"/>
        <v>8</v>
      </c>
      <c r="K421" s="91">
        <f t="shared" si="122"/>
        <v>0</v>
      </c>
      <c r="L421" s="76">
        <f t="shared" si="123"/>
        <v>8</v>
      </c>
      <c r="N421" s="79">
        <f t="shared" si="125"/>
        <v>0</v>
      </c>
      <c r="O421" s="80">
        <f t="shared" si="126"/>
        <v>42</v>
      </c>
      <c r="P421" s="81">
        <f t="shared" si="127"/>
        <v>0</v>
      </c>
      <c r="Q421" s="79">
        <f t="shared" si="128"/>
        <v>0</v>
      </c>
      <c r="R421" s="80">
        <f t="shared" si="129"/>
        <v>48</v>
      </c>
      <c r="S421" s="81">
        <f t="shared" si="130"/>
        <v>0</v>
      </c>
      <c r="T421" s="92">
        <f t="shared" si="131"/>
        <v>90</v>
      </c>
      <c r="U421" s="93">
        <f t="shared" si="124"/>
        <v>72</v>
      </c>
    </row>
    <row r="422" spans="1:21" x14ac:dyDescent="0.25">
      <c r="A422" s="71">
        <f t="shared" si="116"/>
        <v>2023</v>
      </c>
      <c r="B422" s="72" t="str">
        <f t="shared" si="114"/>
        <v>DEZEMBRO</v>
      </c>
      <c r="C422" s="73" t="str">
        <f t="shared" si="115"/>
        <v>DOMINGO</v>
      </c>
      <c r="D422" s="74">
        <v>45270</v>
      </c>
      <c r="E422" s="89">
        <f t="shared" si="117"/>
        <v>0</v>
      </c>
      <c r="F422" s="90">
        <f t="shared" si="118"/>
        <v>0</v>
      </c>
      <c r="G422" s="91"/>
      <c r="H422" s="76">
        <f t="shared" si="119"/>
        <v>0</v>
      </c>
      <c r="I422" s="89">
        <f t="shared" si="120"/>
        <v>0</v>
      </c>
      <c r="J422" s="90">
        <f t="shared" si="121"/>
        <v>0</v>
      </c>
      <c r="K422" s="91">
        <f t="shared" si="122"/>
        <v>0</v>
      </c>
      <c r="L422" s="76">
        <f t="shared" si="123"/>
        <v>0</v>
      </c>
      <c r="N422" s="79">
        <f t="shared" si="125"/>
        <v>0</v>
      </c>
      <c r="O422" s="80">
        <f t="shared" si="126"/>
        <v>0</v>
      </c>
      <c r="P422" s="81">
        <f t="shared" si="127"/>
        <v>0</v>
      </c>
      <c r="Q422" s="79">
        <f t="shared" si="128"/>
        <v>0</v>
      </c>
      <c r="R422" s="80">
        <f t="shared" si="129"/>
        <v>0</v>
      </c>
      <c r="S422" s="81">
        <f t="shared" si="130"/>
        <v>0</v>
      </c>
      <c r="T422" s="92">
        <f t="shared" si="131"/>
        <v>0</v>
      </c>
      <c r="U422" s="93">
        <f t="shared" si="124"/>
        <v>0</v>
      </c>
    </row>
    <row r="423" spans="1:21" x14ac:dyDescent="0.25">
      <c r="A423" s="71">
        <f t="shared" si="116"/>
        <v>2023</v>
      </c>
      <c r="B423" s="72" t="str">
        <f t="shared" si="114"/>
        <v>DEZEMBRO</v>
      </c>
      <c r="C423" s="73" t="str">
        <f t="shared" si="115"/>
        <v>SEGUNDA</v>
      </c>
      <c r="D423" s="74">
        <v>45271</v>
      </c>
      <c r="E423" s="89">
        <f t="shared" si="117"/>
        <v>7</v>
      </c>
      <c r="F423" s="90">
        <f t="shared" si="118"/>
        <v>7</v>
      </c>
      <c r="G423" s="91"/>
      <c r="H423" s="76">
        <f t="shared" si="119"/>
        <v>14</v>
      </c>
      <c r="I423" s="89">
        <f t="shared" si="120"/>
        <v>8</v>
      </c>
      <c r="J423" s="90">
        <f t="shared" si="121"/>
        <v>8</v>
      </c>
      <c r="K423" s="91">
        <f t="shared" si="122"/>
        <v>8</v>
      </c>
      <c r="L423" s="76">
        <f t="shared" si="123"/>
        <v>24</v>
      </c>
      <c r="N423" s="79">
        <f t="shared" si="125"/>
        <v>52.36</v>
      </c>
      <c r="O423" s="80">
        <f t="shared" si="126"/>
        <v>42</v>
      </c>
      <c r="P423" s="81">
        <f t="shared" si="127"/>
        <v>0</v>
      </c>
      <c r="Q423" s="79">
        <f t="shared" si="128"/>
        <v>59.84</v>
      </c>
      <c r="R423" s="80">
        <f t="shared" si="129"/>
        <v>48</v>
      </c>
      <c r="S423" s="81">
        <f t="shared" si="130"/>
        <v>68</v>
      </c>
      <c r="T423" s="92">
        <f t="shared" si="131"/>
        <v>270.2</v>
      </c>
      <c r="U423" s="93">
        <f t="shared" si="124"/>
        <v>216.16</v>
      </c>
    </row>
    <row r="424" spans="1:21" x14ac:dyDescent="0.25">
      <c r="A424" s="71">
        <f t="shared" si="116"/>
        <v>2023</v>
      </c>
      <c r="B424" s="72" t="str">
        <f t="shared" si="114"/>
        <v>DEZEMBRO</v>
      </c>
      <c r="C424" s="73" t="str">
        <f t="shared" si="115"/>
        <v>TERÇA</v>
      </c>
      <c r="D424" s="74">
        <v>45272</v>
      </c>
      <c r="E424" s="89">
        <f t="shared" si="117"/>
        <v>7</v>
      </c>
      <c r="F424" s="90">
        <f t="shared" si="118"/>
        <v>7</v>
      </c>
      <c r="G424" s="91"/>
      <c r="H424" s="76">
        <f t="shared" si="119"/>
        <v>14</v>
      </c>
      <c r="I424" s="89">
        <f t="shared" si="120"/>
        <v>8</v>
      </c>
      <c r="J424" s="90">
        <f t="shared" si="121"/>
        <v>8</v>
      </c>
      <c r="K424" s="91">
        <f t="shared" si="122"/>
        <v>8</v>
      </c>
      <c r="L424" s="76">
        <f t="shared" si="123"/>
        <v>24</v>
      </c>
      <c r="N424" s="79">
        <f t="shared" si="125"/>
        <v>52.36</v>
      </c>
      <c r="O424" s="80">
        <f t="shared" si="126"/>
        <v>42</v>
      </c>
      <c r="P424" s="81">
        <f t="shared" si="127"/>
        <v>0</v>
      </c>
      <c r="Q424" s="79">
        <f t="shared" si="128"/>
        <v>59.84</v>
      </c>
      <c r="R424" s="80">
        <f t="shared" si="129"/>
        <v>48</v>
      </c>
      <c r="S424" s="81">
        <f t="shared" si="130"/>
        <v>68</v>
      </c>
      <c r="T424" s="92">
        <f t="shared" si="131"/>
        <v>270.2</v>
      </c>
      <c r="U424" s="93">
        <f t="shared" si="124"/>
        <v>216.16</v>
      </c>
    </row>
    <row r="425" spans="1:21" x14ac:dyDescent="0.25">
      <c r="A425" s="71">
        <f t="shared" si="116"/>
        <v>2023</v>
      </c>
      <c r="B425" s="72" t="str">
        <f t="shared" si="114"/>
        <v>DEZEMBRO</v>
      </c>
      <c r="C425" s="73" t="str">
        <f t="shared" si="115"/>
        <v>QUARTA</v>
      </c>
      <c r="D425" s="74">
        <v>45273</v>
      </c>
      <c r="E425" s="89">
        <f t="shared" si="117"/>
        <v>7</v>
      </c>
      <c r="F425" s="90">
        <f t="shared" si="118"/>
        <v>7</v>
      </c>
      <c r="G425" s="91"/>
      <c r="H425" s="76">
        <f t="shared" si="119"/>
        <v>14</v>
      </c>
      <c r="I425" s="89">
        <f t="shared" si="120"/>
        <v>8</v>
      </c>
      <c r="J425" s="90">
        <f t="shared" si="121"/>
        <v>8</v>
      </c>
      <c r="K425" s="91">
        <f t="shared" si="122"/>
        <v>8</v>
      </c>
      <c r="L425" s="76">
        <f t="shared" si="123"/>
        <v>24</v>
      </c>
      <c r="N425" s="79">
        <f t="shared" si="125"/>
        <v>52.36</v>
      </c>
      <c r="O425" s="80">
        <f t="shared" si="126"/>
        <v>42</v>
      </c>
      <c r="P425" s="81">
        <f t="shared" si="127"/>
        <v>0</v>
      </c>
      <c r="Q425" s="79">
        <f t="shared" si="128"/>
        <v>59.84</v>
      </c>
      <c r="R425" s="80">
        <f t="shared" si="129"/>
        <v>48</v>
      </c>
      <c r="S425" s="81">
        <f t="shared" si="130"/>
        <v>68</v>
      </c>
      <c r="T425" s="92">
        <f t="shared" si="131"/>
        <v>270.2</v>
      </c>
      <c r="U425" s="93">
        <f t="shared" si="124"/>
        <v>216.16</v>
      </c>
    </row>
    <row r="426" spans="1:21" x14ac:dyDescent="0.25">
      <c r="A426" s="71">
        <f t="shared" si="116"/>
        <v>2023</v>
      </c>
      <c r="B426" s="72" t="str">
        <f t="shared" si="114"/>
        <v>DEZEMBRO</v>
      </c>
      <c r="C426" s="73" t="str">
        <f t="shared" si="115"/>
        <v>QUINTA</v>
      </c>
      <c r="D426" s="74">
        <v>45274</v>
      </c>
      <c r="E426" s="89">
        <f t="shared" si="117"/>
        <v>7</v>
      </c>
      <c r="F426" s="90">
        <f t="shared" si="118"/>
        <v>7</v>
      </c>
      <c r="G426" s="91"/>
      <c r="H426" s="76">
        <f t="shared" si="119"/>
        <v>14</v>
      </c>
      <c r="I426" s="89">
        <f t="shared" si="120"/>
        <v>8</v>
      </c>
      <c r="J426" s="90">
        <f t="shared" si="121"/>
        <v>8</v>
      </c>
      <c r="K426" s="91">
        <f t="shared" si="122"/>
        <v>8</v>
      </c>
      <c r="L426" s="76">
        <f t="shared" si="123"/>
        <v>24</v>
      </c>
      <c r="N426" s="79">
        <f t="shared" si="125"/>
        <v>52.36</v>
      </c>
      <c r="O426" s="80">
        <f t="shared" si="126"/>
        <v>42</v>
      </c>
      <c r="P426" s="81">
        <f t="shared" si="127"/>
        <v>0</v>
      </c>
      <c r="Q426" s="79">
        <f t="shared" si="128"/>
        <v>59.84</v>
      </c>
      <c r="R426" s="80">
        <f t="shared" si="129"/>
        <v>48</v>
      </c>
      <c r="S426" s="81">
        <f t="shared" si="130"/>
        <v>68</v>
      </c>
      <c r="T426" s="92">
        <f t="shared" si="131"/>
        <v>270.2</v>
      </c>
      <c r="U426" s="93">
        <f t="shared" si="124"/>
        <v>216.16</v>
      </c>
    </row>
    <row r="427" spans="1:21" x14ac:dyDescent="0.25">
      <c r="A427" s="71">
        <f t="shared" si="116"/>
        <v>2023</v>
      </c>
      <c r="B427" s="72" t="str">
        <f t="shared" si="114"/>
        <v>DEZEMBRO</v>
      </c>
      <c r="C427" s="73" t="str">
        <f t="shared" si="115"/>
        <v>SEXTA</v>
      </c>
      <c r="D427" s="74">
        <v>45275</v>
      </c>
      <c r="E427" s="89">
        <f t="shared" si="117"/>
        <v>7</v>
      </c>
      <c r="F427" s="90">
        <f t="shared" si="118"/>
        <v>7</v>
      </c>
      <c r="G427" s="91"/>
      <c r="H427" s="76">
        <f t="shared" si="119"/>
        <v>14</v>
      </c>
      <c r="I427" s="89">
        <f t="shared" si="120"/>
        <v>8</v>
      </c>
      <c r="J427" s="90">
        <f t="shared" si="121"/>
        <v>8</v>
      </c>
      <c r="K427" s="91">
        <f t="shared" si="122"/>
        <v>8</v>
      </c>
      <c r="L427" s="76">
        <f t="shared" si="123"/>
        <v>24</v>
      </c>
      <c r="N427" s="79">
        <f t="shared" si="125"/>
        <v>52.36</v>
      </c>
      <c r="O427" s="80">
        <f t="shared" si="126"/>
        <v>42</v>
      </c>
      <c r="P427" s="81">
        <f t="shared" si="127"/>
        <v>0</v>
      </c>
      <c r="Q427" s="79">
        <f t="shared" si="128"/>
        <v>59.84</v>
      </c>
      <c r="R427" s="80">
        <f t="shared" si="129"/>
        <v>48</v>
      </c>
      <c r="S427" s="81">
        <f t="shared" si="130"/>
        <v>68</v>
      </c>
      <c r="T427" s="92">
        <f t="shared" si="131"/>
        <v>270.2</v>
      </c>
      <c r="U427" s="93">
        <f t="shared" si="124"/>
        <v>216.16</v>
      </c>
    </row>
    <row r="428" spans="1:21" x14ac:dyDescent="0.25">
      <c r="A428" s="71">
        <f t="shared" si="116"/>
        <v>2023</v>
      </c>
      <c r="B428" s="72" t="str">
        <f t="shared" si="114"/>
        <v>DEZEMBRO</v>
      </c>
      <c r="C428" s="73" t="str">
        <f t="shared" si="115"/>
        <v>SÁBADO</v>
      </c>
      <c r="D428" s="74">
        <v>45276</v>
      </c>
      <c r="E428" s="89">
        <f t="shared" si="117"/>
        <v>0</v>
      </c>
      <c r="F428" s="90">
        <f t="shared" si="118"/>
        <v>7</v>
      </c>
      <c r="G428" s="91"/>
      <c r="H428" s="76">
        <f t="shared" si="119"/>
        <v>7</v>
      </c>
      <c r="I428" s="89">
        <f t="shared" si="120"/>
        <v>0</v>
      </c>
      <c r="J428" s="90">
        <f t="shared" si="121"/>
        <v>8</v>
      </c>
      <c r="K428" s="91">
        <f t="shared" si="122"/>
        <v>0</v>
      </c>
      <c r="L428" s="76">
        <f t="shared" si="123"/>
        <v>8</v>
      </c>
      <c r="N428" s="79">
        <f t="shared" si="125"/>
        <v>0</v>
      </c>
      <c r="O428" s="80">
        <f t="shared" si="126"/>
        <v>42</v>
      </c>
      <c r="P428" s="81">
        <f t="shared" si="127"/>
        <v>0</v>
      </c>
      <c r="Q428" s="79">
        <f t="shared" si="128"/>
        <v>0</v>
      </c>
      <c r="R428" s="80">
        <f t="shared" si="129"/>
        <v>48</v>
      </c>
      <c r="S428" s="81">
        <f t="shared" si="130"/>
        <v>0</v>
      </c>
      <c r="T428" s="92">
        <f t="shared" si="131"/>
        <v>90</v>
      </c>
      <c r="U428" s="93">
        <f t="shared" si="124"/>
        <v>72</v>
      </c>
    </row>
    <row r="429" spans="1:21" x14ac:dyDescent="0.25">
      <c r="A429" s="71">
        <f t="shared" si="116"/>
        <v>2023</v>
      </c>
      <c r="B429" s="72" t="str">
        <f t="shared" si="114"/>
        <v>DEZEMBRO</v>
      </c>
      <c r="C429" s="73" t="str">
        <f t="shared" si="115"/>
        <v>DOMINGO</v>
      </c>
      <c r="D429" s="74">
        <v>45277</v>
      </c>
      <c r="E429" s="89">
        <f t="shared" si="117"/>
        <v>0</v>
      </c>
      <c r="F429" s="90">
        <f t="shared" si="118"/>
        <v>0</v>
      </c>
      <c r="G429" s="91"/>
      <c r="H429" s="76">
        <f t="shared" si="119"/>
        <v>0</v>
      </c>
      <c r="I429" s="89">
        <f t="shared" si="120"/>
        <v>0</v>
      </c>
      <c r="J429" s="90">
        <f t="shared" si="121"/>
        <v>0</v>
      </c>
      <c r="K429" s="91">
        <f t="shared" si="122"/>
        <v>0</v>
      </c>
      <c r="L429" s="76">
        <f t="shared" si="123"/>
        <v>0</v>
      </c>
      <c r="N429" s="79">
        <f t="shared" si="125"/>
        <v>0</v>
      </c>
      <c r="O429" s="80">
        <f t="shared" si="126"/>
        <v>0</v>
      </c>
      <c r="P429" s="81">
        <f t="shared" si="127"/>
        <v>0</v>
      </c>
      <c r="Q429" s="79">
        <f t="shared" si="128"/>
        <v>0</v>
      </c>
      <c r="R429" s="80">
        <f t="shared" si="129"/>
        <v>0</v>
      </c>
      <c r="S429" s="81">
        <f t="shared" si="130"/>
        <v>0</v>
      </c>
      <c r="T429" s="92">
        <f t="shared" si="131"/>
        <v>0</v>
      </c>
      <c r="U429" s="93">
        <f t="shared" si="124"/>
        <v>0</v>
      </c>
    </row>
    <row r="430" spans="1:21" x14ac:dyDescent="0.25">
      <c r="A430" s="71">
        <f t="shared" si="116"/>
        <v>2023</v>
      </c>
      <c r="B430" s="72" t="str">
        <f t="shared" si="114"/>
        <v>DEZEMBRO</v>
      </c>
      <c r="C430" s="73" t="str">
        <f t="shared" si="115"/>
        <v>SEGUNDA</v>
      </c>
      <c r="D430" s="74">
        <v>45278</v>
      </c>
      <c r="E430" s="89">
        <f t="shared" si="117"/>
        <v>7</v>
      </c>
      <c r="F430" s="90">
        <f t="shared" si="118"/>
        <v>7</v>
      </c>
      <c r="G430" s="91"/>
      <c r="H430" s="76">
        <f t="shared" si="119"/>
        <v>14</v>
      </c>
      <c r="I430" s="89">
        <f t="shared" si="120"/>
        <v>8</v>
      </c>
      <c r="J430" s="90">
        <f t="shared" si="121"/>
        <v>8</v>
      </c>
      <c r="K430" s="91">
        <f t="shared" si="122"/>
        <v>8</v>
      </c>
      <c r="L430" s="76">
        <f t="shared" si="123"/>
        <v>24</v>
      </c>
      <c r="N430" s="79">
        <f t="shared" si="125"/>
        <v>52.36</v>
      </c>
      <c r="O430" s="80">
        <f t="shared" si="126"/>
        <v>42</v>
      </c>
      <c r="P430" s="81">
        <f t="shared" si="127"/>
        <v>0</v>
      </c>
      <c r="Q430" s="79">
        <f t="shared" si="128"/>
        <v>59.84</v>
      </c>
      <c r="R430" s="80">
        <f t="shared" si="129"/>
        <v>48</v>
      </c>
      <c r="S430" s="81">
        <f t="shared" si="130"/>
        <v>68</v>
      </c>
      <c r="T430" s="92">
        <f t="shared" si="131"/>
        <v>270.2</v>
      </c>
      <c r="U430" s="93">
        <f t="shared" si="124"/>
        <v>216.16</v>
      </c>
    </row>
    <row r="431" spans="1:21" x14ac:dyDescent="0.25">
      <c r="A431" s="71">
        <f t="shared" si="116"/>
        <v>2023</v>
      </c>
      <c r="B431" s="72" t="str">
        <f t="shared" si="114"/>
        <v>DEZEMBRO</v>
      </c>
      <c r="C431" s="73" t="str">
        <f t="shared" si="115"/>
        <v>TERÇA</v>
      </c>
      <c r="D431" s="74">
        <v>45279</v>
      </c>
      <c r="E431" s="89">
        <f t="shared" si="117"/>
        <v>7</v>
      </c>
      <c r="F431" s="90">
        <f t="shared" si="118"/>
        <v>7</v>
      </c>
      <c r="G431" s="91"/>
      <c r="H431" s="76">
        <f t="shared" si="119"/>
        <v>14</v>
      </c>
      <c r="I431" s="89">
        <f t="shared" si="120"/>
        <v>8</v>
      </c>
      <c r="J431" s="90">
        <f t="shared" si="121"/>
        <v>8</v>
      </c>
      <c r="K431" s="91">
        <f t="shared" si="122"/>
        <v>8</v>
      </c>
      <c r="L431" s="76">
        <f t="shared" si="123"/>
        <v>24</v>
      </c>
      <c r="N431" s="79">
        <f t="shared" si="125"/>
        <v>52.36</v>
      </c>
      <c r="O431" s="80">
        <f t="shared" si="126"/>
        <v>42</v>
      </c>
      <c r="P431" s="81">
        <f t="shared" si="127"/>
        <v>0</v>
      </c>
      <c r="Q431" s="79">
        <f t="shared" si="128"/>
        <v>59.84</v>
      </c>
      <c r="R431" s="80">
        <f t="shared" si="129"/>
        <v>48</v>
      </c>
      <c r="S431" s="81">
        <f t="shared" si="130"/>
        <v>68</v>
      </c>
      <c r="T431" s="92">
        <f t="shared" si="131"/>
        <v>270.2</v>
      </c>
      <c r="U431" s="93">
        <f t="shared" si="124"/>
        <v>216.16</v>
      </c>
    </row>
    <row r="432" spans="1:21" x14ac:dyDescent="0.25">
      <c r="A432" s="71">
        <f t="shared" si="116"/>
        <v>2023</v>
      </c>
      <c r="B432" s="72" t="str">
        <f t="shared" si="114"/>
        <v>DEZEMBRO</v>
      </c>
      <c r="C432" s="73" t="str">
        <f t="shared" si="115"/>
        <v>QUARTA</v>
      </c>
      <c r="D432" s="74">
        <v>45280</v>
      </c>
      <c r="E432" s="89">
        <f t="shared" si="117"/>
        <v>7</v>
      </c>
      <c r="F432" s="90">
        <f t="shared" si="118"/>
        <v>7</v>
      </c>
      <c r="G432" s="91"/>
      <c r="H432" s="76">
        <f t="shared" si="119"/>
        <v>14</v>
      </c>
      <c r="I432" s="89">
        <f t="shared" si="120"/>
        <v>8</v>
      </c>
      <c r="J432" s="90">
        <f t="shared" si="121"/>
        <v>8</v>
      </c>
      <c r="K432" s="91">
        <f t="shared" si="122"/>
        <v>8</v>
      </c>
      <c r="L432" s="76">
        <f t="shared" si="123"/>
        <v>24</v>
      </c>
      <c r="N432" s="79">
        <f t="shared" si="125"/>
        <v>52.36</v>
      </c>
      <c r="O432" s="80">
        <f t="shared" si="126"/>
        <v>42</v>
      </c>
      <c r="P432" s="81">
        <f t="shared" si="127"/>
        <v>0</v>
      </c>
      <c r="Q432" s="79">
        <f t="shared" si="128"/>
        <v>59.84</v>
      </c>
      <c r="R432" s="80">
        <f t="shared" si="129"/>
        <v>48</v>
      </c>
      <c r="S432" s="81">
        <f t="shared" si="130"/>
        <v>68</v>
      </c>
      <c r="T432" s="92">
        <f t="shared" si="131"/>
        <v>270.2</v>
      </c>
      <c r="U432" s="93">
        <f t="shared" si="124"/>
        <v>216.16</v>
      </c>
    </row>
    <row r="433" spans="1:21" x14ac:dyDescent="0.25">
      <c r="A433" s="71">
        <f t="shared" si="116"/>
        <v>2023</v>
      </c>
      <c r="B433" s="72" t="str">
        <f t="shared" si="114"/>
        <v>DEZEMBRO</v>
      </c>
      <c r="C433" s="73" t="str">
        <f t="shared" si="115"/>
        <v>QUINTA</v>
      </c>
      <c r="D433" s="74">
        <v>45281</v>
      </c>
      <c r="E433" s="89">
        <f t="shared" si="117"/>
        <v>7</v>
      </c>
      <c r="F433" s="90">
        <f t="shared" si="118"/>
        <v>7</v>
      </c>
      <c r="G433" s="91"/>
      <c r="H433" s="76">
        <f t="shared" si="119"/>
        <v>14</v>
      </c>
      <c r="I433" s="89">
        <f t="shared" si="120"/>
        <v>8</v>
      </c>
      <c r="J433" s="90">
        <f t="shared" si="121"/>
        <v>8</v>
      </c>
      <c r="K433" s="91">
        <f t="shared" si="122"/>
        <v>8</v>
      </c>
      <c r="L433" s="76">
        <f t="shared" si="123"/>
        <v>24</v>
      </c>
      <c r="N433" s="79">
        <f t="shared" si="125"/>
        <v>52.36</v>
      </c>
      <c r="O433" s="80">
        <f t="shared" si="126"/>
        <v>42</v>
      </c>
      <c r="P433" s="81">
        <f t="shared" si="127"/>
        <v>0</v>
      </c>
      <c r="Q433" s="79">
        <f t="shared" si="128"/>
        <v>59.84</v>
      </c>
      <c r="R433" s="80">
        <f t="shared" si="129"/>
        <v>48</v>
      </c>
      <c r="S433" s="81">
        <f t="shared" si="130"/>
        <v>68</v>
      </c>
      <c r="T433" s="92">
        <f t="shared" si="131"/>
        <v>270.2</v>
      </c>
      <c r="U433" s="93">
        <f t="shared" si="124"/>
        <v>216.16</v>
      </c>
    </row>
    <row r="434" spans="1:21" x14ac:dyDescent="0.25">
      <c r="A434" s="71">
        <f t="shared" si="116"/>
        <v>2023</v>
      </c>
      <c r="B434" s="72" t="str">
        <f t="shared" si="114"/>
        <v>DEZEMBRO</v>
      </c>
      <c r="C434" s="73" t="str">
        <f t="shared" si="115"/>
        <v>SEXTA</v>
      </c>
      <c r="D434" s="74">
        <v>45282</v>
      </c>
      <c r="E434" s="89">
        <f t="shared" si="117"/>
        <v>7</v>
      </c>
      <c r="F434" s="90">
        <f t="shared" si="118"/>
        <v>7</v>
      </c>
      <c r="G434" s="91"/>
      <c r="H434" s="76">
        <f t="shared" si="119"/>
        <v>14</v>
      </c>
      <c r="I434" s="89">
        <f t="shared" si="120"/>
        <v>8</v>
      </c>
      <c r="J434" s="90">
        <f t="shared" si="121"/>
        <v>8</v>
      </c>
      <c r="K434" s="91">
        <f t="shared" si="122"/>
        <v>8</v>
      </c>
      <c r="L434" s="76">
        <f t="shared" si="123"/>
        <v>24</v>
      </c>
      <c r="N434" s="79">
        <f t="shared" si="125"/>
        <v>52.36</v>
      </c>
      <c r="O434" s="80">
        <f t="shared" si="126"/>
        <v>42</v>
      </c>
      <c r="P434" s="81">
        <f t="shared" si="127"/>
        <v>0</v>
      </c>
      <c r="Q434" s="79">
        <f t="shared" si="128"/>
        <v>59.84</v>
      </c>
      <c r="R434" s="80">
        <f t="shared" si="129"/>
        <v>48</v>
      </c>
      <c r="S434" s="81">
        <f t="shared" si="130"/>
        <v>68</v>
      </c>
      <c r="T434" s="92">
        <f t="shared" si="131"/>
        <v>270.2</v>
      </c>
      <c r="U434" s="93">
        <f t="shared" si="124"/>
        <v>216.16</v>
      </c>
    </row>
    <row r="435" spans="1:21" x14ac:dyDescent="0.25">
      <c r="A435" s="71">
        <f t="shared" si="116"/>
        <v>2023</v>
      </c>
      <c r="B435" s="72" t="str">
        <f t="shared" si="114"/>
        <v>DEZEMBRO</v>
      </c>
      <c r="C435" s="73" t="str">
        <f t="shared" si="115"/>
        <v>SÁBADO</v>
      </c>
      <c r="D435" s="74">
        <v>45283</v>
      </c>
      <c r="E435" s="89">
        <f t="shared" si="117"/>
        <v>0</v>
      </c>
      <c r="F435" s="90">
        <f t="shared" si="118"/>
        <v>7</v>
      </c>
      <c r="G435" s="91"/>
      <c r="H435" s="76">
        <f t="shared" si="119"/>
        <v>7</v>
      </c>
      <c r="I435" s="89">
        <f t="shared" si="120"/>
        <v>0</v>
      </c>
      <c r="J435" s="90">
        <f t="shared" si="121"/>
        <v>8</v>
      </c>
      <c r="K435" s="91">
        <f t="shared" si="122"/>
        <v>0</v>
      </c>
      <c r="L435" s="76">
        <f t="shared" si="123"/>
        <v>8</v>
      </c>
      <c r="N435" s="79">
        <f t="shared" si="125"/>
        <v>0</v>
      </c>
      <c r="O435" s="80">
        <f t="shared" si="126"/>
        <v>42</v>
      </c>
      <c r="P435" s="81">
        <f t="shared" si="127"/>
        <v>0</v>
      </c>
      <c r="Q435" s="79">
        <f t="shared" si="128"/>
        <v>0</v>
      </c>
      <c r="R435" s="80">
        <f t="shared" si="129"/>
        <v>48</v>
      </c>
      <c r="S435" s="81">
        <f t="shared" si="130"/>
        <v>0</v>
      </c>
      <c r="T435" s="92">
        <f t="shared" si="131"/>
        <v>90</v>
      </c>
      <c r="U435" s="93">
        <f t="shared" si="124"/>
        <v>72</v>
      </c>
    </row>
    <row r="436" spans="1:21" x14ac:dyDescent="0.25">
      <c r="A436" s="71">
        <f t="shared" si="116"/>
        <v>2023</v>
      </c>
      <c r="B436" s="72" t="str">
        <f t="shared" si="114"/>
        <v>DEZEMBRO</v>
      </c>
      <c r="C436" s="73" t="str">
        <f t="shared" si="115"/>
        <v>DOMINGO</v>
      </c>
      <c r="D436" s="74">
        <v>45284</v>
      </c>
      <c r="E436" s="89">
        <f t="shared" si="117"/>
        <v>0</v>
      </c>
      <c r="F436" s="90">
        <f t="shared" si="118"/>
        <v>0</v>
      </c>
      <c r="G436" s="91"/>
      <c r="H436" s="76">
        <f t="shared" si="119"/>
        <v>0</v>
      </c>
      <c r="I436" s="89">
        <f t="shared" si="120"/>
        <v>0</v>
      </c>
      <c r="J436" s="90">
        <f t="shared" si="121"/>
        <v>0</v>
      </c>
      <c r="K436" s="91">
        <f t="shared" si="122"/>
        <v>0</v>
      </c>
      <c r="L436" s="76">
        <f t="shared" si="123"/>
        <v>0</v>
      </c>
      <c r="N436" s="79">
        <f t="shared" si="125"/>
        <v>0</v>
      </c>
      <c r="O436" s="80">
        <f t="shared" si="126"/>
        <v>0</v>
      </c>
      <c r="P436" s="81">
        <f t="shared" si="127"/>
        <v>0</v>
      </c>
      <c r="Q436" s="79">
        <f t="shared" si="128"/>
        <v>0</v>
      </c>
      <c r="R436" s="80">
        <f t="shared" si="129"/>
        <v>0</v>
      </c>
      <c r="S436" s="81">
        <f t="shared" si="130"/>
        <v>0</v>
      </c>
      <c r="T436" s="92">
        <f t="shared" si="131"/>
        <v>0</v>
      </c>
      <c r="U436" s="93">
        <f t="shared" si="124"/>
        <v>0</v>
      </c>
    </row>
    <row r="437" spans="1:21" x14ac:dyDescent="0.25">
      <c r="A437" s="71">
        <f t="shared" si="116"/>
        <v>2023</v>
      </c>
      <c r="B437" s="72" t="str">
        <f t="shared" si="114"/>
        <v>DEZEMBRO</v>
      </c>
      <c r="C437" s="73" t="str">
        <f t="shared" si="115"/>
        <v>SEGUNDA</v>
      </c>
      <c r="D437" s="74">
        <v>45285</v>
      </c>
      <c r="E437" s="89">
        <f t="shared" si="117"/>
        <v>7</v>
      </c>
      <c r="F437" s="90">
        <f t="shared" si="118"/>
        <v>7</v>
      </c>
      <c r="G437" s="91"/>
      <c r="H437" s="76">
        <f t="shared" si="119"/>
        <v>14</v>
      </c>
      <c r="I437" s="89">
        <f t="shared" si="120"/>
        <v>8</v>
      </c>
      <c r="J437" s="90">
        <f t="shared" si="121"/>
        <v>8</v>
      </c>
      <c r="K437" s="91">
        <f t="shared" si="122"/>
        <v>8</v>
      </c>
      <c r="L437" s="76">
        <f t="shared" si="123"/>
        <v>24</v>
      </c>
      <c r="N437" s="79">
        <f t="shared" si="125"/>
        <v>52.36</v>
      </c>
      <c r="O437" s="80">
        <f t="shared" si="126"/>
        <v>42</v>
      </c>
      <c r="P437" s="81">
        <f t="shared" si="127"/>
        <v>0</v>
      </c>
      <c r="Q437" s="79">
        <f t="shared" si="128"/>
        <v>59.84</v>
      </c>
      <c r="R437" s="80">
        <f t="shared" si="129"/>
        <v>48</v>
      </c>
      <c r="S437" s="81">
        <f t="shared" si="130"/>
        <v>68</v>
      </c>
      <c r="T437" s="92">
        <f t="shared" si="131"/>
        <v>270.2</v>
      </c>
      <c r="U437" s="93">
        <f t="shared" si="124"/>
        <v>216.16</v>
      </c>
    </row>
    <row r="438" spans="1:21" x14ac:dyDescent="0.25">
      <c r="A438" s="71">
        <f t="shared" si="116"/>
        <v>2023</v>
      </c>
      <c r="B438" s="72" t="str">
        <f t="shared" si="114"/>
        <v>DEZEMBRO</v>
      </c>
      <c r="C438" s="73" t="str">
        <f t="shared" si="115"/>
        <v>TERÇA</v>
      </c>
      <c r="D438" s="74">
        <v>45286</v>
      </c>
      <c r="E438" s="89">
        <f t="shared" si="117"/>
        <v>7</v>
      </c>
      <c r="F438" s="90">
        <f t="shared" si="118"/>
        <v>7</v>
      </c>
      <c r="G438" s="91"/>
      <c r="H438" s="76">
        <f t="shared" si="119"/>
        <v>14</v>
      </c>
      <c r="I438" s="89">
        <f t="shared" si="120"/>
        <v>8</v>
      </c>
      <c r="J438" s="90">
        <f t="shared" si="121"/>
        <v>8</v>
      </c>
      <c r="K438" s="91">
        <f t="shared" si="122"/>
        <v>8</v>
      </c>
      <c r="L438" s="76">
        <f t="shared" si="123"/>
        <v>24</v>
      </c>
      <c r="N438" s="79">
        <f t="shared" si="125"/>
        <v>52.36</v>
      </c>
      <c r="O438" s="80">
        <f t="shared" si="126"/>
        <v>42</v>
      </c>
      <c r="P438" s="81">
        <f t="shared" si="127"/>
        <v>0</v>
      </c>
      <c r="Q438" s="79">
        <f t="shared" si="128"/>
        <v>59.84</v>
      </c>
      <c r="R438" s="80">
        <f t="shared" si="129"/>
        <v>48</v>
      </c>
      <c r="S438" s="81">
        <f t="shared" si="130"/>
        <v>68</v>
      </c>
      <c r="T438" s="92">
        <f t="shared" si="131"/>
        <v>270.2</v>
      </c>
      <c r="U438" s="93">
        <f t="shared" si="124"/>
        <v>216.16</v>
      </c>
    </row>
    <row r="439" spans="1:21" x14ac:dyDescent="0.25">
      <c r="A439" s="71">
        <f t="shared" si="116"/>
        <v>2023</v>
      </c>
      <c r="B439" s="72" t="str">
        <f t="shared" si="114"/>
        <v>DEZEMBRO</v>
      </c>
      <c r="C439" s="73" t="str">
        <f t="shared" si="115"/>
        <v>QUARTA</v>
      </c>
      <c r="D439" s="74">
        <v>45287</v>
      </c>
      <c r="E439" s="89">
        <f t="shared" si="117"/>
        <v>7</v>
      </c>
      <c r="F439" s="90">
        <f t="shared" si="118"/>
        <v>7</v>
      </c>
      <c r="G439" s="91"/>
      <c r="H439" s="76">
        <f t="shared" si="119"/>
        <v>14</v>
      </c>
      <c r="I439" s="89">
        <f t="shared" si="120"/>
        <v>8</v>
      </c>
      <c r="J439" s="90">
        <f t="shared" si="121"/>
        <v>8</v>
      </c>
      <c r="K439" s="91">
        <f t="shared" si="122"/>
        <v>8</v>
      </c>
      <c r="L439" s="76">
        <f t="shared" si="123"/>
        <v>24</v>
      </c>
      <c r="N439" s="79">
        <f t="shared" si="125"/>
        <v>52.36</v>
      </c>
      <c r="O439" s="80">
        <f t="shared" si="126"/>
        <v>42</v>
      </c>
      <c r="P439" s="81">
        <f t="shared" si="127"/>
        <v>0</v>
      </c>
      <c r="Q439" s="79">
        <f t="shared" si="128"/>
        <v>59.84</v>
      </c>
      <c r="R439" s="80">
        <f t="shared" si="129"/>
        <v>48</v>
      </c>
      <c r="S439" s="81">
        <f t="shared" si="130"/>
        <v>68</v>
      </c>
      <c r="T439" s="92">
        <f t="shared" si="131"/>
        <v>270.2</v>
      </c>
      <c r="U439" s="93">
        <f t="shared" si="124"/>
        <v>216.16</v>
      </c>
    </row>
    <row r="440" spans="1:21" x14ac:dyDescent="0.25">
      <c r="A440" s="71">
        <f t="shared" si="116"/>
        <v>2023</v>
      </c>
      <c r="B440" s="72" t="str">
        <f t="shared" si="114"/>
        <v>DEZEMBRO</v>
      </c>
      <c r="C440" s="73" t="str">
        <f t="shared" si="115"/>
        <v>QUINTA</v>
      </c>
      <c r="D440" s="74">
        <v>45288</v>
      </c>
      <c r="E440" s="89">
        <f t="shared" si="117"/>
        <v>7</v>
      </c>
      <c r="F440" s="90">
        <f t="shared" si="118"/>
        <v>7</v>
      </c>
      <c r="G440" s="91"/>
      <c r="H440" s="76">
        <f t="shared" si="119"/>
        <v>14</v>
      </c>
      <c r="I440" s="89">
        <f t="shared" si="120"/>
        <v>8</v>
      </c>
      <c r="J440" s="90">
        <f t="shared" si="121"/>
        <v>8</v>
      </c>
      <c r="K440" s="91">
        <f t="shared" si="122"/>
        <v>8</v>
      </c>
      <c r="L440" s="76">
        <f t="shared" si="123"/>
        <v>24</v>
      </c>
      <c r="N440" s="79">
        <f t="shared" si="125"/>
        <v>52.36</v>
      </c>
      <c r="O440" s="80">
        <f t="shared" si="126"/>
        <v>42</v>
      </c>
      <c r="P440" s="81">
        <f t="shared" si="127"/>
        <v>0</v>
      </c>
      <c r="Q440" s="79">
        <f t="shared" si="128"/>
        <v>59.84</v>
      </c>
      <c r="R440" s="80">
        <f t="shared" si="129"/>
        <v>48</v>
      </c>
      <c r="S440" s="81">
        <f t="shared" si="130"/>
        <v>68</v>
      </c>
      <c r="T440" s="92">
        <f t="shared" si="131"/>
        <v>270.2</v>
      </c>
      <c r="U440" s="93">
        <f t="shared" si="124"/>
        <v>216.16</v>
      </c>
    </row>
    <row r="441" spans="1:21" x14ac:dyDescent="0.25">
      <c r="A441" s="71">
        <f t="shared" si="116"/>
        <v>2023</v>
      </c>
      <c r="B441" s="72" t="str">
        <f t="shared" si="114"/>
        <v>DEZEMBRO</v>
      </c>
      <c r="C441" s="73" t="str">
        <f t="shared" si="115"/>
        <v>SEXTA</v>
      </c>
      <c r="D441" s="74">
        <v>45289</v>
      </c>
      <c r="E441" s="89">
        <f t="shared" si="117"/>
        <v>7</v>
      </c>
      <c r="F441" s="90">
        <f t="shared" si="118"/>
        <v>7</v>
      </c>
      <c r="G441" s="91"/>
      <c r="H441" s="76">
        <f t="shared" si="119"/>
        <v>14</v>
      </c>
      <c r="I441" s="89">
        <f t="shared" si="120"/>
        <v>8</v>
      </c>
      <c r="J441" s="90">
        <f t="shared" si="121"/>
        <v>8</v>
      </c>
      <c r="K441" s="91">
        <f t="shared" si="122"/>
        <v>8</v>
      </c>
      <c r="L441" s="76">
        <f t="shared" si="123"/>
        <v>24</v>
      </c>
      <c r="N441" s="79">
        <f t="shared" si="125"/>
        <v>52.36</v>
      </c>
      <c r="O441" s="80">
        <f t="shared" si="126"/>
        <v>42</v>
      </c>
      <c r="P441" s="81">
        <f t="shared" si="127"/>
        <v>0</v>
      </c>
      <c r="Q441" s="79">
        <f t="shared" si="128"/>
        <v>59.84</v>
      </c>
      <c r="R441" s="80">
        <f t="shared" si="129"/>
        <v>48</v>
      </c>
      <c r="S441" s="81">
        <f t="shared" si="130"/>
        <v>68</v>
      </c>
      <c r="T441" s="92">
        <f t="shared" si="131"/>
        <v>270.2</v>
      </c>
      <c r="U441" s="93">
        <f t="shared" si="124"/>
        <v>216.16</v>
      </c>
    </row>
    <row r="442" spans="1:21" x14ac:dyDescent="0.25">
      <c r="A442" s="71">
        <f t="shared" si="116"/>
        <v>2023</v>
      </c>
      <c r="B442" s="72" t="str">
        <f t="shared" si="114"/>
        <v>DEZEMBRO</v>
      </c>
      <c r="C442" s="73" t="str">
        <f t="shared" si="115"/>
        <v>SÁBADO</v>
      </c>
      <c r="D442" s="74">
        <v>45290</v>
      </c>
      <c r="E442" s="89">
        <f t="shared" si="117"/>
        <v>0</v>
      </c>
      <c r="F442" s="90">
        <f t="shared" si="118"/>
        <v>7</v>
      </c>
      <c r="G442" s="91"/>
      <c r="H442" s="76">
        <f t="shared" si="119"/>
        <v>7</v>
      </c>
      <c r="I442" s="89">
        <f t="shared" si="120"/>
        <v>0</v>
      </c>
      <c r="J442" s="90">
        <f t="shared" si="121"/>
        <v>8</v>
      </c>
      <c r="K442" s="91">
        <f t="shared" si="122"/>
        <v>0</v>
      </c>
      <c r="L442" s="76">
        <f t="shared" si="123"/>
        <v>8</v>
      </c>
      <c r="N442" s="79">
        <f t="shared" si="125"/>
        <v>0</v>
      </c>
      <c r="O442" s="80">
        <f t="shared" si="126"/>
        <v>42</v>
      </c>
      <c r="P442" s="81">
        <f t="shared" si="127"/>
        <v>0</v>
      </c>
      <c r="Q442" s="79">
        <f t="shared" si="128"/>
        <v>0</v>
      </c>
      <c r="R442" s="80">
        <f t="shared" si="129"/>
        <v>48</v>
      </c>
      <c r="S442" s="81">
        <f t="shared" si="130"/>
        <v>0</v>
      </c>
      <c r="T442" s="92">
        <f t="shared" si="131"/>
        <v>90</v>
      </c>
      <c r="U442" s="93">
        <f t="shared" si="124"/>
        <v>72</v>
      </c>
    </row>
    <row r="443" spans="1:21" x14ac:dyDescent="0.25">
      <c r="A443" s="71">
        <f t="shared" si="116"/>
        <v>2023</v>
      </c>
      <c r="B443" s="72" t="str">
        <f t="shared" si="114"/>
        <v>DEZEMBRO</v>
      </c>
      <c r="C443" s="73" t="str">
        <f t="shared" si="115"/>
        <v>DOMINGO</v>
      </c>
      <c r="D443" s="74">
        <v>45291</v>
      </c>
      <c r="E443" s="89">
        <f t="shared" si="117"/>
        <v>0</v>
      </c>
      <c r="F443" s="90">
        <f t="shared" si="118"/>
        <v>0</v>
      </c>
      <c r="G443" s="91"/>
      <c r="H443" s="76">
        <f t="shared" si="119"/>
        <v>0</v>
      </c>
      <c r="I443" s="89">
        <f t="shared" si="120"/>
        <v>0</v>
      </c>
      <c r="J443" s="90">
        <f t="shared" si="121"/>
        <v>0</v>
      </c>
      <c r="K443" s="91">
        <f t="shared" si="122"/>
        <v>0</v>
      </c>
      <c r="L443" s="76">
        <f t="shared" si="123"/>
        <v>0</v>
      </c>
      <c r="N443" s="79">
        <f t="shared" si="125"/>
        <v>0</v>
      </c>
      <c r="O443" s="80">
        <f t="shared" si="126"/>
        <v>0</v>
      </c>
      <c r="P443" s="81">
        <f t="shared" si="127"/>
        <v>0</v>
      </c>
      <c r="Q443" s="79">
        <f t="shared" si="128"/>
        <v>0</v>
      </c>
      <c r="R443" s="80">
        <f t="shared" si="129"/>
        <v>0</v>
      </c>
      <c r="S443" s="81">
        <f t="shared" si="130"/>
        <v>0</v>
      </c>
      <c r="T443" s="92">
        <f t="shared" si="131"/>
        <v>0</v>
      </c>
      <c r="U443" s="93">
        <f t="shared" si="124"/>
        <v>0</v>
      </c>
    </row>
    <row r="444" spans="1:21" x14ac:dyDescent="0.25">
      <c r="A444" s="71">
        <f t="shared" si="116"/>
        <v>2024</v>
      </c>
      <c r="B444" s="72" t="str">
        <f t="shared" si="114"/>
        <v>JANEIRO</v>
      </c>
      <c r="C444" s="73" t="str">
        <f t="shared" si="115"/>
        <v>SEGUNDA</v>
      </c>
      <c r="D444" s="74">
        <v>45292</v>
      </c>
      <c r="E444" s="89">
        <f t="shared" si="117"/>
        <v>7</v>
      </c>
      <c r="F444" s="90">
        <f t="shared" si="118"/>
        <v>7</v>
      </c>
      <c r="G444" s="91"/>
      <c r="H444" s="76">
        <f t="shared" si="119"/>
        <v>14</v>
      </c>
      <c r="I444" s="89">
        <f t="shared" si="120"/>
        <v>8</v>
      </c>
      <c r="J444" s="90">
        <f t="shared" si="121"/>
        <v>8</v>
      </c>
      <c r="K444" s="91">
        <f t="shared" si="122"/>
        <v>8</v>
      </c>
      <c r="L444" s="76">
        <f t="shared" si="123"/>
        <v>24</v>
      </c>
      <c r="N444" s="79">
        <f t="shared" si="125"/>
        <v>52.36</v>
      </c>
      <c r="O444" s="80">
        <f t="shared" si="126"/>
        <v>42</v>
      </c>
      <c r="P444" s="81">
        <f t="shared" si="127"/>
        <v>0</v>
      </c>
      <c r="Q444" s="79">
        <f t="shared" si="128"/>
        <v>59.84</v>
      </c>
      <c r="R444" s="80">
        <f t="shared" si="129"/>
        <v>48</v>
      </c>
      <c r="S444" s="81">
        <f t="shared" si="130"/>
        <v>68</v>
      </c>
      <c r="T444" s="92">
        <f t="shared" si="131"/>
        <v>270.2</v>
      </c>
      <c r="U444" s="93">
        <f t="shared" si="124"/>
        <v>216.16</v>
      </c>
    </row>
    <row r="445" spans="1:21" x14ac:dyDescent="0.25">
      <c r="A445" s="71">
        <f t="shared" si="116"/>
        <v>2024</v>
      </c>
      <c r="B445" s="72" t="str">
        <f t="shared" si="114"/>
        <v>JANEIRO</v>
      </c>
      <c r="C445" s="73" t="str">
        <f t="shared" si="115"/>
        <v>TERÇA</v>
      </c>
      <c r="D445" s="74">
        <v>45293</v>
      </c>
      <c r="E445" s="89">
        <f t="shared" si="117"/>
        <v>7</v>
      </c>
      <c r="F445" s="90">
        <f t="shared" si="118"/>
        <v>7</v>
      </c>
      <c r="G445" s="91"/>
      <c r="H445" s="76">
        <f t="shared" si="119"/>
        <v>14</v>
      </c>
      <c r="I445" s="89">
        <f t="shared" si="120"/>
        <v>8</v>
      </c>
      <c r="J445" s="90">
        <f t="shared" si="121"/>
        <v>8</v>
      </c>
      <c r="K445" s="91">
        <f t="shared" si="122"/>
        <v>8</v>
      </c>
      <c r="L445" s="76">
        <f t="shared" si="123"/>
        <v>24</v>
      </c>
      <c r="N445" s="79">
        <f t="shared" si="125"/>
        <v>52.36</v>
      </c>
      <c r="O445" s="80">
        <f t="shared" si="126"/>
        <v>42</v>
      </c>
      <c r="P445" s="81">
        <f t="shared" si="127"/>
        <v>0</v>
      </c>
      <c r="Q445" s="79">
        <f t="shared" si="128"/>
        <v>59.84</v>
      </c>
      <c r="R445" s="80">
        <f t="shared" si="129"/>
        <v>48</v>
      </c>
      <c r="S445" s="81">
        <f t="shared" si="130"/>
        <v>68</v>
      </c>
      <c r="T445" s="92">
        <f t="shared" si="131"/>
        <v>270.2</v>
      </c>
      <c r="U445" s="93">
        <f t="shared" si="124"/>
        <v>216.16</v>
      </c>
    </row>
    <row r="446" spans="1:21" x14ac:dyDescent="0.25">
      <c r="A446" s="71">
        <f t="shared" si="116"/>
        <v>2024</v>
      </c>
      <c r="B446" s="72" t="str">
        <f t="shared" si="114"/>
        <v>JANEIRO</v>
      </c>
      <c r="C446" s="73" t="str">
        <f t="shared" si="115"/>
        <v>QUARTA</v>
      </c>
      <c r="D446" s="74">
        <v>45294</v>
      </c>
      <c r="E446" s="89">
        <f t="shared" si="117"/>
        <v>7</v>
      </c>
      <c r="F446" s="90">
        <f t="shared" si="118"/>
        <v>7</v>
      </c>
      <c r="G446" s="91"/>
      <c r="H446" s="76">
        <f t="shared" si="119"/>
        <v>14</v>
      </c>
      <c r="I446" s="89">
        <f t="shared" si="120"/>
        <v>8</v>
      </c>
      <c r="J446" s="90">
        <f t="shared" si="121"/>
        <v>8</v>
      </c>
      <c r="K446" s="91">
        <f t="shared" si="122"/>
        <v>8</v>
      </c>
      <c r="L446" s="76">
        <f t="shared" si="123"/>
        <v>24</v>
      </c>
      <c r="N446" s="79">
        <f t="shared" si="125"/>
        <v>52.36</v>
      </c>
      <c r="O446" s="80">
        <f t="shared" si="126"/>
        <v>42</v>
      </c>
      <c r="P446" s="81">
        <f t="shared" si="127"/>
        <v>0</v>
      </c>
      <c r="Q446" s="79">
        <f t="shared" si="128"/>
        <v>59.84</v>
      </c>
      <c r="R446" s="80">
        <f t="shared" si="129"/>
        <v>48</v>
      </c>
      <c r="S446" s="81">
        <f t="shared" si="130"/>
        <v>68</v>
      </c>
      <c r="T446" s="92">
        <f t="shared" si="131"/>
        <v>270.2</v>
      </c>
      <c r="U446" s="93">
        <f t="shared" si="124"/>
        <v>216.16</v>
      </c>
    </row>
    <row r="447" spans="1:21" x14ac:dyDescent="0.25">
      <c r="A447" s="71">
        <f t="shared" si="116"/>
        <v>2024</v>
      </c>
      <c r="B447" s="72" t="str">
        <f t="shared" ref="B447:B510" si="132">VLOOKUP(MONTH(D447),$AG$2:$AH$14,2,0)</f>
        <v>JANEIRO</v>
      </c>
      <c r="C447" s="73" t="str">
        <f t="shared" si="115"/>
        <v>QUINTA</v>
      </c>
      <c r="D447" s="74">
        <v>45295</v>
      </c>
      <c r="E447" s="89">
        <f t="shared" si="117"/>
        <v>7</v>
      </c>
      <c r="F447" s="90">
        <f t="shared" si="118"/>
        <v>7</v>
      </c>
      <c r="G447" s="91"/>
      <c r="H447" s="76">
        <f t="shared" si="119"/>
        <v>14</v>
      </c>
      <c r="I447" s="89">
        <f t="shared" si="120"/>
        <v>8</v>
      </c>
      <c r="J447" s="90">
        <f t="shared" si="121"/>
        <v>8</v>
      </c>
      <c r="K447" s="91">
        <f t="shared" si="122"/>
        <v>8</v>
      </c>
      <c r="L447" s="76">
        <f t="shared" si="123"/>
        <v>24</v>
      </c>
      <c r="N447" s="79">
        <f t="shared" si="125"/>
        <v>52.36</v>
      </c>
      <c r="O447" s="80">
        <f t="shared" si="126"/>
        <v>42</v>
      </c>
      <c r="P447" s="81">
        <f t="shared" si="127"/>
        <v>0</v>
      </c>
      <c r="Q447" s="79">
        <f t="shared" si="128"/>
        <v>59.84</v>
      </c>
      <c r="R447" s="80">
        <f t="shared" si="129"/>
        <v>48</v>
      </c>
      <c r="S447" s="81">
        <f t="shared" si="130"/>
        <v>68</v>
      </c>
      <c r="T447" s="92">
        <f t="shared" si="131"/>
        <v>270.2</v>
      </c>
      <c r="U447" s="93">
        <f t="shared" si="124"/>
        <v>216.16</v>
      </c>
    </row>
    <row r="448" spans="1:21" x14ac:dyDescent="0.25">
      <c r="A448" s="71">
        <f t="shared" si="116"/>
        <v>2024</v>
      </c>
      <c r="B448" s="72" t="str">
        <f t="shared" si="132"/>
        <v>JANEIRO</v>
      </c>
      <c r="C448" s="73" t="str">
        <f t="shared" si="115"/>
        <v>SEXTA</v>
      </c>
      <c r="D448" s="74">
        <v>45296</v>
      </c>
      <c r="E448" s="89">
        <f t="shared" si="117"/>
        <v>7</v>
      </c>
      <c r="F448" s="90">
        <f t="shared" si="118"/>
        <v>7</v>
      </c>
      <c r="G448" s="91"/>
      <c r="H448" s="76">
        <f t="shared" si="119"/>
        <v>14</v>
      </c>
      <c r="I448" s="89">
        <f t="shared" si="120"/>
        <v>8</v>
      </c>
      <c r="J448" s="90">
        <f t="shared" si="121"/>
        <v>8</v>
      </c>
      <c r="K448" s="91">
        <f t="shared" si="122"/>
        <v>8</v>
      </c>
      <c r="L448" s="76">
        <f t="shared" si="123"/>
        <v>24</v>
      </c>
      <c r="N448" s="79">
        <f t="shared" si="125"/>
        <v>52.36</v>
      </c>
      <c r="O448" s="80">
        <f t="shared" si="126"/>
        <v>42</v>
      </c>
      <c r="P448" s="81">
        <f t="shared" si="127"/>
        <v>0</v>
      </c>
      <c r="Q448" s="79">
        <f t="shared" si="128"/>
        <v>59.84</v>
      </c>
      <c r="R448" s="80">
        <f t="shared" si="129"/>
        <v>48</v>
      </c>
      <c r="S448" s="81">
        <f t="shared" si="130"/>
        <v>68</v>
      </c>
      <c r="T448" s="92">
        <f t="shared" si="131"/>
        <v>270.2</v>
      </c>
      <c r="U448" s="93">
        <f t="shared" si="124"/>
        <v>216.16</v>
      </c>
    </row>
    <row r="449" spans="1:21" x14ac:dyDescent="0.25">
      <c r="A449" s="71">
        <f t="shared" si="116"/>
        <v>2024</v>
      </c>
      <c r="B449" s="72" t="str">
        <f t="shared" si="132"/>
        <v>JANEIRO</v>
      </c>
      <c r="C449" s="73" t="str">
        <f t="shared" si="115"/>
        <v>SÁBADO</v>
      </c>
      <c r="D449" s="74">
        <v>45297</v>
      </c>
      <c r="E449" s="89">
        <f t="shared" si="117"/>
        <v>0</v>
      </c>
      <c r="F449" s="90">
        <f t="shared" si="118"/>
        <v>7</v>
      </c>
      <c r="G449" s="91"/>
      <c r="H449" s="76">
        <f t="shared" si="119"/>
        <v>7</v>
      </c>
      <c r="I449" s="89">
        <f t="shared" si="120"/>
        <v>0</v>
      </c>
      <c r="J449" s="90">
        <f t="shared" si="121"/>
        <v>8</v>
      </c>
      <c r="K449" s="91">
        <f t="shared" si="122"/>
        <v>0</v>
      </c>
      <c r="L449" s="76">
        <f t="shared" si="123"/>
        <v>8</v>
      </c>
      <c r="N449" s="79">
        <f t="shared" si="125"/>
        <v>0</v>
      </c>
      <c r="O449" s="80">
        <f t="shared" si="126"/>
        <v>42</v>
      </c>
      <c r="P449" s="81">
        <f t="shared" si="127"/>
        <v>0</v>
      </c>
      <c r="Q449" s="79">
        <f t="shared" si="128"/>
        <v>0</v>
      </c>
      <c r="R449" s="80">
        <f t="shared" si="129"/>
        <v>48</v>
      </c>
      <c r="S449" s="81">
        <f t="shared" si="130"/>
        <v>0</v>
      </c>
      <c r="T449" s="92">
        <f t="shared" si="131"/>
        <v>90</v>
      </c>
      <c r="U449" s="93">
        <f t="shared" si="124"/>
        <v>72</v>
      </c>
    </row>
    <row r="450" spans="1:21" x14ac:dyDescent="0.25">
      <c r="A450" s="71">
        <f t="shared" si="116"/>
        <v>2024</v>
      </c>
      <c r="B450" s="72" t="str">
        <f t="shared" si="132"/>
        <v>JANEIRO</v>
      </c>
      <c r="C450" s="73" t="str">
        <f t="shared" si="115"/>
        <v>DOMINGO</v>
      </c>
      <c r="D450" s="74">
        <v>45298</v>
      </c>
      <c r="E450" s="89">
        <f t="shared" si="117"/>
        <v>0</v>
      </c>
      <c r="F450" s="90">
        <f t="shared" si="118"/>
        <v>0</v>
      </c>
      <c r="G450" s="91"/>
      <c r="H450" s="76">
        <f t="shared" si="119"/>
        <v>0</v>
      </c>
      <c r="I450" s="89">
        <f t="shared" si="120"/>
        <v>0</v>
      </c>
      <c r="J450" s="90">
        <f t="shared" si="121"/>
        <v>0</v>
      </c>
      <c r="K450" s="91">
        <f t="shared" si="122"/>
        <v>0</v>
      </c>
      <c r="L450" s="76">
        <f t="shared" si="123"/>
        <v>0</v>
      </c>
      <c r="N450" s="79">
        <f t="shared" si="125"/>
        <v>0</v>
      </c>
      <c r="O450" s="80">
        <f t="shared" si="126"/>
        <v>0</v>
      </c>
      <c r="P450" s="81">
        <f t="shared" si="127"/>
        <v>0</v>
      </c>
      <c r="Q450" s="79">
        <f t="shared" si="128"/>
        <v>0</v>
      </c>
      <c r="R450" s="80">
        <f t="shared" si="129"/>
        <v>0</v>
      </c>
      <c r="S450" s="81">
        <f t="shared" si="130"/>
        <v>0</v>
      </c>
      <c r="T450" s="92">
        <f t="shared" si="131"/>
        <v>0</v>
      </c>
      <c r="U450" s="93">
        <f t="shared" si="124"/>
        <v>0</v>
      </c>
    </row>
    <row r="451" spans="1:21" x14ac:dyDescent="0.25">
      <c r="A451" s="71">
        <f t="shared" si="116"/>
        <v>2024</v>
      </c>
      <c r="B451" s="72" t="str">
        <f t="shared" si="132"/>
        <v>JANEIRO</v>
      </c>
      <c r="C451" s="73" t="str">
        <f t="shared" si="115"/>
        <v>SEGUNDA</v>
      </c>
      <c r="D451" s="74">
        <v>45299</v>
      </c>
      <c r="E451" s="89">
        <f t="shared" si="117"/>
        <v>7</v>
      </c>
      <c r="F451" s="90">
        <f t="shared" si="118"/>
        <v>7</v>
      </c>
      <c r="G451" s="91"/>
      <c r="H451" s="76">
        <f t="shared" si="119"/>
        <v>14</v>
      </c>
      <c r="I451" s="89">
        <f t="shared" si="120"/>
        <v>8</v>
      </c>
      <c r="J451" s="90">
        <f t="shared" si="121"/>
        <v>8</v>
      </c>
      <c r="K451" s="91">
        <f t="shared" si="122"/>
        <v>8</v>
      </c>
      <c r="L451" s="76">
        <f t="shared" si="123"/>
        <v>24</v>
      </c>
      <c r="N451" s="79">
        <f t="shared" si="125"/>
        <v>52.36</v>
      </c>
      <c r="O451" s="80">
        <f t="shared" si="126"/>
        <v>42</v>
      </c>
      <c r="P451" s="81">
        <f t="shared" si="127"/>
        <v>0</v>
      </c>
      <c r="Q451" s="79">
        <f t="shared" si="128"/>
        <v>59.84</v>
      </c>
      <c r="R451" s="80">
        <f t="shared" si="129"/>
        <v>48</v>
      </c>
      <c r="S451" s="81">
        <f t="shared" si="130"/>
        <v>68</v>
      </c>
      <c r="T451" s="92">
        <f t="shared" si="131"/>
        <v>270.2</v>
      </c>
      <c r="U451" s="93">
        <f t="shared" si="124"/>
        <v>216.16</v>
      </c>
    </row>
    <row r="452" spans="1:21" x14ac:dyDescent="0.25">
      <c r="A452" s="71">
        <f t="shared" si="116"/>
        <v>2024</v>
      </c>
      <c r="B452" s="72" t="str">
        <f t="shared" si="132"/>
        <v>JANEIRO</v>
      </c>
      <c r="C452" s="73" t="str">
        <f t="shared" si="115"/>
        <v>TERÇA</v>
      </c>
      <c r="D452" s="74">
        <v>45300</v>
      </c>
      <c r="E452" s="89">
        <f t="shared" si="117"/>
        <v>7</v>
      </c>
      <c r="F452" s="90">
        <f t="shared" si="118"/>
        <v>7</v>
      </c>
      <c r="G452" s="91"/>
      <c r="H452" s="76">
        <f t="shared" si="119"/>
        <v>14</v>
      </c>
      <c r="I452" s="89">
        <f t="shared" si="120"/>
        <v>8</v>
      </c>
      <c r="J452" s="90">
        <f t="shared" si="121"/>
        <v>8</v>
      </c>
      <c r="K452" s="91">
        <f t="shared" si="122"/>
        <v>8</v>
      </c>
      <c r="L452" s="76">
        <f t="shared" si="123"/>
        <v>24</v>
      </c>
      <c r="N452" s="79">
        <f t="shared" si="125"/>
        <v>52.36</v>
      </c>
      <c r="O452" s="80">
        <f t="shared" si="126"/>
        <v>42</v>
      </c>
      <c r="P452" s="81">
        <f t="shared" si="127"/>
        <v>0</v>
      </c>
      <c r="Q452" s="79">
        <f t="shared" si="128"/>
        <v>59.84</v>
      </c>
      <c r="R452" s="80">
        <f t="shared" si="129"/>
        <v>48</v>
      </c>
      <c r="S452" s="81">
        <f t="shared" si="130"/>
        <v>68</v>
      </c>
      <c r="T452" s="92">
        <f t="shared" si="131"/>
        <v>270.2</v>
      </c>
      <c r="U452" s="93">
        <f t="shared" si="124"/>
        <v>216.16</v>
      </c>
    </row>
    <row r="453" spans="1:21" x14ac:dyDescent="0.25">
      <c r="A453" s="71">
        <f t="shared" si="116"/>
        <v>2024</v>
      </c>
      <c r="B453" s="72" t="str">
        <f t="shared" si="132"/>
        <v>JANEIRO</v>
      </c>
      <c r="C453" s="73" t="str">
        <f t="shared" ref="C453:C516" si="133">VLOOKUP(WEEKDAY(D453),$AE$2:$AF$9,2,0)</f>
        <v>QUARTA</v>
      </c>
      <c r="D453" s="74">
        <v>45301</v>
      </c>
      <c r="E453" s="89">
        <f t="shared" si="117"/>
        <v>7</v>
      </c>
      <c r="F453" s="90">
        <f t="shared" si="118"/>
        <v>7</v>
      </c>
      <c r="G453" s="91"/>
      <c r="H453" s="76">
        <f t="shared" si="119"/>
        <v>14</v>
      </c>
      <c r="I453" s="89">
        <f t="shared" si="120"/>
        <v>8</v>
      </c>
      <c r="J453" s="90">
        <f t="shared" si="121"/>
        <v>8</v>
      </c>
      <c r="K453" s="91">
        <f t="shared" si="122"/>
        <v>8</v>
      </c>
      <c r="L453" s="76">
        <f t="shared" si="123"/>
        <v>24</v>
      </c>
      <c r="N453" s="79">
        <f t="shared" si="125"/>
        <v>52.36</v>
      </c>
      <c r="O453" s="80">
        <f t="shared" si="126"/>
        <v>42</v>
      </c>
      <c r="P453" s="81">
        <f t="shared" si="127"/>
        <v>0</v>
      </c>
      <c r="Q453" s="79">
        <f t="shared" si="128"/>
        <v>59.84</v>
      </c>
      <c r="R453" s="80">
        <f t="shared" si="129"/>
        <v>48</v>
      </c>
      <c r="S453" s="81">
        <f t="shared" si="130"/>
        <v>68</v>
      </c>
      <c r="T453" s="92">
        <f t="shared" si="131"/>
        <v>270.2</v>
      </c>
      <c r="U453" s="93">
        <f t="shared" si="124"/>
        <v>216.16</v>
      </c>
    </row>
    <row r="454" spans="1:21" x14ac:dyDescent="0.25">
      <c r="A454" s="71">
        <f t="shared" ref="A454:A517" si="134">YEAR(D454)</f>
        <v>2024</v>
      </c>
      <c r="B454" s="72" t="str">
        <f t="shared" si="132"/>
        <v>JANEIRO</v>
      </c>
      <c r="C454" s="73" t="str">
        <f t="shared" si="133"/>
        <v>QUINTA</v>
      </c>
      <c r="D454" s="74">
        <v>45302</v>
      </c>
      <c r="E454" s="89">
        <f t="shared" ref="E454:E517" si="135">IF(WEEKDAY($D454)&lt;2,0,IF(WEEKDAY($D454)&gt;6,0,7))</f>
        <v>7</v>
      </c>
      <c r="F454" s="90">
        <f t="shared" ref="F454:F517" si="136">IF(WEEKDAY($D454)&lt;2,0,IF(WEEKDAY($D454)&gt;7,0,7))</f>
        <v>7</v>
      </c>
      <c r="G454" s="91"/>
      <c r="H454" s="76">
        <f t="shared" ref="H454:H517" si="137">SUM(E454:G454)</f>
        <v>14</v>
      </c>
      <c r="I454" s="89">
        <f t="shared" si="120"/>
        <v>8</v>
      </c>
      <c r="J454" s="90">
        <f t="shared" si="121"/>
        <v>8</v>
      </c>
      <c r="K454" s="91">
        <f t="shared" si="122"/>
        <v>8</v>
      </c>
      <c r="L454" s="76">
        <f t="shared" si="123"/>
        <v>24</v>
      </c>
      <c r="N454" s="79">
        <f t="shared" si="125"/>
        <v>52.36</v>
      </c>
      <c r="O454" s="80">
        <f t="shared" si="126"/>
        <v>42</v>
      </c>
      <c r="P454" s="81">
        <f t="shared" si="127"/>
        <v>0</v>
      </c>
      <c r="Q454" s="79">
        <f t="shared" si="128"/>
        <v>59.84</v>
      </c>
      <c r="R454" s="80">
        <f t="shared" si="129"/>
        <v>48</v>
      </c>
      <c r="S454" s="81">
        <f t="shared" si="130"/>
        <v>68</v>
      </c>
      <c r="T454" s="92">
        <f t="shared" si="131"/>
        <v>270.2</v>
      </c>
      <c r="U454" s="93">
        <f t="shared" si="124"/>
        <v>216.16</v>
      </c>
    </row>
    <row r="455" spans="1:21" x14ac:dyDescent="0.25">
      <c r="A455" s="71">
        <f t="shared" si="134"/>
        <v>2024</v>
      </c>
      <c r="B455" s="72" t="str">
        <f t="shared" si="132"/>
        <v>JANEIRO</v>
      </c>
      <c r="C455" s="73" t="str">
        <f t="shared" si="133"/>
        <v>SEXTA</v>
      </c>
      <c r="D455" s="74">
        <v>45303</v>
      </c>
      <c r="E455" s="89">
        <f t="shared" si="135"/>
        <v>7</v>
      </c>
      <c r="F455" s="90">
        <f t="shared" si="136"/>
        <v>7</v>
      </c>
      <c r="G455" s="91"/>
      <c r="H455" s="76">
        <f t="shared" si="137"/>
        <v>14</v>
      </c>
      <c r="I455" s="89">
        <f t="shared" ref="I455:I518" si="138">IF(WEEKDAY($D455)&lt;2,0,IF(WEEKDAY($D455)&gt;6,0,8))</f>
        <v>8</v>
      </c>
      <c r="J455" s="90">
        <f t="shared" ref="J455:J518" si="139">IF(WEEKDAY($D455)&lt;2,0,IF(WEEKDAY($D455)&gt;7,0,8))</f>
        <v>8</v>
      </c>
      <c r="K455" s="91">
        <f t="shared" ref="K455:K518" si="140">IF(WEEKDAY($D455)&lt;2,0,IF(WEEKDAY($D455)&gt;6,0,8))</f>
        <v>8</v>
      </c>
      <c r="L455" s="76">
        <f t="shared" ref="L455:L518" si="141">SUM(I455:K455)</f>
        <v>24</v>
      </c>
      <c r="N455" s="79">
        <f t="shared" si="125"/>
        <v>52.36</v>
      </c>
      <c r="O455" s="80">
        <f t="shared" si="126"/>
        <v>42</v>
      </c>
      <c r="P455" s="81">
        <f t="shared" si="127"/>
        <v>0</v>
      </c>
      <c r="Q455" s="79">
        <f t="shared" si="128"/>
        <v>59.84</v>
      </c>
      <c r="R455" s="80">
        <f t="shared" si="129"/>
        <v>48</v>
      </c>
      <c r="S455" s="81">
        <f t="shared" si="130"/>
        <v>68</v>
      </c>
      <c r="T455" s="92">
        <f t="shared" si="131"/>
        <v>270.2</v>
      </c>
      <c r="U455" s="93">
        <f t="shared" ref="U455:U518" si="142">T455*0.8</f>
        <v>216.16</v>
      </c>
    </row>
    <row r="456" spans="1:21" x14ac:dyDescent="0.25">
      <c r="A456" s="71">
        <f t="shared" si="134"/>
        <v>2024</v>
      </c>
      <c r="B456" s="72" t="str">
        <f t="shared" si="132"/>
        <v>JANEIRO</v>
      </c>
      <c r="C456" s="73" t="str">
        <f t="shared" si="133"/>
        <v>SÁBADO</v>
      </c>
      <c r="D456" s="74">
        <v>45304</v>
      </c>
      <c r="E456" s="89">
        <f t="shared" si="135"/>
        <v>0</v>
      </c>
      <c r="F456" s="90">
        <f t="shared" si="136"/>
        <v>7</v>
      </c>
      <c r="G456" s="91"/>
      <c r="H456" s="76">
        <f t="shared" si="137"/>
        <v>7</v>
      </c>
      <c r="I456" s="89">
        <f t="shared" si="138"/>
        <v>0</v>
      </c>
      <c r="J456" s="90">
        <f t="shared" si="139"/>
        <v>8</v>
      </c>
      <c r="K456" s="91">
        <f t="shared" si="140"/>
        <v>0</v>
      </c>
      <c r="L456" s="76">
        <f t="shared" si="141"/>
        <v>8</v>
      </c>
      <c r="N456" s="79">
        <f t="shared" si="125"/>
        <v>0</v>
      </c>
      <c r="O456" s="80">
        <f t="shared" si="126"/>
        <v>42</v>
      </c>
      <c r="P456" s="81">
        <f t="shared" si="127"/>
        <v>0</v>
      </c>
      <c r="Q456" s="79">
        <f t="shared" si="128"/>
        <v>0</v>
      </c>
      <c r="R456" s="80">
        <f t="shared" si="129"/>
        <v>48</v>
      </c>
      <c r="S456" s="81">
        <f t="shared" si="130"/>
        <v>0</v>
      </c>
      <c r="T456" s="92">
        <f t="shared" si="131"/>
        <v>90</v>
      </c>
      <c r="U456" s="93">
        <f t="shared" si="142"/>
        <v>72</v>
      </c>
    </row>
    <row r="457" spans="1:21" x14ac:dyDescent="0.25">
      <c r="A457" s="71">
        <f t="shared" si="134"/>
        <v>2024</v>
      </c>
      <c r="B457" s="72" t="str">
        <f t="shared" si="132"/>
        <v>JANEIRO</v>
      </c>
      <c r="C457" s="73" t="str">
        <f t="shared" si="133"/>
        <v>DOMINGO</v>
      </c>
      <c r="D457" s="74">
        <v>45305</v>
      </c>
      <c r="E457" s="89">
        <f t="shared" si="135"/>
        <v>0</v>
      </c>
      <c r="F457" s="90">
        <f t="shared" si="136"/>
        <v>0</v>
      </c>
      <c r="G457" s="91"/>
      <c r="H457" s="76">
        <f t="shared" si="137"/>
        <v>0</v>
      </c>
      <c r="I457" s="89">
        <f t="shared" si="138"/>
        <v>0</v>
      </c>
      <c r="J457" s="90">
        <f t="shared" si="139"/>
        <v>0</v>
      </c>
      <c r="K457" s="91">
        <f t="shared" si="140"/>
        <v>0</v>
      </c>
      <c r="L457" s="76">
        <f t="shared" si="141"/>
        <v>0</v>
      </c>
      <c r="N457" s="79">
        <f t="shared" si="125"/>
        <v>0</v>
      </c>
      <c r="O457" s="80">
        <f t="shared" si="126"/>
        <v>0</v>
      </c>
      <c r="P457" s="81">
        <f t="shared" si="127"/>
        <v>0</v>
      </c>
      <c r="Q457" s="79">
        <f t="shared" si="128"/>
        <v>0</v>
      </c>
      <c r="R457" s="80">
        <f t="shared" si="129"/>
        <v>0</v>
      </c>
      <c r="S457" s="81">
        <f t="shared" si="130"/>
        <v>0</v>
      </c>
      <c r="T457" s="92">
        <f t="shared" si="131"/>
        <v>0</v>
      </c>
      <c r="U457" s="93">
        <f t="shared" si="142"/>
        <v>0</v>
      </c>
    </row>
    <row r="458" spans="1:21" x14ac:dyDescent="0.25">
      <c r="A458" s="71">
        <f t="shared" si="134"/>
        <v>2024</v>
      </c>
      <c r="B458" s="72" t="str">
        <f t="shared" si="132"/>
        <v>JANEIRO</v>
      </c>
      <c r="C458" s="73" t="str">
        <f t="shared" si="133"/>
        <v>SEGUNDA</v>
      </c>
      <c r="D458" s="74">
        <v>45306</v>
      </c>
      <c r="E458" s="89">
        <f t="shared" si="135"/>
        <v>7</v>
      </c>
      <c r="F458" s="90">
        <f t="shared" si="136"/>
        <v>7</v>
      </c>
      <c r="G458" s="91"/>
      <c r="H458" s="76">
        <f t="shared" si="137"/>
        <v>14</v>
      </c>
      <c r="I458" s="89">
        <f t="shared" si="138"/>
        <v>8</v>
      </c>
      <c r="J458" s="90">
        <f t="shared" si="139"/>
        <v>8</v>
      </c>
      <c r="K458" s="91">
        <f t="shared" si="140"/>
        <v>8</v>
      </c>
      <c r="L458" s="76">
        <f t="shared" si="141"/>
        <v>24</v>
      </c>
      <c r="N458" s="79">
        <f t="shared" si="125"/>
        <v>52.36</v>
      </c>
      <c r="O458" s="80">
        <f t="shared" si="126"/>
        <v>42</v>
      </c>
      <c r="P458" s="81">
        <f t="shared" si="127"/>
        <v>0</v>
      </c>
      <c r="Q458" s="79">
        <f t="shared" si="128"/>
        <v>59.84</v>
      </c>
      <c r="R458" s="80">
        <f t="shared" si="129"/>
        <v>48</v>
      </c>
      <c r="S458" s="81">
        <f t="shared" si="130"/>
        <v>68</v>
      </c>
      <c r="T458" s="92">
        <f t="shared" si="131"/>
        <v>270.2</v>
      </c>
      <c r="U458" s="93">
        <f t="shared" si="142"/>
        <v>216.16</v>
      </c>
    </row>
    <row r="459" spans="1:21" x14ac:dyDescent="0.25">
      <c r="A459" s="71">
        <f t="shared" si="134"/>
        <v>2024</v>
      </c>
      <c r="B459" s="72" t="str">
        <f t="shared" si="132"/>
        <v>JANEIRO</v>
      </c>
      <c r="C459" s="73" t="str">
        <f t="shared" si="133"/>
        <v>TERÇA</v>
      </c>
      <c r="D459" s="74">
        <v>45307</v>
      </c>
      <c r="E459" s="89">
        <f t="shared" si="135"/>
        <v>7</v>
      </c>
      <c r="F459" s="90">
        <f t="shared" si="136"/>
        <v>7</v>
      </c>
      <c r="G459" s="91"/>
      <c r="H459" s="76">
        <f t="shared" si="137"/>
        <v>14</v>
      </c>
      <c r="I459" s="89">
        <f t="shared" si="138"/>
        <v>8</v>
      </c>
      <c r="J459" s="90">
        <f t="shared" si="139"/>
        <v>8</v>
      </c>
      <c r="K459" s="91">
        <f t="shared" si="140"/>
        <v>8</v>
      </c>
      <c r="L459" s="76">
        <f t="shared" si="141"/>
        <v>24</v>
      </c>
      <c r="N459" s="79">
        <f t="shared" si="125"/>
        <v>52.36</v>
      </c>
      <c r="O459" s="80">
        <f t="shared" si="126"/>
        <v>42</v>
      </c>
      <c r="P459" s="81">
        <f t="shared" si="127"/>
        <v>0</v>
      </c>
      <c r="Q459" s="79">
        <f t="shared" si="128"/>
        <v>59.84</v>
      </c>
      <c r="R459" s="80">
        <f t="shared" si="129"/>
        <v>48</v>
      </c>
      <c r="S459" s="81">
        <f t="shared" si="130"/>
        <v>68</v>
      </c>
      <c r="T459" s="92">
        <f t="shared" si="131"/>
        <v>270.2</v>
      </c>
      <c r="U459" s="93">
        <f t="shared" si="142"/>
        <v>216.16</v>
      </c>
    </row>
    <row r="460" spans="1:21" x14ac:dyDescent="0.25">
      <c r="A460" s="71">
        <f t="shared" si="134"/>
        <v>2024</v>
      </c>
      <c r="B460" s="72" t="str">
        <f t="shared" si="132"/>
        <v>JANEIRO</v>
      </c>
      <c r="C460" s="73" t="str">
        <f t="shared" si="133"/>
        <v>QUARTA</v>
      </c>
      <c r="D460" s="74">
        <v>45308</v>
      </c>
      <c r="E460" s="89">
        <f t="shared" si="135"/>
        <v>7</v>
      </c>
      <c r="F460" s="90">
        <f t="shared" si="136"/>
        <v>7</v>
      </c>
      <c r="G460" s="91"/>
      <c r="H460" s="76">
        <f t="shared" si="137"/>
        <v>14</v>
      </c>
      <c r="I460" s="89">
        <f t="shared" si="138"/>
        <v>8</v>
      </c>
      <c r="J460" s="90">
        <f t="shared" si="139"/>
        <v>8</v>
      </c>
      <c r="K460" s="91">
        <f t="shared" si="140"/>
        <v>8</v>
      </c>
      <c r="L460" s="76">
        <f t="shared" si="141"/>
        <v>24</v>
      </c>
      <c r="N460" s="79">
        <f t="shared" si="125"/>
        <v>52.36</v>
      </c>
      <c r="O460" s="80">
        <f t="shared" si="126"/>
        <v>42</v>
      </c>
      <c r="P460" s="81">
        <f t="shared" si="127"/>
        <v>0</v>
      </c>
      <c r="Q460" s="79">
        <f t="shared" si="128"/>
        <v>59.84</v>
      </c>
      <c r="R460" s="80">
        <f t="shared" si="129"/>
        <v>48</v>
      </c>
      <c r="S460" s="81">
        <f t="shared" si="130"/>
        <v>68</v>
      </c>
      <c r="T460" s="92">
        <f t="shared" si="131"/>
        <v>270.2</v>
      </c>
      <c r="U460" s="93">
        <f t="shared" si="142"/>
        <v>216.16</v>
      </c>
    </row>
    <row r="461" spans="1:21" x14ac:dyDescent="0.25">
      <c r="A461" s="71">
        <f t="shared" si="134"/>
        <v>2024</v>
      </c>
      <c r="B461" s="72" t="str">
        <f t="shared" si="132"/>
        <v>JANEIRO</v>
      </c>
      <c r="C461" s="73" t="str">
        <f t="shared" si="133"/>
        <v>QUINTA</v>
      </c>
      <c r="D461" s="74">
        <v>45309</v>
      </c>
      <c r="E461" s="89">
        <f t="shared" si="135"/>
        <v>7</v>
      </c>
      <c r="F461" s="90">
        <f t="shared" si="136"/>
        <v>7</v>
      </c>
      <c r="G461" s="91"/>
      <c r="H461" s="76">
        <f t="shared" si="137"/>
        <v>14</v>
      </c>
      <c r="I461" s="89">
        <f t="shared" si="138"/>
        <v>8</v>
      </c>
      <c r="J461" s="90">
        <f t="shared" si="139"/>
        <v>8</v>
      </c>
      <c r="K461" s="91">
        <f t="shared" si="140"/>
        <v>8</v>
      </c>
      <c r="L461" s="76">
        <f t="shared" si="141"/>
        <v>24</v>
      </c>
      <c r="N461" s="79">
        <f t="shared" si="125"/>
        <v>52.36</v>
      </c>
      <c r="O461" s="80">
        <f t="shared" si="126"/>
        <v>42</v>
      </c>
      <c r="P461" s="81">
        <f t="shared" si="127"/>
        <v>0</v>
      </c>
      <c r="Q461" s="79">
        <f t="shared" si="128"/>
        <v>59.84</v>
      </c>
      <c r="R461" s="80">
        <f t="shared" si="129"/>
        <v>48</v>
      </c>
      <c r="S461" s="81">
        <f t="shared" si="130"/>
        <v>68</v>
      </c>
      <c r="T461" s="92">
        <f t="shared" si="131"/>
        <v>270.2</v>
      </c>
      <c r="U461" s="93">
        <f t="shared" si="142"/>
        <v>216.16</v>
      </c>
    </row>
    <row r="462" spans="1:21" x14ac:dyDescent="0.25">
      <c r="A462" s="71">
        <f t="shared" si="134"/>
        <v>2024</v>
      </c>
      <c r="B462" s="72" t="str">
        <f t="shared" si="132"/>
        <v>JANEIRO</v>
      </c>
      <c r="C462" s="73" t="str">
        <f t="shared" si="133"/>
        <v>SEXTA</v>
      </c>
      <c r="D462" s="74">
        <v>45310</v>
      </c>
      <c r="E462" s="89">
        <f t="shared" si="135"/>
        <v>7</v>
      </c>
      <c r="F462" s="90">
        <f t="shared" si="136"/>
        <v>7</v>
      </c>
      <c r="G462" s="91"/>
      <c r="H462" s="76">
        <f t="shared" si="137"/>
        <v>14</v>
      </c>
      <c r="I462" s="89">
        <f t="shared" si="138"/>
        <v>8</v>
      </c>
      <c r="J462" s="90">
        <f t="shared" si="139"/>
        <v>8</v>
      </c>
      <c r="K462" s="91">
        <f t="shared" si="140"/>
        <v>8</v>
      </c>
      <c r="L462" s="76">
        <f t="shared" si="141"/>
        <v>24</v>
      </c>
      <c r="N462" s="79">
        <f t="shared" si="125"/>
        <v>52.36</v>
      </c>
      <c r="O462" s="80">
        <f t="shared" si="126"/>
        <v>42</v>
      </c>
      <c r="P462" s="81">
        <f t="shared" si="127"/>
        <v>0</v>
      </c>
      <c r="Q462" s="79">
        <f t="shared" si="128"/>
        <v>59.84</v>
      </c>
      <c r="R462" s="80">
        <f t="shared" si="129"/>
        <v>48</v>
      </c>
      <c r="S462" s="81">
        <f t="shared" si="130"/>
        <v>68</v>
      </c>
      <c r="T462" s="92">
        <f t="shared" si="131"/>
        <v>270.2</v>
      </c>
      <c r="U462" s="93">
        <f t="shared" si="142"/>
        <v>216.16</v>
      </c>
    </row>
    <row r="463" spans="1:21" x14ac:dyDescent="0.25">
      <c r="A463" s="71">
        <f t="shared" si="134"/>
        <v>2024</v>
      </c>
      <c r="B463" s="72" t="str">
        <f t="shared" si="132"/>
        <v>JANEIRO</v>
      </c>
      <c r="C463" s="73" t="str">
        <f t="shared" si="133"/>
        <v>SÁBADO</v>
      </c>
      <c r="D463" s="74">
        <v>45311</v>
      </c>
      <c r="E463" s="89">
        <f t="shared" si="135"/>
        <v>0</v>
      </c>
      <c r="F463" s="90">
        <f t="shared" si="136"/>
        <v>7</v>
      </c>
      <c r="G463" s="91"/>
      <c r="H463" s="76">
        <f t="shared" si="137"/>
        <v>7</v>
      </c>
      <c r="I463" s="89">
        <f t="shared" si="138"/>
        <v>0</v>
      </c>
      <c r="J463" s="90">
        <f t="shared" si="139"/>
        <v>8</v>
      </c>
      <c r="K463" s="91">
        <f t="shared" si="140"/>
        <v>0</v>
      </c>
      <c r="L463" s="76">
        <f t="shared" si="141"/>
        <v>8</v>
      </c>
      <c r="N463" s="79">
        <f t="shared" si="125"/>
        <v>0</v>
      </c>
      <c r="O463" s="80">
        <f t="shared" si="126"/>
        <v>42</v>
      </c>
      <c r="P463" s="81">
        <f t="shared" si="127"/>
        <v>0</v>
      </c>
      <c r="Q463" s="79">
        <f t="shared" si="128"/>
        <v>0</v>
      </c>
      <c r="R463" s="80">
        <f t="shared" si="129"/>
        <v>48</v>
      </c>
      <c r="S463" s="81">
        <f t="shared" si="130"/>
        <v>0</v>
      </c>
      <c r="T463" s="92">
        <f t="shared" si="131"/>
        <v>90</v>
      </c>
      <c r="U463" s="93">
        <f t="shared" si="142"/>
        <v>72</v>
      </c>
    </row>
    <row r="464" spans="1:21" x14ac:dyDescent="0.25">
      <c r="A464" s="71">
        <f t="shared" si="134"/>
        <v>2024</v>
      </c>
      <c r="B464" s="72" t="str">
        <f t="shared" si="132"/>
        <v>JANEIRO</v>
      </c>
      <c r="C464" s="73" t="str">
        <f t="shared" si="133"/>
        <v>DOMINGO</v>
      </c>
      <c r="D464" s="74">
        <v>45312</v>
      </c>
      <c r="E464" s="89">
        <f t="shared" si="135"/>
        <v>0</v>
      </c>
      <c r="F464" s="90">
        <f t="shared" si="136"/>
        <v>0</v>
      </c>
      <c r="G464" s="91"/>
      <c r="H464" s="76">
        <f t="shared" si="137"/>
        <v>0</v>
      </c>
      <c r="I464" s="89">
        <f t="shared" si="138"/>
        <v>0</v>
      </c>
      <c r="J464" s="90">
        <f t="shared" si="139"/>
        <v>0</v>
      </c>
      <c r="K464" s="91">
        <f t="shared" si="140"/>
        <v>0</v>
      </c>
      <c r="L464" s="76">
        <f t="shared" si="141"/>
        <v>0</v>
      </c>
      <c r="N464" s="79">
        <f t="shared" si="125"/>
        <v>0</v>
      </c>
      <c r="O464" s="80">
        <f t="shared" si="126"/>
        <v>0</v>
      </c>
      <c r="P464" s="81">
        <f t="shared" si="127"/>
        <v>0</v>
      </c>
      <c r="Q464" s="79">
        <f t="shared" si="128"/>
        <v>0</v>
      </c>
      <c r="R464" s="80">
        <f t="shared" si="129"/>
        <v>0</v>
      </c>
      <c r="S464" s="81">
        <f t="shared" si="130"/>
        <v>0</v>
      </c>
      <c r="T464" s="92">
        <f t="shared" si="131"/>
        <v>0</v>
      </c>
      <c r="U464" s="93">
        <f t="shared" si="142"/>
        <v>0</v>
      </c>
    </row>
    <row r="465" spans="1:21" x14ac:dyDescent="0.25">
      <c r="A465" s="71">
        <f t="shared" si="134"/>
        <v>2024</v>
      </c>
      <c r="B465" s="72" t="str">
        <f t="shared" si="132"/>
        <v>JANEIRO</v>
      </c>
      <c r="C465" s="73" t="str">
        <f t="shared" si="133"/>
        <v>SEGUNDA</v>
      </c>
      <c r="D465" s="74">
        <v>45313</v>
      </c>
      <c r="E465" s="89">
        <f t="shared" si="135"/>
        <v>7</v>
      </c>
      <c r="F465" s="90">
        <f t="shared" si="136"/>
        <v>7</v>
      </c>
      <c r="G465" s="91"/>
      <c r="H465" s="76">
        <f t="shared" si="137"/>
        <v>14</v>
      </c>
      <c r="I465" s="89">
        <f t="shared" si="138"/>
        <v>8</v>
      </c>
      <c r="J465" s="90">
        <f t="shared" si="139"/>
        <v>8</v>
      </c>
      <c r="K465" s="91">
        <f t="shared" si="140"/>
        <v>8</v>
      </c>
      <c r="L465" s="76">
        <f t="shared" si="141"/>
        <v>24</v>
      </c>
      <c r="N465" s="79">
        <f t="shared" si="125"/>
        <v>52.36</v>
      </c>
      <c r="O465" s="80">
        <f t="shared" si="126"/>
        <v>42</v>
      </c>
      <c r="P465" s="81">
        <f t="shared" si="127"/>
        <v>0</v>
      </c>
      <c r="Q465" s="79">
        <f t="shared" si="128"/>
        <v>59.84</v>
      </c>
      <c r="R465" s="80">
        <f t="shared" si="129"/>
        <v>48</v>
      </c>
      <c r="S465" s="81">
        <f t="shared" si="130"/>
        <v>68</v>
      </c>
      <c r="T465" s="92">
        <f t="shared" si="131"/>
        <v>270.2</v>
      </c>
      <c r="U465" s="93">
        <f t="shared" si="142"/>
        <v>216.16</v>
      </c>
    </row>
    <row r="466" spans="1:21" x14ac:dyDescent="0.25">
      <c r="A466" s="71">
        <f t="shared" si="134"/>
        <v>2024</v>
      </c>
      <c r="B466" s="72" t="str">
        <f t="shared" si="132"/>
        <v>JANEIRO</v>
      </c>
      <c r="C466" s="73" t="str">
        <f t="shared" si="133"/>
        <v>TERÇA</v>
      </c>
      <c r="D466" s="74">
        <v>45314</v>
      </c>
      <c r="E466" s="89">
        <f t="shared" si="135"/>
        <v>7</v>
      </c>
      <c r="F466" s="90">
        <f t="shared" si="136"/>
        <v>7</v>
      </c>
      <c r="G466" s="91"/>
      <c r="H466" s="76">
        <f t="shared" si="137"/>
        <v>14</v>
      </c>
      <c r="I466" s="89">
        <f t="shared" si="138"/>
        <v>8</v>
      </c>
      <c r="J466" s="90">
        <f t="shared" si="139"/>
        <v>8</v>
      </c>
      <c r="K466" s="91">
        <f t="shared" si="140"/>
        <v>8</v>
      </c>
      <c r="L466" s="76">
        <f t="shared" si="141"/>
        <v>24</v>
      </c>
      <c r="N466" s="79">
        <f t="shared" si="125"/>
        <v>52.36</v>
      </c>
      <c r="O466" s="80">
        <f t="shared" si="126"/>
        <v>42</v>
      </c>
      <c r="P466" s="81">
        <f t="shared" si="127"/>
        <v>0</v>
      </c>
      <c r="Q466" s="79">
        <f t="shared" si="128"/>
        <v>59.84</v>
      </c>
      <c r="R466" s="80">
        <f t="shared" si="129"/>
        <v>48</v>
      </c>
      <c r="S466" s="81">
        <f t="shared" si="130"/>
        <v>68</v>
      </c>
      <c r="T466" s="92">
        <f t="shared" si="131"/>
        <v>270.2</v>
      </c>
      <c r="U466" s="93">
        <f t="shared" si="142"/>
        <v>216.16</v>
      </c>
    </row>
    <row r="467" spans="1:21" x14ac:dyDescent="0.25">
      <c r="A467" s="71">
        <f t="shared" si="134"/>
        <v>2024</v>
      </c>
      <c r="B467" s="72" t="str">
        <f t="shared" si="132"/>
        <v>JANEIRO</v>
      </c>
      <c r="C467" s="73" t="str">
        <f t="shared" si="133"/>
        <v>QUARTA</v>
      </c>
      <c r="D467" s="74">
        <v>45315</v>
      </c>
      <c r="E467" s="89">
        <f t="shared" si="135"/>
        <v>7</v>
      </c>
      <c r="F467" s="90">
        <f t="shared" si="136"/>
        <v>7</v>
      </c>
      <c r="G467" s="91"/>
      <c r="H467" s="76">
        <f t="shared" si="137"/>
        <v>14</v>
      </c>
      <c r="I467" s="89">
        <f t="shared" si="138"/>
        <v>8</v>
      </c>
      <c r="J467" s="90">
        <f t="shared" si="139"/>
        <v>8</v>
      </c>
      <c r="K467" s="91">
        <f t="shared" si="140"/>
        <v>8</v>
      </c>
      <c r="L467" s="76">
        <f t="shared" si="141"/>
        <v>24</v>
      </c>
      <c r="N467" s="79">
        <f t="shared" si="125"/>
        <v>52.36</v>
      </c>
      <c r="O467" s="80">
        <f t="shared" si="126"/>
        <v>42</v>
      </c>
      <c r="P467" s="81">
        <f t="shared" si="127"/>
        <v>0</v>
      </c>
      <c r="Q467" s="79">
        <f t="shared" si="128"/>
        <v>59.84</v>
      </c>
      <c r="R467" s="80">
        <f t="shared" si="129"/>
        <v>48</v>
      </c>
      <c r="S467" s="81">
        <f t="shared" si="130"/>
        <v>68</v>
      </c>
      <c r="T467" s="92">
        <f t="shared" si="131"/>
        <v>270.2</v>
      </c>
      <c r="U467" s="93">
        <f t="shared" si="142"/>
        <v>216.16</v>
      </c>
    </row>
    <row r="468" spans="1:21" x14ac:dyDescent="0.25">
      <c r="A468" s="71">
        <f t="shared" si="134"/>
        <v>2024</v>
      </c>
      <c r="B468" s="72" t="str">
        <f t="shared" si="132"/>
        <v>JANEIRO</v>
      </c>
      <c r="C468" s="73" t="str">
        <f t="shared" si="133"/>
        <v>QUINTA</v>
      </c>
      <c r="D468" s="74">
        <v>45316</v>
      </c>
      <c r="E468" s="89">
        <f t="shared" si="135"/>
        <v>7</v>
      </c>
      <c r="F468" s="90">
        <f t="shared" si="136"/>
        <v>7</v>
      </c>
      <c r="G468" s="91"/>
      <c r="H468" s="76">
        <f t="shared" si="137"/>
        <v>14</v>
      </c>
      <c r="I468" s="89">
        <f t="shared" si="138"/>
        <v>8</v>
      </c>
      <c r="J468" s="90">
        <f t="shared" si="139"/>
        <v>8</v>
      </c>
      <c r="K468" s="91">
        <f t="shared" si="140"/>
        <v>8</v>
      </c>
      <c r="L468" s="76">
        <f t="shared" si="141"/>
        <v>24</v>
      </c>
      <c r="N468" s="79">
        <f t="shared" si="125"/>
        <v>52.36</v>
      </c>
      <c r="O468" s="80">
        <f t="shared" si="126"/>
        <v>42</v>
      </c>
      <c r="P468" s="81">
        <f t="shared" si="127"/>
        <v>0</v>
      </c>
      <c r="Q468" s="79">
        <f t="shared" si="128"/>
        <v>59.84</v>
      </c>
      <c r="R468" s="80">
        <f t="shared" si="129"/>
        <v>48</v>
      </c>
      <c r="S468" s="81">
        <f t="shared" si="130"/>
        <v>68</v>
      </c>
      <c r="T468" s="92">
        <f t="shared" si="131"/>
        <v>270.2</v>
      </c>
      <c r="U468" s="93">
        <f t="shared" si="142"/>
        <v>216.16</v>
      </c>
    </row>
    <row r="469" spans="1:21" x14ac:dyDescent="0.25">
      <c r="A469" s="71">
        <f t="shared" si="134"/>
        <v>2024</v>
      </c>
      <c r="B469" s="72" t="str">
        <f t="shared" si="132"/>
        <v>JANEIRO</v>
      </c>
      <c r="C469" s="73" t="str">
        <f t="shared" si="133"/>
        <v>SEXTA</v>
      </c>
      <c r="D469" s="74">
        <v>45317</v>
      </c>
      <c r="E469" s="89">
        <f t="shared" si="135"/>
        <v>7</v>
      </c>
      <c r="F469" s="90">
        <f t="shared" si="136"/>
        <v>7</v>
      </c>
      <c r="G469" s="91"/>
      <c r="H469" s="76">
        <f t="shared" si="137"/>
        <v>14</v>
      </c>
      <c r="I469" s="89">
        <f t="shared" si="138"/>
        <v>8</v>
      </c>
      <c r="J469" s="90">
        <f t="shared" si="139"/>
        <v>8</v>
      </c>
      <c r="K469" s="91">
        <f t="shared" si="140"/>
        <v>8</v>
      </c>
      <c r="L469" s="76">
        <f t="shared" si="141"/>
        <v>24</v>
      </c>
      <c r="N469" s="79">
        <f t="shared" si="125"/>
        <v>52.36</v>
      </c>
      <c r="O469" s="80">
        <f t="shared" si="126"/>
        <v>42</v>
      </c>
      <c r="P469" s="81">
        <f t="shared" si="127"/>
        <v>0</v>
      </c>
      <c r="Q469" s="79">
        <f t="shared" si="128"/>
        <v>59.84</v>
      </c>
      <c r="R469" s="80">
        <f t="shared" si="129"/>
        <v>48</v>
      </c>
      <c r="S469" s="81">
        <f t="shared" si="130"/>
        <v>68</v>
      </c>
      <c r="T469" s="92">
        <f t="shared" si="131"/>
        <v>270.2</v>
      </c>
      <c r="U469" s="93">
        <f t="shared" si="142"/>
        <v>216.16</v>
      </c>
    </row>
    <row r="470" spans="1:21" x14ac:dyDescent="0.25">
      <c r="A470" s="71">
        <f t="shared" si="134"/>
        <v>2024</v>
      </c>
      <c r="B470" s="72" t="str">
        <f t="shared" si="132"/>
        <v>JANEIRO</v>
      </c>
      <c r="C470" s="73" t="str">
        <f t="shared" si="133"/>
        <v>SÁBADO</v>
      </c>
      <c r="D470" s="74">
        <v>45318</v>
      </c>
      <c r="E470" s="89">
        <f t="shared" si="135"/>
        <v>0</v>
      </c>
      <c r="F470" s="90">
        <f t="shared" si="136"/>
        <v>7</v>
      </c>
      <c r="G470" s="91"/>
      <c r="H470" s="76">
        <f t="shared" si="137"/>
        <v>7</v>
      </c>
      <c r="I470" s="89">
        <f t="shared" si="138"/>
        <v>0</v>
      </c>
      <c r="J470" s="90">
        <f t="shared" si="139"/>
        <v>8</v>
      </c>
      <c r="K470" s="91">
        <f t="shared" si="140"/>
        <v>0</v>
      </c>
      <c r="L470" s="76">
        <f t="shared" si="141"/>
        <v>8</v>
      </c>
      <c r="N470" s="79">
        <f t="shared" si="125"/>
        <v>0</v>
      </c>
      <c r="O470" s="80">
        <f t="shared" si="126"/>
        <v>42</v>
      </c>
      <c r="P470" s="81">
        <f t="shared" si="127"/>
        <v>0</v>
      </c>
      <c r="Q470" s="79">
        <f t="shared" si="128"/>
        <v>0</v>
      </c>
      <c r="R470" s="80">
        <f t="shared" si="129"/>
        <v>48</v>
      </c>
      <c r="S470" s="81">
        <f t="shared" si="130"/>
        <v>0</v>
      </c>
      <c r="T470" s="92">
        <f t="shared" si="131"/>
        <v>90</v>
      </c>
      <c r="U470" s="93">
        <f t="shared" si="142"/>
        <v>72</v>
      </c>
    </row>
    <row r="471" spans="1:21" x14ac:dyDescent="0.25">
      <c r="A471" s="71">
        <f t="shared" si="134"/>
        <v>2024</v>
      </c>
      <c r="B471" s="72" t="str">
        <f t="shared" si="132"/>
        <v>JANEIRO</v>
      </c>
      <c r="C471" s="73" t="str">
        <f t="shared" si="133"/>
        <v>DOMINGO</v>
      </c>
      <c r="D471" s="74">
        <v>45319</v>
      </c>
      <c r="E471" s="89">
        <f t="shared" si="135"/>
        <v>0</v>
      </c>
      <c r="F471" s="90">
        <f t="shared" si="136"/>
        <v>0</v>
      </c>
      <c r="G471" s="91"/>
      <c r="H471" s="76">
        <f t="shared" si="137"/>
        <v>0</v>
      </c>
      <c r="I471" s="89">
        <f t="shared" si="138"/>
        <v>0</v>
      </c>
      <c r="J471" s="90">
        <f t="shared" si="139"/>
        <v>0</v>
      </c>
      <c r="K471" s="91">
        <f t="shared" si="140"/>
        <v>0</v>
      </c>
      <c r="L471" s="76">
        <f t="shared" si="141"/>
        <v>0</v>
      </c>
      <c r="N471" s="79">
        <f t="shared" si="125"/>
        <v>0</v>
      </c>
      <c r="O471" s="80">
        <f t="shared" si="126"/>
        <v>0</v>
      </c>
      <c r="P471" s="81">
        <f t="shared" si="127"/>
        <v>0</v>
      </c>
      <c r="Q471" s="79">
        <f t="shared" si="128"/>
        <v>0</v>
      </c>
      <c r="R471" s="80">
        <f t="shared" si="129"/>
        <v>0</v>
      </c>
      <c r="S471" s="81">
        <f t="shared" si="130"/>
        <v>0</v>
      </c>
      <c r="T471" s="92">
        <f t="shared" si="131"/>
        <v>0</v>
      </c>
      <c r="U471" s="93">
        <f t="shared" si="142"/>
        <v>0</v>
      </c>
    </row>
    <row r="472" spans="1:21" x14ac:dyDescent="0.25">
      <c r="A472" s="71">
        <f t="shared" si="134"/>
        <v>2024</v>
      </c>
      <c r="B472" s="72" t="str">
        <f t="shared" si="132"/>
        <v>JANEIRO</v>
      </c>
      <c r="C472" s="73" t="str">
        <f t="shared" si="133"/>
        <v>SEGUNDA</v>
      </c>
      <c r="D472" s="74">
        <v>45320</v>
      </c>
      <c r="E472" s="89">
        <f t="shared" si="135"/>
        <v>7</v>
      </c>
      <c r="F472" s="90">
        <f t="shared" si="136"/>
        <v>7</v>
      </c>
      <c r="G472" s="91"/>
      <c r="H472" s="76">
        <f t="shared" si="137"/>
        <v>14</v>
      </c>
      <c r="I472" s="89">
        <f t="shared" si="138"/>
        <v>8</v>
      </c>
      <c r="J472" s="90">
        <f t="shared" si="139"/>
        <v>8</v>
      </c>
      <c r="K472" s="91">
        <f t="shared" si="140"/>
        <v>8</v>
      </c>
      <c r="L472" s="76">
        <f t="shared" si="141"/>
        <v>24</v>
      </c>
      <c r="N472" s="79">
        <f t="shared" si="125"/>
        <v>52.36</v>
      </c>
      <c r="O472" s="80">
        <f t="shared" si="126"/>
        <v>42</v>
      </c>
      <c r="P472" s="81">
        <f t="shared" si="127"/>
        <v>0</v>
      </c>
      <c r="Q472" s="79">
        <f t="shared" si="128"/>
        <v>59.84</v>
      </c>
      <c r="R472" s="80">
        <f t="shared" si="129"/>
        <v>48</v>
      </c>
      <c r="S472" s="81">
        <f t="shared" si="130"/>
        <v>68</v>
      </c>
      <c r="T472" s="92">
        <f t="shared" si="131"/>
        <v>270.2</v>
      </c>
      <c r="U472" s="93">
        <f t="shared" si="142"/>
        <v>216.16</v>
      </c>
    </row>
    <row r="473" spans="1:21" x14ac:dyDescent="0.25">
      <c r="A473" s="71">
        <f t="shared" si="134"/>
        <v>2024</v>
      </c>
      <c r="B473" s="72" t="str">
        <f t="shared" si="132"/>
        <v>JANEIRO</v>
      </c>
      <c r="C473" s="73" t="str">
        <f t="shared" si="133"/>
        <v>TERÇA</v>
      </c>
      <c r="D473" s="74">
        <v>45321</v>
      </c>
      <c r="E473" s="89">
        <f t="shared" si="135"/>
        <v>7</v>
      </c>
      <c r="F473" s="90">
        <f t="shared" si="136"/>
        <v>7</v>
      </c>
      <c r="G473" s="91"/>
      <c r="H473" s="76">
        <f t="shared" si="137"/>
        <v>14</v>
      </c>
      <c r="I473" s="89">
        <f t="shared" si="138"/>
        <v>8</v>
      </c>
      <c r="J473" s="90">
        <f t="shared" si="139"/>
        <v>8</v>
      </c>
      <c r="K473" s="91">
        <f t="shared" si="140"/>
        <v>8</v>
      </c>
      <c r="L473" s="76">
        <f t="shared" si="141"/>
        <v>24</v>
      </c>
      <c r="N473" s="79">
        <f t="shared" si="125"/>
        <v>52.36</v>
      </c>
      <c r="O473" s="80">
        <f t="shared" si="126"/>
        <v>42</v>
      </c>
      <c r="P473" s="81">
        <f t="shared" si="127"/>
        <v>0</v>
      </c>
      <c r="Q473" s="79">
        <f t="shared" si="128"/>
        <v>59.84</v>
      </c>
      <c r="R473" s="80">
        <f t="shared" si="129"/>
        <v>48</v>
      </c>
      <c r="S473" s="81">
        <f t="shared" si="130"/>
        <v>68</v>
      </c>
      <c r="T473" s="92">
        <f t="shared" si="131"/>
        <v>270.2</v>
      </c>
      <c r="U473" s="93">
        <f t="shared" si="142"/>
        <v>216.16</v>
      </c>
    </row>
    <row r="474" spans="1:21" x14ac:dyDescent="0.25">
      <c r="A474" s="71">
        <f t="shared" si="134"/>
        <v>2024</v>
      </c>
      <c r="B474" s="72" t="str">
        <f t="shared" si="132"/>
        <v>JANEIRO</v>
      </c>
      <c r="C474" s="73" t="str">
        <f t="shared" si="133"/>
        <v>QUARTA</v>
      </c>
      <c r="D474" s="74">
        <v>45322</v>
      </c>
      <c r="E474" s="89">
        <f t="shared" si="135"/>
        <v>7</v>
      </c>
      <c r="F474" s="90">
        <f t="shared" si="136"/>
        <v>7</v>
      </c>
      <c r="G474" s="91"/>
      <c r="H474" s="76">
        <f t="shared" si="137"/>
        <v>14</v>
      </c>
      <c r="I474" s="89">
        <f t="shared" si="138"/>
        <v>8</v>
      </c>
      <c r="J474" s="90">
        <f t="shared" si="139"/>
        <v>8</v>
      </c>
      <c r="K474" s="91">
        <f t="shared" si="140"/>
        <v>8</v>
      </c>
      <c r="L474" s="76">
        <f t="shared" si="141"/>
        <v>24</v>
      </c>
      <c r="N474" s="79">
        <f t="shared" si="125"/>
        <v>52.36</v>
      </c>
      <c r="O474" s="80">
        <f t="shared" si="126"/>
        <v>42</v>
      </c>
      <c r="P474" s="81">
        <f t="shared" si="127"/>
        <v>0</v>
      </c>
      <c r="Q474" s="79">
        <f t="shared" si="128"/>
        <v>59.84</v>
      </c>
      <c r="R474" s="80">
        <f t="shared" si="129"/>
        <v>48</v>
      </c>
      <c r="S474" s="81">
        <f t="shared" si="130"/>
        <v>68</v>
      </c>
      <c r="T474" s="92">
        <f t="shared" si="131"/>
        <v>270.2</v>
      </c>
      <c r="U474" s="93">
        <f t="shared" si="142"/>
        <v>216.16</v>
      </c>
    </row>
    <row r="475" spans="1:21" x14ac:dyDescent="0.25">
      <c r="A475" s="71">
        <f t="shared" si="134"/>
        <v>2024</v>
      </c>
      <c r="B475" s="72" t="str">
        <f t="shared" si="132"/>
        <v>FEVEREIRO</v>
      </c>
      <c r="C475" s="73" t="str">
        <f t="shared" si="133"/>
        <v>QUINTA</v>
      </c>
      <c r="D475" s="74">
        <v>45323</v>
      </c>
      <c r="E475" s="89">
        <f t="shared" si="135"/>
        <v>7</v>
      </c>
      <c r="F475" s="90">
        <f t="shared" si="136"/>
        <v>7</v>
      </c>
      <c r="G475" s="91"/>
      <c r="H475" s="76">
        <f t="shared" si="137"/>
        <v>14</v>
      </c>
      <c r="I475" s="89">
        <f t="shared" si="138"/>
        <v>8</v>
      </c>
      <c r="J475" s="90">
        <f t="shared" si="139"/>
        <v>8</v>
      </c>
      <c r="K475" s="91">
        <f t="shared" si="140"/>
        <v>8</v>
      </c>
      <c r="L475" s="76">
        <f t="shared" si="141"/>
        <v>24</v>
      </c>
      <c r="N475" s="79">
        <f t="shared" si="125"/>
        <v>52.36</v>
      </c>
      <c r="O475" s="80">
        <f t="shared" si="126"/>
        <v>42</v>
      </c>
      <c r="P475" s="81">
        <f t="shared" si="127"/>
        <v>0</v>
      </c>
      <c r="Q475" s="79">
        <f t="shared" si="128"/>
        <v>59.84</v>
      </c>
      <c r="R475" s="80">
        <f t="shared" si="129"/>
        <v>48</v>
      </c>
      <c r="S475" s="81">
        <f t="shared" si="130"/>
        <v>68</v>
      </c>
      <c r="T475" s="92">
        <f t="shared" si="131"/>
        <v>270.2</v>
      </c>
      <c r="U475" s="93">
        <f t="shared" si="142"/>
        <v>216.16</v>
      </c>
    </row>
    <row r="476" spans="1:21" x14ac:dyDescent="0.25">
      <c r="A476" s="71">
        <f t="shared" si="134"/>
        <v>2024</v>
      </c>
      <c r="B476" s="72" t="str">
        <f t="shared" si="132"/>
        <v>FEVEREIRO</v>
      </c>
      <c r="C476" s="73" t="str">
        <f t="shared" si="133"/>
        <v>SEXTA</v>
      </c>
      <c r="D476" s="74">
        <v>45324</v>
      </c>
      <c r="E476" s="89">
        <f t="shared" si="135"/>
        <v>7</v>
      </c>
      <c r="F476" s="90">
        <f t="shared" si="136"/>
        <v>7</v>
      </c>
      <c r="G476" s="91"/>
      <c r="H476" s="76">
        <f t="shared" si="137"/>
        <v>14</v>
      </c>
      <c r="I476" s="89">
        <f t="shared" si="138"/>
        <v>8</v>
      </c>
      <c r="J476" s="90">
        <f t="shared" si="139"/>
        <v>8</v>
      </c>
      <c r="K476" s="91">
        <f t="shared" si="140"/>
        <v>8</v>
      </c>
      <c r="L476" s="76">
        <f t="shared" si="141"/>
        <v>24</v>
      </c>
      <c r="N476" s="79">
        <f t="shared" ref="N476:N539" si="143">E476*7.48</f>
        <v>52.36</v>
      </c>
      <c r="O476" s="80">
        <f t="shared" ref="O476:O539" si="144">F476*6</f>
        <v>42</v>
      </c>
      <c r="P476" s="81">
        <f t="shared" ref="P476:P539" si="145">G476*8.5</f>
        <v>0</v>
      </c>
      <c r="Q476" s="79">
        <f t="shared" ref="Q476:Q539" si="146">I476*7.48</f>
        <v>59.84</v>
      </c>
      <c r="R476" s="80">
        <f t="shared" ref="R476:R539" si="147">J476*6</f>
        <v>48</v>
      </c>
      <c r="S476" s="81">
        <f t="shared" ref="S476:S539" si="148">K476*8.5</f>
        <v>68</v>
      </c>
      <c r="T476" s="92">
        <f t="shared" ref="T476:T539" si="149">SUM(N476:S476)</f>
        <v>270.2</v>
      </c>
      <c r="U476" s="93">
        <f t="shared" si="142"/>
        <v>216.16</v>
      </c>
    </row>
    <row r="477" spans="1:21" x14ac:dyDescent="0.25">
      <c r="A477" s="71">
        <f t="shared" si="134"/>
        <v>2024</v>
      </c>
      <c r="B477" s="72" t="str">
        <f t="shared" si="132"/>
        <v>FEVEREIRO</v>
      </c>
      <c r="C477" s="73" t="str">
        <f t="shared" si="133"/>
        <v>SÁBADO</v>
      </c>
      <c r="D477" s="74">
        <v>45325</v>
      </c>
      <c r="E477" s="89">
        <f t="shared" si="135"/>
        <v>0</v>
      </c>
      <c r="F477" s="90">
        <f t="shared" si="136"/>
        <v>7</v>
      </c>
      <c r="G477" s="91"/>
      <c r="H477" s="76">
        <f t="shared" si="137"/>
        <v>7</v>
      </c>
      <c r="I477" s="89">
        <f t="shared" si="138"/>
        <v>0</v>
      </c>
      <c r="J477" s="90">
        <f t="shared" si="139"/>
        <v>8</v>
      </c>
      <c r="K477" s="91">
        <f t="shared" si="140"/>
        <v>0</v>
      </c>
      <c r="L477" s="76">
        <f t="shared" si="141"/>
        <v>8</v>
      </c>
      <c r="N477" s="79">
        <f t="shared" si="143"/>
        <v>0</v>
      </c>
      <c r="O477" s="80">
        <f t="shared" si="144"/>
        <v>42</v>
      </c>
      <c r="P477" s="81">
        <f t="shared" si="145"/>
        <v>0</v>
      </c>
      <c r="Q477" s="79">
        <f t="shared" si="146"/>
        <v>0</v>
      </c>
      <c r="R477" s="80">
        <f t="shared" si="147"/>
        <v>48</v>
      </c>
      <c r="S477" s="81">
        <f t="shared" si="148"/>
        <v>0</v>
      </c>
      <c r="T477" s="92">
        <f t="shared" si="149"/>
        <v>90</v>
      </c>
      <c r="U477" s="93">
        <f t="shared" si="142"/>
        <v>72</v>
      </c>
    </row>
    <row r="478" spans="1:21" x14ac:dyDescent="0.25">
      <c r="A478" s="71">
        <f t="shared" si="134"/>
        <v>2024</v>
      </c>
      <c r="B478" s="72" t="str">
        <f t="shared" si="132"/>
        <v>FEVEREIRO</v>
      </c>
      <c r="C478" s="73" t="str">
        <f t="shared" si="133"/>
        <v>DOMINGO</v>
      </c>
      <c r="D478" s="74">
        <v>45326</v>
      </c>
      <c r="E478" s="89">
        <f t="shared" si="135"/>
        <v>0</v>
      </c>
      <c r="F478" s="90">
        <f t="shared" si="136"/>
        <v>0</v>
      </c>
      <c r="G478" s="91"/>
      <c r="H478" s="76">
        <f t="shared" si="137"/>
        <v>0</v>
      </c>
      <c r="I478" s="89">
        <f t="shared" si="138"/>
        <v>0</v>
      </c>
      <c r="J478" s="90">
        <f t="shared" si="139"/>
        <v>0</v>
      </c>
      <c r="K478" s="91">
        <f t="shared" si="140"/>
        <v>0</v>
      </c>
      <c r="L478" s="76">
        <f t="shared" si="141"/>
        <v>0</v>
      </c>
      <c r="N478" s="79">
        <f t="shared" si="143"/>
        <v>0</v>
      </c>
      <c r="O478" s="80">
        <f t="shared" si="144"/>
        <v>0</v>
      </c>
      <c r="P478" s="81">
        <f t="shared" si="145"/>
        <v>0</v>
      </c>
      <c r="Q478" s="79">
        <f t="shared" si="146"/>
        <v>0</v>
      </c>
      <c r="R478" s="80">
        <f t="shared" si="147"/>
        <v>0</v>
      </c>
      <c r="S478" s="81">
        <f t="shared" si="148"/>
        <v>0</v>
      </c>
      <c r="T478" s="92">
        <f t="shared" si="149"/>
        <v>0</v>
      </c>
      <c r="U478" s="93">
        <f t="shared" si="142"/>
        <v>0</v>
      </c>
    </row>
    <row r="479" spans="1:21" x14ac:dyDescent="0.25">
      <c r="A479" s="71">
        <f t="shared" si="134"/>
        <v>2024</v>
      </c>
      <c r="B479" s="72" t="str">
        <f t="shared" si="132"/>
        <v>FEVEREIRO</v>
      </c>
      <c r="C479" s="73" t="str">
        <f t="shared" si="133"/>
        <v>SEGUNDA</v>
      </c>
      <c r="D479" s="74">
        <v>45327</v>
      </c>
      <c r="E479" s="89">
        <f t="shared" si="135"/>
        <v>7</v>
      </c>
      <c r="F479" s="90">
        <f t="shared" si="136"/>
        <v>7</v>
      </c>
      <c r="G479" s="91"/>
      <c r="H479" s="76">
        <f t="shared" si="137"/>
        <v>14</v>
      </c>
      <c r="I479" s="89">
        <f t="shared" si="138"/>
        <v>8</v>
      </c>
      <c r="J479" s="90">
        <f t="shared" si="139"/>
        <v>8</v>
      </c>
      <c r="K479" s="91">
        <f t="shared" si="140"/>
        <v>8</v>
      </c>
      <c r="L479" s="76">
        <f t="shared" si="141"/>
        <v>24</v>
      </c>
      <c r="N479" s="79">
        <f t="shared" si="143"/>
        <v>52.36</v>
      </c>
      <c r="O479" s="80">
        <f t="shared" si="144"/>
        <v>42</v>
      </c>
      <c r="P479" s="81">
        <f t="shared" si="145"/>
        <v>0</v>
      </c>
      <c r="Q479" s="79">
        <f t="shared" si="146"/>
        <v>59.84</v>
      </c>
      <c r="R479" s="80">
        <f t="shared" si="147"/>
        <v>48</v>
      </c>
      <c r="S479" s="81">
        <f t="shared" si="148"/>
        <v>68</v>
      </c>
      <c r="T479" s="92">
        <f t="shared" si="149"/>
        <v>270.2</v>
      </c>
      <c r="U479" s="93">
        <f t="shared" si="142"/>
        <v>216.16</v>
      </c>
    </row>
    <row r="480" spans="1:21" x14ac:dyDescent="0.25">
      <c r="A480" s="71">
        <f t="shared" si="134"/>
        <v>2024</v>
      </c>
      <c r="B480" s="72" t="str">
        <f t="shared" si="132"/>
        <v>FEVEREIRO</v>
      </c>
      <c r="C480" s="73" t="str">
        <f t="shared" si="133"/>
        <v>TERÇA</v>
      </c>
      <c r="D480" s="74">
        <v>45328</v>
      </c>
      <c r="E480" s="89">
        <f t="shared" si="135"/>
        <v>7</v>
      </c>
      <c r="F480" s="90">
        <f t="shared" si="136"/>
        <v>7</v>
      </c>
      <c r="G480" s="91"/>
      <c r="H480" s="76">
        <f t="shared" si="137"/>
        <v>14</v>
      </c>
      <c r="I480" s="89">
        <f t="shared" si="138"/>
        <v>8</v>
      </c>
      <c r="J480" s="90">
        <f t="shared" si="139"/>
        <v>8</v>
      </c>
      <c r="K480" s="91">
        <f t="shared" si="140"/>
        <v>8</v>
      </c>
      <c r="L480" s="76">
        <f t="shared" si="141"/>
        <v>24</v>
      </c>
      <c r="N480" s="79">
        <f t="shared" si="143"/>
        <v>52.36</v>
      </c>
      <c r="O480" s="80">
        <f t="shared" si="144"/>
        <v>42</v>
      </c>
      <c r="P480" s="81">
        <f t="shared" si="145"/>
        <v>0</v>
      </c>
      <c r="Q480" s="79">
        <f t="shared" si="146"/>
        <v>59.84</v>
      </c>
      <c r="R480" s="80">
        <f t="shared" si="147"/>
        <v>48</v>
      </c>
      <c r="S480" s="81">
        <f t="shared" si="148"/>
        <v>68</v>
      </c>
      <c r="T480" s="92">
        <f t="shared" si="149"/>
        <v>270.2</v>
      </c>
      <c r="U480" s="93">
        <f t="shared" si="142"/>
        <v>216.16</v>
      </c>
    </row>
    <row r="481" spans="1:21" x14ac:dyDescent="0.25">
      <c r="A481" s="71">
        <f t="shared" si="134"/>
        <v>2024</v>
      </c>
      <c r="B481" s="72" t="str">
        <f t="shared" si="132"/>
        <v>FEVEREIRO</v>
      </c>
      <c r="C481" s="73" t="str">
        <f t="shared" si="133"/>
        <v>QUARTA</v>
      </c>
      <c r="D481" s="74">
        <v>45329</v>
      </c>
      <c r="E481" s="89">
        <f t="shared" si="135"/>
        <v>7</v>
      </c>
      <c r="F481" s="90">
        <f t="shared" si="136"/>
        <v>7</v>
      </c>
      <c r="G481" s="91"/>
      <c r="H481" s="76">
        <f t="shared" si="137"/>
        <v>14</v>
      </c>
      <c r="I481" s="89">
        <f t="shared" si="138"/>
        <v>8</v>
      </c>
      <c r="J481" s="90">
        <f t="shared" si="139"/>
        <v>8</v>
      </c>
      <c r="K481" s="91">
        <f t="shared" si="140"/>
        <v>8</v>
      </c>
      <c r="L481" s="76">
        <f t="shared" si="141"/>
        <v>24</v>
      </c>
      <c r="N481" s="79">
        <f t="shared" si="143"/>
        <v>52.36</v>
      </c>
      <c r="O481" s="80">
        <f t="shared" si="144"/>
        <v>42</v>
      </c>
      <c r="P481" s="81">
        <f t="shared" si="145"/>
        <v>0</v>
      </c>
      <c r="Q481" s="79">
        <f t="shared" si="146"/>
        <v>59.84</v>
      </c>
      <c r="R481" s="80">
        <f t="shared" si="147"/>
        <v>48</v>
      </c>
      <c r="S481" s="81">
        <f t="shared" si="148"/>
        <v>68</v>
      </c>
      <c r="T481" s="92">
        <f t="shared" si="149"/>
        <v>270.2</v>
      </c>
      <c r="U481" s="93">
        <f t="shared" si="142"/>
        <v>216.16</v>
      </c>
    </row>
    <row r="482" spans="1:21" x14ac:dyDescent="0.25">
      <c r="A482" s="71">
        <f t="shared" si="134"/>
        <v>2024</v>
      </c>
      <c r="B482" s="72" t="str">
        <f t="shared" si="132"/>
        <v>FEVEREIRO</v>
      </c>
      <c r="C482" s="73" t="str">
        <f t="shared" si="133"/>
        <v>QUINTA</v>
      </c>
      <c r="D482" s="74">
        <v>45330</v>
      </c>
      <c r="E482" s="89">
        <f t="shared" si="135"/>
        <v>7</v>
      </c>
      <c r="F482" s="90">
        <f t="shared" si="136"/>
        <v>7</v>
      </c>
      <c r="G482" s="91"/>
      <c r="H482" s="76">
        <f t="shared" si="137"/>
        <v>14</v>
      </c>
      <c r="I482" s="89">
        <f t="shared" si="138"/>
        <v>8</v>
      </c>
      <c r="J482" s="90">
        <f t="shared" si="139"/>
        <v>8</v>
      </c>
      <c r="K482" s="91">
        <f t="shared" si="140"/>
        <v>8</v>
      </c>
      <c r="L482" s="76">
        <f t="shared" si="141"/>
        <v>24</v>
      </c>
      <c r="N482" s="79">
        <f t="shared" si="143"/>
        <v>52.36</v>
      </c>
      <c r="O482" s="80">
        <f t="shared" si="144"/>
        <v>42</v>
      </c>
      <c r="P482" s="81">
        <f t="shared" si="145"/>
        <v>0</v>
      </c>
      <c r="Q482" s="79">
        <f t="shared" si="146"/>
        <v>59.84</v>
      </c>
      <c r="R482" s="80">
        <f t="shared" si="147"/>
        <v>48</v>
      </c>
      <c r="S482" s="81">
        <f t="shared" si="148"/>
        <v>68</v>
      </c>
      <c r="T482" s="92">
        <f t="shared" si="149"/>
        <v>270.2</v>
      </c>
      <c r="U482" s="93">
        <f t="shared" si="142"/>
        <v>216.16</v>
      </c>
    </row>
    <row r="483" spans="1:21" x14ac:dyDescent="0.25">
      <c r="A483" s="71">
        <f t="shared" si="134"/>
        <v>2024</v>
      </c>
      <c r="B483" s="72" t="str">
        <f t="shared" si="132"/>
        <v>FEVEREIRO</v>
      </c>
      <c r="C483" s="73" t="str">
        <f t="shared" si="133"/>
        <v>SEXTA</v>
      </c>
      <c r="D483" s="74">
        <v>45331</v>
      </c>
      <c r="E483" s="89">
        <f t="shared" si="135"/>
        <v>7</v>
      </c>
      <c r="F483" s="90">
        <f t="shared" si="136"/>
        <v>7</v>
      </c>
      <c r="G483" s="91"/>
      <c r="H483" s="76">
        <f t="shared" si="137"/>
        <v>14</v>
      </c>
      <c r="I483" s="89">
        <f t="shared" si="138"/>
        <v>8</v>
      </c>
      <c r="J483" s="90">
        <f t="shared" si="139"/>
        <v>8</v>
      </c>
      <c r="K483" s="91">
        <f t="shared" si="140"/>
        <v>8</v>
      </c>
      <c r="L483" s="76">
        <f t="shared" si="141"/>
        <v>24</v>
      </c>
      <c r="N483" s="79">
        <f t="shared" si="143"/>
        <v>52.36</v>
      </c>
      <c r="O483" s="80">
        <f t="shared" si="144"/>
        <v>42</v>
      </c>
      <c r="P483" s="81">
        <f t="shared" si="145"/>
        <v>0</v>
      </c>
      <c r="Q483" s="79">
        <f t="shared" si="146"/>
        <v>59.84</v>
      </c>
      <c r="R483" s="80">
        <f t="shared" si="147"/>
        <v>48</v>
      </c>
      <c r="S483" s="81">
        <f t="shared" si="148"/>
        <v>68</v>
      </c>
      <c r="T483" s="92">
        <f t="shared" si="149"/>
        <v>270.2</v>
      </c>
      <c r="U483" s="93">
        <f t="shared" si="142"/>
        <v>216.16</v>
      </c>
    </row>
    <row r="484" spans="1:21" x14ac:dyDescent="0.25">
      <c r="A484" s="71">
        <f t="shared" si="134"/>
        <v>2024</v>
      </c>
      <c r="B484" s="72" t="str">
        <f t="shared" si="132"/>
        <v>FEVEREIRO</v>
      </c>
      <c r="C484" s="73" t="str">
        <f t="shared" si="133"/>
        <v>SÁBADO</v>
      </c>
      <c r="D484" s="74">
        <v>45332</v>
      </c>
      <c r="E484" s="89">
        <f t="shared" si="135"/>
        <v>0</v>
      </c>
      <c r="F484" s="90">
        <f t="shared" si="136"/>
        <v>7</v>
      </c>
      <c r="G484" s="91"/>
      <c r="H484" s="76">
        <f t="shared" si="137"/>
        <v>7</v>
      </c>
      <c r="I484" s="89">
        <f t="shared" si="138"/>
        <v>0</v>
      </c>
      <c r="J484" s="90">
        <f t="shared" si="139"/>
        <v>8</v>
      </c>
      <c r="K484" s="91">
        <f t="shared" si="140"/>
        <v>0</v>
      </c>
      <c r="L484" s="76">
        <f t="shared" si="141"/>
        <v>8</v>
      </c>
      <c r="N484" s="79">
        <f t="shared" si="143"/>
        <v>0</v>
      </c>
      <c r="O484" s="80">
        <f t="shared" si="144"/>
        <v>42</v>
      </c>
      <c r="P484" s="81">
        <f t="shared" si="145"/>
        <v>0</v>
      </c>
      <c r="Q484" s="79">
        <f t="shared" si="146"/>
        <v>0</v>
      </c>
      <c r="R484" s="80">
        <f t="shared" si="147"/>
        <v>48</v>
      </c>
      <c r="S484" s="81">
        <f t="shared" si="148"/>
        <v>0</v>
      </c>
      <c r="T484" s="92">
        <f t="shared" si="149"/>
        <v>90</v>
      </c>
      <c r="U484" s="93">
        <f t="shared" si="142"/>
        <v>72</v>
      </c>
    </row>
    <row r="485" spans="1:21" x14ac:dyDescent="0.25">
      <c r="A485" s="71">
        <f t="shared" si="134"/>
        <v>2024</v>
      </c>
      <c r="B485" s="72" t="str">
        <f t="shared" si="132"/>
        <v>FEVEREIRO</v>
      </c>
      <c r="C485" s="73" t="str">
        <f t="shared" si="133"/>
        <v>DOMINGO</v>
      </c>
      <c r="D485" s="74">
        <v>45333</v>
      </c>
      <c r="E485" s="89">
        <f t="shared" si="135"/>
        <v>0</v>
      </c>
      <c r="F485" s="90">
        <f t="shared" si="136"/>
        <v>0</v>
      </c>
      <c r="G485" s="91"/>
      <c r="H485" s="76">
        <f t="shared" si="137"/>
        <v>0</v>
      </c>
      <c r="I485" s="89">
        <f t="shared" si="138"/>
        <v>0</v>
      </c>
      <c r="J485" s="90">
        <f t="shared" si="139"/>
        <v>0</v>
      </c>
      <c r="K485" s="91">
        <f t="shared" si="140"/>
        <v>0</v>
      </c>
      <c r="L485" s="76">
        <f t="shared" si="141"/>
        <v>0</v>
      </c>
      <c r="N485" s="79">
        <f t="shared" si="143"/>
        <v>0</v>
      </c>
      <c r="O485" s="80">
        <f t="shared" si="144"/>
        <v>0</v>
      </c>
      <c r="P485" s="81">
        <f t="shared" si="145"/>
        <v>0</v>
      </c>
      <c r="Q485" s="79">
        <f t="shared" si="146"/>
        <v>0</v>
      </c>
      <c r="R485" s="80">
        <f t="shared" si="147"/>
        <v>0</v>
      </c>
      <c r="S485" s="81">
        <f t="shared" si="148"/>
        <v>0</v>
      </c>
      <c r="T485" s="92">
        <f t="shared" si="149"/>
        <v>0</v>
      </c>
      <c r="U485" s="93">
        <f t="shared" si="142"/>
        <v>0</v>
      </c>
    </row>
    <row r="486" spans="1:21" x14ac:dyDescent="0.25">
      <c r="A486" s="71">
        <f t="shared" si="134"/>
        <v>2024</v>
      </c>
      <c r="B486" s="72" t="str">
        <f t="shared" si="132"/>
        <v>FEVEREIRO</v>
      </c>
      <c r="C486" s="73" t="str">
        <f t="shared" si="133"/>
        <v>SEGUNDA</v>
      </c>
      <c r="D486" s="74">
        <v>45334</v>
      </c>
      <c r="E486" s="89">
        <f t="shared" si="135"/>
        <v>7</v>
      </c>
      <c r="F486" s="90">
        <f t="shared" si="136"/>
        <v>7</v>
      </c>
      <c r="G486" s="91"/>
      <c r="H486" s="76">
        <f t="shared" si="137"/>
        <v>14</v>
      </c>
      <c r="I486" s="89">
        <f t="shared" si="138"/>
        <v>8</v>
      </c>
      <c r="J486" s="90">
        <f t="shared" si="139"/>
        <v>8</v>
      </c>
      <c r="K486" s="91">
        <f t="shared" si="140"/>
        <v>8</v>
      </c>
      <c r="L486" s="76">
        <f t="shared" si="141"/>
        <v>24</v>
      </c>
      <c r="N486" s="79">
        <f t="shared" si="143"/>
        <v>52.36</v>
      </c>
      <c r="O486" s="80">
        <f t="shared" si="144"/>
        <v>42</v>
      </c>
      <c r="P486" s="81">
        <f t="shared" si="145"/>
        <v>0</v>
      </c>
      <c r="Q486" s="79">
        <f t="shared" si="146"/>
        <v>59.84</v>
      </c>
      <c r="R486" s="80">
        <f t="shared" si="147"/>
        <v>48</v>
      </c>
      <c r="S486" s="81">
        <f t="shared" si="148"/>
        <v>68</v>
      </c>
      <c r="T486" s="92">
        <f t="shared" si="149"/>
        <v>270.2</v>
      </c>
      <c r="U486" s="93">
        <f t="shared" si="142"/>
        <v>216.16</v>
      </c>
    </row>
    <row r="487" spans="1:21" x14ac:dyDescent="0.25">
      <c r="A487" s="71">
        <f t="shared" si="134"/>
        <v>2024</v>
      </c>
      <c r="B487" s="72" t="str">
        <f t="shared" si="132"/>
        <v>FEVEREIRO</v>
      </c>
      <c r="C487" s="73" t="str">
        <f t="shared" si="133"/>
        <v>TERÇA</v>
      </c>
      <c r="D487" s="74">
        <v>45335</v>
      </c>
      <c r="E487" s="89">
        <f t="shared" si="135"/>
        <v>7</v>
      </c>
      <c r="F487" s="90">
        <f t="shared" si="136"/>
        <v>7</v>
      </c>
      <c r="G487" s="91"/>
      <c r="H487" s="76">
        <f t="shared" si="137"/>
        <v>14</v>
      </c>
      <c r="I487" s="89">
        <f t="shared" si="138"/>
        <v>8</v>
      </c>
      <c r="J487" s="90">
        <f t="shared" si="139"/>
        <v>8</v>
      </c>
      <c r="K487" s="91">
        <f t="shared" si="140"/>
        <v>8</v>
      </c>
      <c r="L487" s="76">
        <f t="shared" si="141"/>
        <v>24</v>
      </c>
      <c r="N487" s="79">
        <f t="shared" si="143"/>
        <v>52.36</v>
      </c>
      <c r="O487" s="80">
        <f t="shared" si="144"/>
        <v>42</v>
      </c>
      <c r="P487" s="81">
        <f t="shared" si="145"/>
        <v>0</v>
      </c>
      <c r="Q487" s="79">
        <f t="shared" si="146"/>
        <v>59.84</v>
      </c>
      <c r="R487" s="80">
        <f t="shared" si="147"/>
        <v>48</v>
      </c>
      <c r="S487" s="81">
        <f t="shared" si="148"/>
        <v>68</v>
      </c>
      <c r="T487" s="92">
        <f t="shared" si="149"/>
        <v>270.2</v>
      </c>
      <c r="U487" s="93">
        <f t="shared" si="142"/>
        <v>216.16</v>
      </c>
    </row>
    <row r="488" spans="1:21" x14ac:dyDescent="0.25">
      <c r="A488" s="71">
        <f t="shared" si="134"/>
        <v>2024</v>
      </c>
      <c r="B488" s="72" t="str">
        <f t="shared" si="132"/>
        <v>FEVEREIRO</v>
      </c>
      <c r="C488" s="73" t="str">
        <f t="shared" si="133"/>
        <v>QUARTA</v>
      </c>
      <c r="D488" s="74">
        <v>45336</v>
      </c>
      <c r="E488" s="89">
        <f t="shared" si="135"/>
        <v>7</v>
      </c>
      <c r="F488" s="90">
        <f t="shared" si="136"/>
        <v>7</v>
      </c>
      <c r="G488" s="91"/>
      <c r="H488" s="76">
        <f t="shared" si="137"/>
        <v>14</v>
      </c>
      <c r="I488" s="89">
        <f t="shared" si="138"/>
        <v>8</v>
      </c>
      <c r="J488" s="90">
        <f t="shared" si="139"/>
        <v>8</v>
      </c>
      <c r="K488" s="91">
        <f t="shared" si="140"/>
        <v>8</v>
      </c>
      <c r="L488" s="76">
        <f t="shared" si="141"/>
        <v>24</v>
      </c>
      <c r="N488" s="79">
        <f t="shared" si="143"/>
        <v>52.36</v>
      </c>
      <c r="O488" s="80">
        <f t="shared" si="144"/>
        <v>42</v>
      </c>
      <c r="P488" s="81">
        <f t="shared" si="145"/>
        <v>0</v>
      </c>
      <c r="Q488" s="79">
        <f t="shared" si="146"/>
        <v>59.84</v>
      </c>
      <c r="R488" s="80">
        <f t="shared" si="147"/>
        <v>48</v>
      </c>
      <c r="S488" s="81">
        <f t="shared" si="148"/>
        <v>68</v>
      </c>
      <c r="T488" s="92">
        <f t="shared" si="149"/>
        <v>270.2</v>
      </c>
      <c r="U488" s="93">
        <f t="shared" si="142"/>
        <v>216.16</v>
      </c>
    </row>
    <row r="489" spans="1:21" x14ac:dyDescent="0.25">
      <c r="A489" s="71">
        <f t="shared" si="134"/>
        <v>2024</v>
      </c>
      <c r="B489" s="72" t="str">
        <f t="shared" si="132"/>
        <v>FEVEREIRO</v>
      </c>
      <c r="C489" s="73" t="str">
        <f t="shared" si="133"/>
        <v>QUINTA</v>
      </c>
      <c r="D489" s="74">
        <v>45337</v>
      </c>
      <c r="E489" s="89">
        <f t="shared" si="135"/>
        <v>7</v>
      </c>
      <c r="F489" s="90">
        <f t="shared" si="136"/>
        <v>7</v>
      </c>
      <c r="G489" s="91"/>
      <c r="H489" s="76">
        <f t="shared" si="137"/>
        <v>14</v>
      </c>
      <c r="I489" s="89">
        <f t="shared" si="138"/>
        <v>8</v>
      </c>
      <c r="J489" s="90">
        <f t="shared" si="139"/>
        <v>8</v>
      </c>
      <c r="K489" s="91">
        <f t="shared" si="140"/>
        <v>8</v>
      </c>
      <c r="L489" s="76">
        <f t="shared" si="141"/>
        <v>24</v>
      </c>
      <c r="N489" s="79">
        <f t="shared" si="143"/>
        <v>52.36</v>
      </c>
      <c r="O489" s="80">
        <f t="shared" si="144"/>
        <v>42</v>
      </c>
      <c r="P489" s="81">
        <f t="shared" si="145"/>
        <v>0</v>
      </c>
      <c r="Q489" s="79">
        <f t="shared" si="146"/>
        <v>59.84</v>
      </c>
      <c r="R489" s="80">
        <f t="shared" si="147"/>
        <v>48</v>
      </c>
      <c r="S489" s="81">
        <f t="shared" si="148"/>
        <v>68</v>
      </c>
      <c r="T489" s="92">
        <f t="shared" si="149"/>
        <v>270.2</v>
      </c>
      <c r="U489" s="93">
        <f t="shared" si="142"/>
        <v>216.16</v>
      </c>
    </row>
    <row r="490" spans="1:21" x14ac:dyDescent="0.25">
      <c r="A490" s="71">
        <f t="shared" si="134"/>
        <v>2024</v>
      </c>
      <c r="B490" s="72" t="str">
        <f t="shared" si="132"/>
        <v>FEVEREIRO</v>
      </c>
      <c r="C490" s="73" t="str">
        <f t="shared" si="133"/>
        <v>SEXTA</v>
      </c>
      <c r="D490" s="74">
        <v>45338</v>
      </c>
      <c r="E490" s="89">
        <f t="shared" si="135"/>
        <v>7</v>
      </c>
      <c r="F490" s="90">
        <f t="shared" si="136"/>
        <v>7</v>
      </c>
      <c r="G490" s="91"/>
      <c r="H490" s="76">
        <f t="shared" si="137"/>
        <v>14</v>
      </c>
      <c r="I490" s="89">
        <f t="shared" si="138"/>
        <v>8</v>
      </c>
      <c r="J490" s="90">
        <f t="shared" si="139"/>
        <v>8</v>
      </c>
      <c r="K490" s="91">
        <f t="shared" si="140"/>
        <v>8</v>
      </c>
      <c r="L490" s="76">
        <f t="shared" si="141"/>
        <v>24</v>
      </c>
      <c r="N490" s="79">
        <f t="shared" si="143"/>
        <v>52.36</v>
      </c>
      <c r="O490" s="80">
        <f t="shared" si="144"/>
        <v>42</v>
      </c>
      <c r="P490" s="81">
        <f t="shared" si="145"/>
        <v>0</v>
      </c>
      <c r="Q490" s="79">
        <f t="shared" si="146"/>
        <v>59.84</v>
      </c>
      <c r="R490" s="80">
        <f t="shared" si="147"/>
        <v>48</v>
      </c>
      <c r="S490" s="81">
        <f t="shared" si="148"/>
        <v>68</v>
      </c>
      <c r="T490" s="92">
        <f t="shared" si="149"/>
        <v>270.2</v>
      </c>
      <c r="U490" s="93">
        <f t="shared" si="142"/>
        <v>216.16</v>
      </c>
    </row>
    <row r="491" spans="1:21" x14ac:dyDescent="0.25">
      <c r="A491" s="71">
        <f t="shared" si="134"/>
        <v>2024</v>
      </c>
      <c r="B491" s="72" t="str">
        <f t="shared" si="132"/>
        <v>FEVEREIRO</v>
      </c>
      <c r="C491" s="73" t="str">
        <f t="shared" si="133"/>
        <v>SÁBADO</v>
      </c>
      <c r="D491" s="74">
        <v>45339</v>
      </c>
      <c r="E491" s="89">
        <f t="shared" si="135"/>
        <v>0</v>
      </c>
      <c r="F491" s="90">
        <f t="shared" si="136"/>
        <v>7</v>
      </c>
      <c r="G491" s="91"/>
      <c r="H491" s="76">
        <f t="shared" si="137"/>
        <v>7</v>
      </c>
      <c r="I491" s="89">
        <f t="shared" si="138"/>
        <v>0</v>
      </c>
      <c r="J491" s="90">
        <f t="shared" si="139"/>
        <v>8</v>
      </c>
      <c r="K491" s="91">
        <f t="shared" si="140"/>
        <v>0</v>
      </c>
      <c r="L491" s="76">
        <f t="shared" si="141"/>
        <v>8</v>
      </c>
      <c r="N491" s="79">
        <f t="shared" si="143"/>
        <v>0</v>
      </c>
      <c r="O491" s="80">
        <f t="shared" si="144"/>
        <v>42</v>
      </c>
      <c r="P491" s="81">
        <f t="shared" si="145"/>
        <v>0</v>
      </c>
      <c r="Q491" s="79">
        <f t="shared" si="146"/>
        <v>0</v>
      </c>
      <c r="R491" s="80">
        <f t="shared" si="147"/>
        <v>48</v>
      </c>
      <c r="S491" s="81">
        <f t="shared" si="148"/>
        <v>0</v>
      </c>
      <c r="T491" s="92">
        <f t="shared" si="149"/>
        <v>90</v>
      </c>
      <c r="U491" s="93">
        <f t="shared" si="142"/>
        <v>72</v>
      </c>
    </row>
    <row r="492" spans="1:21" x14ac:dyDescent="0.25">
      <c r="A492" s="71">
        <f t="shared" si="134"/>
        <v>2024</v>
      </c>
      <c r="B492" s="72" t="str">
        <f t="shared" si="132"/>
        <v>FEVEREIRO</v>
      </c>
      <c r="C492" s="73" t="str">
        <f t="shared" si="133"/>
        <v>DOMINGO</v>
      </c>
      <c r="D492" s="74">
        <v>45340</v>
      </c>
      <c r="E492" s="89">
        <f t="shared" si="135"/>
        <v>0</v>
      </c>
      <c r="F492" s="90">
        <f t="shared" si="136"/>
        <v>0</v>
      </c>
      <c r="G492" s="91"/>
      <c r="H492" s="76">
        <f t="shared" si="137"/>
        <v>0</v>
      </c>
      <c r="I492" s="89">
        <f t="shared" si="138"/>
        <v>0</v>
      </c>
      <c r="J492" s="90">
        <f t="shared" si="139"/>
        <v>0</v>
      </c>
      <c r="K492" s="91">
        <f t="shared" si="140"/>
        <v>0</v>
      </c>
      <c r="L492" s="76">
        <f t="shared" si="141"/>
        <v>0</v>
      </c>
      <c r="N492" s="79">
        <f t="shared" si="143"/>
        <v>0</v>
      </c>
      <c r="O492" s="80">
        <f t="shared" si="144"/>
        <v>0</v>
      </c>
      <c r="P492" s="81">
        <f t="shared" si="145"/>
        <v>0</v>
      </c>
      <c r="Q492" s="79">
        <f t="shared" si="146"/>
        <v>0</v>
      </c>
      <c r="R492" s="80">
        <f t="shared" si="147"/>
        <v>0</v>
      </c>
      <c r="S492" s="81">
        <f t="shared" si="148"/>
        <v>0</v>
      </c>
      <c r="T492" s="92">
        <f t="shared" si="149"/>
        <v>0</v>
      </c>
      <c r="U492" s="93">
        <f t="shared" si="142"/>
        <v>0</v>
      </c>
    </row>
    <row r="493" spans="1:21" x14ac:dyDescent="0.25">
      <c r="A493" s="71">
        <f t="shared" si="134"/>
        <v>2024</v>
      </c>
      <c r="B493" s="72" t="str">
        <f t="shared" si="132"/>
        <v>FEVEREIRO</v>
      </c>
      <c r="C493" s="73" t="str">
        <f t="shared" si="133"/>
        <v>SEGUNDA</v>
      </c>
      <c r="D493" s="74">
        <v>45341</v>
      </c>
      <c r="E493" s="89">
        <f t="shared" si="135"/>
        <v>7</v>
      </c>
      <c r="F493" s="90">
        <f t="shared" si="136"/>
        <v>7</v>
      </c>
      <c r="G493" s="91"/>
      <c r="H493" s="76">
        <f t="shared" si="137"/>
        <v>14</v>
      </c>
      <c r="I493" s="89">
        <f t="shared" si="138"/>
        <v>8</v>
      </c>
      <c r="J493" s="90">
        <f t="shared" si="139"/>
        <v>8</v>
      </c>
      <c r="K493" s="91">
        <f t="shared" si="140"/>
        <v>8</v>
      </c>
      <c r="L493" s="76">
        <f t="shared" si="141"/>
        <v>24</v>
      </c>
      <c r="N493" s="79">
        <f t="shared" si="143"/>
        <v>52.36</v>
      </c>
      <c r="O493" s="80">
        <f t="shared" si="144"/>
        <v>42</v>
      </c>
      <c r="P493" s="81">
        <f t="shared" si="145"/>
        <v>0</v>
      </c>
      <c r="Q493" s="79">
        <f t="shared" si="146"/>
        <v>59.84</v>
      </c>
      <c r="R493" s="80">
        <f t="shared" si="147"/>
        <v>48</v>
      </c>
      <c r="S493" s="81">
        <f t="shared" si="148"/>
        <v>68</v>
      </c>
      <c r="T493" s="92">
        <f t="shared" si="149"/>
        <v>270.2</v>
      </c>
      <c r="U493" s="93">
        <f t="shared" si="142"/>
        <v>216.16</v>
      </c>
    </row>
    <row r="494" spans="1:21" x14ac:dyDescent="0.25">
      <c r="A494" s="71">
        <f t="shared" si="134"/>
        <v>2024</v>
      </c>
      <c r="B494" s="72" t="str">
        <f t="shared" si="132"/>
        <v>FEVEREIRO</v>
      </c>
      <c r="C494" s="73" t="str">
        <f t="shared" si="133"/>
        <v>TERÇA</v>
      </c>
      <c r="D494" s="74">
        <v>45342</v>
      </c>
      <c r="E494" s="89">
        <f t="shared" si="135"/>
        <v>7</v>
      </c>
      <c r="F494" s="90">
        <f t="shared" si="136"/>
        <v>7</v>
      </c>
      <c r="G494" s="91"/>
      <c r="H494" s="76">
        <f t="shared" si="137"/>
        <v>14</v>
      </c>
      <c r="I494" s="89">
        <f t="shared" si="138"/>
        <v>8</v>
      </c>
      <c r="J494" s="90">
        <f t="shared" si="139"/>
        <v>8</v>
      </c>
      <c r="K494" s="91">
        <f t="shared" si="140"/>
        <v>8</v>
      </c>
      <c r="L494" s="76">
        <f t="shared" si="141"/>
        <v>24</v>
      </c>
      <c r="N494" s="79">
        <f t="shared" si="143"/>
        <v>52.36</v>
      </c>
      <c r="O494" s="80">
        <f t="shared" si="144"/>
        <v>42</v>
      </c>
      <c r="P494" s="81">
        <f t="shared" si="145"/>
        <v>0</v>
      </c>
      <c r="Q494" s="79">
        <f t="shared" si="146"/>
        <v>59.84</v>
      </c>
      <c r="R494" s="80">
        <f t="shared" si="147"/>
        <v>48</v>
      </c>
      <c r="S494" s="81">
        <f t="shared" si="148"/>
        <v>68</v>
      </c>
      <c r="T494" s="92">
        <f t="shared" si="149"/>
        <v>270.2</v>
      </c>
      <c r="U494" s="93">
        <f t="shared" si="142"/>
        <v>216.16</v>
      </c>
    </row>
    <row r="495" spans="1:21" x14ac:dyDescent="0.25">
      <c r="A495" s="71">
        <f t="shared" si="134"/>
        <v>2024</v>
      </c>
      <c r="B495" s="72" t="str">
        <f t="shared" si="132"/>
        <v>FEVEREIRO</v>
      </c>
      <c r="C495" s="73" t="str">
        <f t="shared" si="133"/>
        <v>QUARTA</v>
      </c>
      <c r="D495" s="74">
        <v>45343</v>
      </c>
      <c r="E495" s="89">
        <f t="shared" si="135"/>
        <v>7</v>
      </c>
      <c r="F495" s="90">
        <f t="shared" si="136"/>
        <v>7</v>
      </c>
      <c r="G495" s="91"/>
      <c r="H495" s="76">
        <f t="shared" si="137"/>
        <v>14</v>
      </c>
      <c r="I495" s="89">
        <f t="shared" si="138"/>
        <v>8</v>
      </c>
      <c r="J495" s="90">
        <f t="shared" si="139"/>
        <v>8</v>
      </c>
      <c r="K495" s="91">
        <f t="shared" si="140"/>
        <v>8</v>
      </c>
      <c r="L495" s="76">
        <f t="shared" si="141"/>
        <v>24</v>
      </c>
      <c r="N495" s="79">
        <f t="shared" si="143"/>
        <v>52.36</v>
      </c>
      <c r="O495" s="80">
        <f t="shared" si="144"/>
        <v>42</v>
      </c>
      <c r="P495" s="81">
        <f t="shared" si="145"/>
        <v>0</v>
      </c>
      <c r="Q495" s="79">
        <f t="shared" si="146"/>
        <v>59.84</v>
      </c>
      <c r="R495" s="80">
        <f t="shared" si="147"/>
        <v>48</v>
      </c>
      <c r="S495" s="81">
        <f t="shared" si="148"/>
        <v>68</v>
      </c>
      <c r="T495" s="92">
        <f t="shared" si="149"/>
        <v>270.2</v>
      </c>
      <c r="U495" s="93">
        <f t="shared" si="142"/>
        <v>216.16</v>
      </c>
    </row>
    <row r="496" spans="1:21" x14ac:dyDescent="0.25">
      <c r="A496" s="71">
        <f t="shared" si="134"/>
        <v>2024</v>
      </c>
      <c r="B496" s="72" t="str">
        <f t="shared" si="132"/>
        <v>FEVEREIRO</v>
      </c>
      <c r="C496" s="73" t="str">
        <f t="shared" si="133"/>
        <v>QUINTA</v>
      </c>
      <c r="D496" s="74">
        <v>45344</v>
      </c>
      <c r="E496" s="89">
        <f t="shared" si="135"/>
        <v>7</v>
      </c>
      <c r="F496" s="90">
        <f t="shared" si="136"/>
        <v>7</v>
      </c>
      <c r="G496" s="91"/>
      <c r="H496" s="76">
        <f t="shared" si="137"/>
        <v>14</v>
      </c>
      <c r="I496" s="89">
        <f t="shared" si="138"/>
        <v>8</v>
      </c>
      <c r="J496" s="90">
        <f t="shared" si="139"/>
        <v>8</v>
      </c>
      <c r="K496" s="91">
        <f t="shared" si="140"/>
        <v>8</v>
      </c>
      <c r="L496" s="76">
        <f t="shared" si="141"/>
        <v>24</v>
      </c>
      <c r="N496" s="79">
        <f t="shared" si="143"/>
        <v>52.36</v>
      </c>
      <c r="O496" s="80">
        <f t="shared" si="144"/>
        <v>42</v>
      </c>
      <c r="P496" s="81">
        <f t="shared" si="145"/>
        <v>0</v>
      </c>
      <c r="Q496" s="79">
        <f t="shared" si="146"/>
        <v>59.84</v>
      </c>
      <c r="R496" s="80">
        <f t="shared" si="147"/>
        <v>48</v>
      </c>
      <c r="S496" s="81">
        <f t="shared" si="148"/>
        <v>68</v>
      </c>
      <c r="T496" s="92">
        <f t="shared" si="149"/>
        <v>270.2</v>
      </c>
      <c r="U496" s="93">
        <f t="shared" si="142"/>
        <v>216.16</v>
      </c>
    </row>
    <row r="497" spans="1:21" x14ac:dyDescent="0.25">
      <c r="A497" s="71">
        <f t="shared" si="134"/>
        <v>2024</v>
      </c>
      <c r="B497" s="72" t="str">
        <f t="shared" si="132"/>
        <v>FEVEREIRO</v>
      </c>
      <c r="C497" s="73" t="str">
        <f t="shared" si="133"/>
        <v>SEXTA</v>
      </c>
      <c r="D497" s="74">
        <v>45345</v>
      </c>
      <c r="E497" s="89">
        <f t="shared" si="135"/>
        <v>7</v>
      </c>
      <c r="F497" s="90">
        <f t="shared" si="136"/>
        <v>7</v>
      </c>
      <c r="G497" s="91"/>
      <c r="H497" s="76">
        <f t="shared" si="137"/>
        <v>14</v>
      </c>
      <c r="I497" s="89">
        <f t="shared" si="138"/>
        <v>8</v>
      </c>
      <c r="J497" s="90">
        <f t="shared" si="139"/>
        <v>8</v>
      </c>
      <c r="K497" s="91">
        <f t="shared" si="140"/>
        <v>8</v>
      </c>
      <c r="L497" s="76">
        <f t="shared" si="141"/>
        <v>24</v>
      </c>
      <c r="N497" s="79">
        <f t="shared" si="143"/>
        <v>52.36</v>
      </c>
      <c r="O497" s="80">
        <f t="shared" si="144"/>
        <v>42</v>
      </c>
      <c r="P497" s="81">
        <f t="shared" si="145"/>
        <v>0</v>
      </c>
      <c r="Q497" s="79">
        <f t="shared" si="146"/>
        <v>59.84</v>
      </c>
      <c r="R497" s="80">
        <f t="shared" si="147"/>
        <v>48</v>
      </c>
      <c r="S497" s="81">
        <f t="shared" si="148"/>
        <v>68</v>
      </c>
      <c r="T497" s="92">
        <f t="shared" si="149"/>
        <v>270.2</v>
      </c>
      <c r="U497" s="93">
        <f t="shared" si="142"/>
        <v>216.16</v>
      </c>
    </row>
    <row r="498" spans="1:21" x14ac:dyDescent="0.25">
      <c r="A498" s="71">
        <f t="shared" si="134"/>
        <v>2024</v>
      </c>
      <c r="B498" s="72" t="str">
        <f t="shared" si="132"/>
        <v>FEVEREIRO</v>
      </c>
      <c r="C498" s="73" t="str">
        <f t="shared" si="133"/>
        <v>SÁBADO</v>
      </c>
      <c r="D498" s="74">
        <v>45346</v>
      </c>
      <c r="E498" s="89">
        <f t="shared" si="135"/>
        <v>0</v>
      </c>
      <c r="F498" s="90">
        <f t="shared" si="136"/>
        <v>7</v>
      </c>
      <c r="G498" s="91"/>
      <c r="H498" s="76">
        <f t="shared" si="137"/>
        <v>7</v>
      </c>
      <c r="I498" s="89">
        <f t="shared" si="138"/>
        <v>0</v>
      </c>
      <c r="J498" s="90">
        <f t="shared" si="139"/>
        <v>8</v>
      </c>
      <c r="K498" s="91">
        <f t="shared" si="140"/>
        <v>0</v>
      </c>
      <c r="L498" s="76">
        <f t="shared" si="141"/>
        <v>8</v>
      </c>
      <c r="N498" s="79">
        <f t="shared" si="143"/>
        <v>0</v>
      </c>
      <c r="O498" s="80">
        <f t="shared" si="144"/>
        <v>42</v>
      </c>
      <c r="P498" s="81">
        <f t="shared" si="145"/>
        <v>0</v>
      </c>
      <c r="Q498" s="79">
        <f t="shared" si="146"/>
        <v>0</v>
      </c>
      <c r="R498" s="80">
        <f t="shared" si="147"/>
        <v>48</v>
      </c>
      <c r="S498" s="81">
        <f t="shared" si="148"/>
        <v>0</v>
      </c>
      <c r="T498" s="92">
        <f t="shared" si="149"/>
        <v>90</v>
      </c>
      <c r="U498" s="93">
        <f t="shared" si="142"/>
        <v>72</v>
      </c>
    </row>
    <row r="499" spans="1:21" x14ac:dyDescent="0.25">
      <c r="A499" s="71">
        <f t="shared" si="134"/>
        <v>2024</v>
      </c>
      <c r="B499" s="72" t="str">
        <f t="shared" si="132"/>
        <v>FEVEREIRO</v>
      </c>
      <c r="C499" s="73" t="str">
        <f t="shared" si="133"/>
        <v>DOMINGO</v>
      </c>
      <c r="D499" s="74">
        <v>45347</v>
      </c>
      <c r="E499" s="89">
        <f t="shared" si="135"/>
        <v>0</v>
      </c>
      <c r="F499" s="90">
        <f t="shared" si="136"/>
        <v>0</v>
      </c>
      <c r="G499" s="91"/>
      <c r="H499" s="76">
        <f t="shared" si="137"/>
        <v>0</v>
      </c>
      <c r="I499" s="89">
        <f t="shared" si="138"/>
        <v>0</v>
      </c>
      <c r="J499" s="90">
        <f t="shared" si="139"/>
        <v>0</v>
      </c>
      <c r="K499" s="91">
        <f t="shared" si="140"/>
        <v>0</v>
      </c>
      <c r="L499" s="76">
        <f t="shared" si="141"/>
        <v>0</v>
      </c>
      <c r="N499" s="79">
        <f t="shared" si="143"/>
        <v>0</v>
      </c>
      <c r="O499" s="80">
        <f t="shared" si="144"/>
        <v>0</v>
      </c>
      <c r="P499" s="81">
        <f t="shared" si="145"/>
        <v>0</v>
      </c>
      <c r="Q499" s="79">
        <f t="shared" si="146"/>
        <v>0</v>
      </c>
      <c r="R499" s="80">
        <f t="shared" si="147"/>
        <v>0</v>
      </c>
      <c r="S499" s="81">
        <f t="shared" si="148"/>
        <v>0</v>
      </c>
      <c r="T499" s="92">
        <f t="shared" si="149"/>
        <v>0</v>
      </c>
      <c r="U499" s="93">
        <f t="shared" si="142"/>
        <v>0</v>
      </c>
    </row>
    <row r="500" spans="1:21" x14ac:dyDescent="0.25">
      <c r="A500" s="71">
        <f t="shared" si="134"/>
        <v>2024</v>
      </c>
      <c r="B500" s="72" t="str">
        <f t="shared" si="132"/>
        <v>FEVEREIRO</v>
      </c>
      <c r="C500" s="73" t="str">
        <f t="shared" si="133"/>
        <v>SEGUNDA</v>
      </c>
      <c r="D500" s="74">
        <v>45348</v>
      </c>
      <c r="E500" s="89">
        <f t="shared" si="135"/>
        <v>7</v>
      </c>
      <c r="F500" s="90">
        <f t="shared" si="136"/>
        <v>7</v>
      </c>
      <c r="G500" s="91"/>
      <c r="H500" s="76">
        <f t="shared" si="137"/>
        <v>14</v>
      </c>
      <c r="I500" s="89">
        <f t="shared" si="138"/>
        <v>8</v>
      </c>
      <c r="J500" s="90">
        <f t="shared" si="139"/>
        <v>8</v>
      </c>
      <c r="K500" s="91">
        <f t="shared" si="140"/>
        <v>8</v>
      </c>
      <c r="L500" s="76">
        <f t="shared" si="141"/>
        <v>24</v>
      </c>
      <c r="N500" s="79">
        <f t="shared" si="143"/>
        <v>52.36</v>
      </c>
      <c r="O500" s="80">
        <f t="shared" si="144"/>
        <v>42</v>
      </c>
      <c r="P500" s="81">
        <f t="shared" si="145"/>
        <v>0</v>
      </c>
      <c r="Q500" s="79">
        <f t="shared" si="146"/>
        <v>59.84</v>
      </c>
      <c r="R500" s="80">
        <f t="shared" si="147"/>
        <v>48</v>
      </c>
      <c r="S500" s="81">
        <f t="shared" si="148"/>
        <v>68</v>
      </c>
      <c r="T500" s="92">
        <f t="shared" si="149"/>
        <v>270.2</v>
      </c>
      <c r="U500" s="93">
        <f t="shared" si="142"/>
        <v>216.16</v>
      </c>
    </row>
    <row r="501" spans="1:21" x14ac:dyDescent="0.25">
      <c r="A501" s="71">
        <f t="shared" si="134"/>
        <v>2024</v>
      </c>
      <c r="B501" s="72" t="str">
        <f t="shared" si="132"/>
        <v>FEVEREIRO</v>
      </c>
      <c r="C501" s="73" t="str">
        <f t="shared" si="133"/>
        <v>TERÇA</v>
      </c>
      <c r="D501" s="74">
        <v>45349</v>
      </c>
      <c r="E501" s="89">
        <f t="shared" si="135"/>
        <v>7</v>
      </c>
      <c r="F501" s="90">
        <f t="shared" si="136"/>
        <v>7</v>
      </c>
      <c r="G501" s="91"/>
      <c r="H501" s="76">
        <f t="shared" si="137"/>
        <v>14</v>
      </c>
      <c r="I501" s="89">
        <f t="shared" si="138"/>
        <v>8</v>
      </c>
      <c r="J501" s="90">
        <f t="shared" si="139"/>
        <v>8</v>
      </c>
      <c r="K501" s="91">
        <f t="shared" si="140"/>
        <v>8</v>
      </c>
      <c r="L501" s="76">
        <f t="shared" si="141"/>
        <v>24</v>
      </c>
      <c r="N501" s="79">
        <f t="shared" si="143"/>
        <v>52.36</v>
      </c>
      <c r="O501" s="80">
        <f t="shared" si="144"/>
        <v>42</v>
      </c>
      <c r="P501" s="81">
        <f t="shared" si="145"/>
        <v>0</v>
      </c>
      <c r="Q501" s="79">
        <f t="shared" si="146"/>
        <v>59.84</v>
      </c>
      <c r="R501" s="80">
        <f t="shared" si="147"/>
        <v>48</v>
      </c>
      <c r="S501" s="81">
        <f t="shared" si="148"/>
        <v>68</v>
      </c>
      <c r="T501" s="92">
        <f t="shared" si="149"/>
        <v>270.2</v>
      </c>
      <c r="U501" s="93">
        <f t="shared" si="142"/>
        <v>216.16</v>
      </c>
    </row>
    <row r="502" spans="1:21" x14ac:dyDescent="0.25">
      <c r="A502" s="71">
        <f t="shared" si="134"/>
        <v>2024</v>
      </c>
      <c r="B502" s="72" t="str">
        <f t="shared" si="132"/>
        <v>FEVEREIRO</v>
      </c>
      <c r="C502" s="73" t="str">
        <f t="shared" si="133"/>
        <v>QUARTA</v>
      </c>
      <c r="D502" s="74">
        <v>45350</v>
      </c>
      <c r="E502" s="89">
        <f t="shared" si="135"/>
        <v>7</v>
      </c>
      <c r="F502" s="90">
        <f t="shared" si="136"/>
        <v>7</v>
      </c>
      <c r="G502" s="91"/>
      <c r="H502" s="76">
        <f t="shared" si="137"/>
        <v>14</v>
      </c>
      <c r="I502" s="89">
        <f t="shared" si="138"/>
        <v>8</v>
      </c>
      <c r="J502" s="90">
        <f t="shared" si="139"/>
        <v>8</v>
      </c>
      <c r="K502" s="91">
        <f t="shared" si="140"/>
        <v>8</v>
      </c>
      <c r="L502" s="76">
        <f t="shared" si="141"/>
        <v>24</v>
      </c>
      <c r="N502" s="79">
        <f t="shared" si="143"/>
        <v>52.36</v>
      </c>
      <c r="O502" s="80">
        <f t="shared" si="144"/>
        <v>42</v>
      </c>
      <c r="P502" s="81">
        <f t="shared" si="145"/>
        <v>0</v>
      </c>
      <c r="Q502" s="79">
        <f t="shared" si="146"/>
        <v>59.84</v>
      </c>
      <c r="R502" s="80">
        <f t="shared" si="147"/>
        <v>48</v>
      </c>
      <c r="S502" s="81">
        <f t="shared" si="148"/>
        <v>68</v>
      </c>
      <c r="T502" s="92">
        <f t="shared" si="149"/>
        <v>270.2</v>
      </c>
      <c r="U502" s="93">
        <f t="shared" si="142"/>
        <v>216.16</v>
      </c>
    </row>
    <row r="503" spans="1:21" x14ac:dyDescent="0.25">
      <c r="A503" s="71">
        <f t="shared" si="134"/>
        <v>2024</v>
      </c>
      <c r="B503" s="72" t="str">
        <f t="shared" si="132"/>
        <v>FEVEREIRO</v>
      </c>
      <c r="C503" s="73" t="str">
        <f t="shared" si="133"/>
        <v>QUINTA</v>
      </c>
      <c r="D503" s="74">
        <v>45351</v>
      </c>
      <c r="E503" s="89">
        <f t="shared" si="135"/>
        <v>7</v>
      </c>
      <c r="F503" s="90">
        <f t="shared" si="136"/>
        <v>7</v>
      </c>
      <c r="G503" s="91"/>
      <c r="H503" s="76">
        <f t="shared" si="137"/>
        <v>14</v>
      </c>
      <c r="I503" s="89">
        <f t="shared" si="138"/>
        <v>8</v>
      </c>
      <c r="J503" s="90">
        <f t="shared" si="139"/>
        <v>8</v>
      </c>
      <c r="K503" s="91">
        <f t="shared" si="140"/>
        <v>8</v>
      </c>
      <c r="L503" s="76">
        <f t="shared" si="141"/>
        <v>24</v>
      </c>
      <c r="N503" s="79">
        <f t="shared" si="143"/>
        <v>52.36</v>
      </c>
      <c r="O503" s="80">
        <f t="shared" si="144"/>
        <v>42</v>
      </c>
      <c r="P503" s="81">
        <f t="shared" si="145"/>
        <v>0</v>
      </c>
      <c r="Q503" s="79">
        <f t="shared" si="146"/>
        <v>59.84</v>
      </c>
      <c r="R503" s="80">
        <f t="shared" si="147"/>
        <v>48</v>
      </c>
      <c r="S503" s="81">
        <f t="shared" si="148"/>
        <v>68</v>
      </c>
      <c r="T503" s="92">
        <f t="shared" si="149"/>
        <v>270.2</v>
      </c>
      <c r="U503" s="93">
        <f t="shared" si="142"/>
        <v>216.16</v>
      </c>
    </row>
    <row r="504" spans="1:21" x14ac:dyDescent="0.25">
      <c r="A504" s="71">
        <f t="shared" si="134"/>
        <v>2024</v>
      </c>
      <c r="B504" s="72" t="str">
        <f t="shared" si="132"/>
        <v>MARÇO</v>
      </c>
      <c r="C504" s="73" t="str">
        <f t="shared" si="133"/>
        <v>SEXTA</v>
      </c>
      <c r="D504" s="74">
        <v>45352</v>
      </c>
      <c r="E504" s="89">
        <f t="shared" si="135"/>
        <v>7</v>
      </c>
      <c r="F504" s="90">
        <f t="shared" si="136"/>
        <v>7</v>
      </c>
      <c r="G504" s="91"/>
      <c r="H504" s="76">
        <f t="shared" si="137"/>
        <v>14</v>
      </c>
      <c r="I504" s="89">
        <f t="shared" si="138"/>
        <v>8</v>
      </c>
      <c r="J504" s="90">
        <f t="shared" si="139"/>
        <v>8</v>
      </c>
      <c r="K504" s="91">
        <f t="shared" si="140"/>
        <v>8</v>
      </c>
      <c r="L504" s="76">
        <f t="shared" si="141"/>
        <v>24</v>
      </c>
      <c r="N504" s="79">
        <f t="shared" si="143"/>
        <v>52.36</v>
      </c>
      <c r="O504" s="80">
        <f t="shared" si="144"/>
        <v>42</v>
      </c>
      <c r="P504" s="81">
        <f t="shared" si="145"/>
        <v>0</v>
      </c>
      <c r="Q504" s="79">
        <f t="shared" si="146"/>
        <v>59.84</v>
      </c>
      <c r="R504" s="80">
        <f t="shared" si="147"/>
        <v>48</v>
      </c>
      <c r="S504" s="81">
        <f t="shared" si="148"/>
        <v>68</v>
      </c>
      <c r="T504" s="92">
        <f t="shared" si="149"/>
        <v>270.2</v>
      </c>
      <c r="U504" s="93">
        <f t="shared" si="142"/>
        <v>216.16</v>
      </c>
    </row>
    <row r="505" spans="1:21" x14ac:dyDescent="0.25">
      <c r="A505" s="71">
        <f t="shared" si="134"/>
        <v>2024</v>
      </c>
      <c r="B505" s="72" t="str">
        <f t="shared" si="132"/>
        <v>MARÇO</v>
      </c>
      <c r="C505" s="73" t="str">
        <f t="shared" si="133"/>
        <v>SÁBADO</v>
      </c>
      <c r="D505" s="74">
        <v>45353</v>
      </c>
      <c r="E505" s="89">
        <f t="shared" si="135"/>
        <v>0</v>
      </c>
      <c r="F505" s="90">
        <f t="shared" si="136"/>
        <v>7</v>
      </c>
      <c r="G505" s="91"/>
      <c r="H505" s="76">
        <f t="shared" si="137"/>
        <v>7</v>
      </c>
      <c r="I505" s="89">
        <f t="shared" si="138"/>
        <v>0</v>
      </c>
      <c r="J505" s="90">
        <f t="shared" si="139"/>
        <v>8</v>
      </c>
      <c r="K505" s="91">
        <f t="shared" si="140"/>
        <v>0</v>
      </c>
      <c r="L505" s="76">
        <f t="shared" si="141"/>
        <v>8</v>
      </c>
      <c r="N505" s="79">
        <f t="shared" si="143"/>
        <v>0</v>
      </c>
      <c r="O505" s="80">
        <f t="shared" si="144"/>
        <v>42</v>
      </c>
      <c r="P505" s="81">
        <f t="shared" si="145"/>
        <v>0</v>
      </c>
      <c r="Q505" s="79">
        <f t="shared" si="146"/>
        <v>0</v>
      </c>
      <c r="R505" s="80">
        <f t="shared" si="147"/>
        <v>48</v>
      </c>
      <c r="S505" s="81">
        <f t="shared" si="148"/>
        <v>0</v>
      </c>
      <c r="T505" s="92">
        <f t="shared" si="149"/>
        <v>90</v>
      </c>
      <c r="U505" s="93">
        <f t="shared" si="142"/>
        <v>72</v>
      </c>
    </row>
    <row r="506" spans="1:21" x14ac:dyDescent="0.25">
      <c r="A506" s="71">
        <f t="shared" si="134"/>
        <v>2024</v>
      </c>
      <c r="B506" s="72" t="str">
        <f t="shared" si="132"/>
        <v>MARÇO</v>
      </c>
      <c r="C506" s="73" t="str">
        <f t="shared" si="133"/>
        <v>DOMINGO</v>
      </c>
      <c r="D506" s="74">
        <v>45354</v>
      </c>
      <c r="E506" s="89">
        <f t="shared" si="135"/>
        <v>0</v>
      </c>
      <c r="F506" s="90">
        <f t="shared" si="136"/>
        <v>0</v>
      </c>
      <c r="G506" s="91"/>
      <c r="H506" s="76">
        <f t="shared" si="137"/>
        <v>0</v>
      </c>
      <c r="I506" s="89">
        <f t="shared" si="138"/>
        <v>0</v>
      </c>
      <c r="J506" s="90">
        <f t="shared" si="139"/>
        <v>0</v>
      </c>
      <c r="K506" s="91">
        <f t="shared" si="140"/>
        <v>0</v>
      </c>
      <c r="L506" s="76">
        <f t="shared" si="141"/>
        <v>0</v>
      </c>
      <c r="N506" s="79">
        <f t="shared" si="143"/>
        <v>0</v>
      </c>
      <c r="O506" s="80">
        <f t="shared" si="144"/>
        <v>0</v>
      </c>
      <c r="P506" s="81">
        <f t="shared" si="145"/>
        <v>0</v>
      </c>
      <c r="Q506" s="79">
        <f t="shared" si="146"/>
        <v>0</v>
      </c>
      <c r="R506" s="80">
        <f t="shared" si="147"/>
        <v>0</v>
      </c>
      <c r="S506" s="81">
        <f t="shared" si="148"/>
        <v>0</v>
      </c>
      <c r="T506" s="92">
        <f t="shared" si="149"/>
        <v>0</v>
      </c>
      <c r="U506" s="93">
        <f t="shared" si="142"/>
        <v>0</v>
      </c>
    </row>
    <row r="507" spans="1:21" x14ac:dyDescent="0.25">
      <c r="A507" s="71">
        <f t="shared" si="134"/>
        <v>2024</v>
      </c>
      <c r="B507" s="72" t="str">
        <f t="shared" si="132"/>
        <v>MARÇO</v>
      </c>
      <c r="C507" s="73" t="str">
        <f t="shared" si="133"/>
        <v>SEGUNDA</v>
      </c>
      <c r="D507" s="74">
        <v>45355</v>
      </c>
      <c r="E507" s="89">
        <f t="shared" si="135"/>
        <v>7</v>
      </c>
      <c r="F507" s="90">
        <f t="shared" si="136"/>
        <v>7</v>
      </c>
      <c r="G507" s="91"/>
      <c r="H507" s="76">
        <f t="shared" si="137"/>
        <v>14</v>
      </c>
      <c r="I507" s="89">
        <f t="shared" si="138"/>
        <v>8</v>
      </c>
      <c r="J507" s="90">
        <f t="shared" si="139"/>
        <v>8</v>
      </c>
      <c r="K507" s="91">
        <f t="shared" si="140"/>
        <v>8</v>
      </c>
      <c r="L507" s="76">
        <f t="shared" si="141"/>
        <v>24</v>
      </c>
      <c r="N507" s="79">
        <f t="shared" si="143"/>
        <v>52.36</v>
      </c>
      <c r="O507" s="80">
        <f t="shared" si="144"/>
        <v>42</v>
      </c>
      <c r="P507" s="81">
        <f t="shared" si="145"/>
        <v>0</v>
      </c>
      <c r="Q507" s="79">
        <f t="shared" si="146"/>
        <v>59.84</v>
      </c>
      <c r="R507" s="80">
        <f t="shared" si="147"/>
        <v>48</v>
      </c>
      <c r="S507" s="81">
        <f t="shared" si="148"/>
        <v>68</v>
      </c>
      <c r="T507" s="92">
        <f t="shared" si="149"/>
        <v>270.2</v>
      </c>
      <c r="U507" s="93">
        <f t="shared" si="142"/>
        <v>216.16</v>
      </c>
    </row>
    <row r="508" spans="1:21" x14ac:dyDescent="0.25">
      <c r="A508" s="71">
        <f t="shared" si="134"/>
        <v>2024</v>
      </c>
      <c r="B508" s="72" t="str">
        <f t="shared" si="132"/>
        <v>MARÇO</v>
      </c>
      <c r="C508" s="73" t="str">
        <f t="shared" si="133"/>
        <v>TERÇA</v>
      </c>
      <c r="D508" s="74">
        <v>45356</v>
      </c>
      <c r="E508" s="89">
        <f t="shared" si="135"/>
        <v>7</v>
      </c>
      <c r="F508" s="90">
        <f t="shared" si="136"/>
        <v>7</v>
      </c>
      <c r="G508" s="91"/>
      <c r="H508" s="76">
        <f t="shared" si="137"/>
        <v>14</v>
      </c>
      <c r="I508" s="89">
        <f t="shared" si="138"/>
        <v>8</v>
      </c>
      <c r="J508" s="90">
        <f t="shared" si="139"/>
        <v>8</v>
      </c>
      <c r="K508" s="91">
        <f t="shared" si="140"/>
        <v>8</v>
      </c>
      <c r="L508" s="76">
        <f t="shared" si="141"/>
        <v>24</v>
      </c>
      <c r="N508" s="79">
        <f t="shared" si="143"/>
        <v>52.36</v>
      </c>
      <c r="O508" s="80">
        <f t="shared" si="144"/>
        <v>42</v>
      </c>
      <c r="P508" s="81">
        <f t="shared" si="145"/>
        <v>0</v>
      </c>
      <c r="Q508" s="79">
        <f t="shared" si="146"/>
        <v>59.84</v>
      </c>
      <c r="R508" s="80">
        <f t="shared" si="147"/>
        <v>48</v>
      </c>
      <c r="S508" s="81">
        <f t="shared" si="148"/>
        <v>68</v>
      </c>
      <c r="T508" s="92">
        <f t="shared" si="149"/>
        <v>270.2</v>
      </c>
      <c r="U508" s="93">
        <f t="shared" si="142"/>
        <v>216.16</v>
      </c>
    </row>
    <row r="509" spans="1:21" x14ac:dyDescent="0.25">
      <c r="A509" s="71">
        <f t="shared" si="134"/>
        <v>2024</v>
      </c>
      <c r="B509" s="72" t="str">
        <f t="shared" si="132"/>
        <v>MARÇO</v>
      </c>
      <c r="C509" s="73" t="str">
        <f t="shared" si="133"/>
        <v>QUARTA</v>
      </c>
      <c r="D509" s="74">
        <v>45357</v>
      </c>
      <c r="E509" s="89">
        <f t="shared" si="135"/>
        <v>7</v>
      </c>
      <c r="F509" s="90">
        <f t="shared" si="136"/>
        <v>7</v>
      </c>
      <c r="G509" s="91"/>
      <c r="H509" s="76">
        <f t="shared" si="137"/>
        <v>14</v>
      </c>
      <c r="I509" s="89">
        <f t="shared" si="138"/>
        <v>8</v>
      </c>
      <c r="J509" s="90">
        <f t="shared" si="139"/>
        <v>8</v>
      </c>
      <c r="K509" s="91">
        <f t="shared" si="140"/>
        <v>8</v>
      </c>
      <c r="L509" s="76">
        <f t="shared" si="141"/>
        <v>24</v>
      </c>
      <c r="N509" s="79">
        <f t="shared" si="143"/>
        <v>52.36</v>
      </c>
      <c r="O509" s="80">
        <f t="shared" si="144"/>
        <v>42</v>
      </c>
      <c r="P509" s="81">
        <f t="shared" si="145"/>
        <v>0</v>
      </c>
      <c r="Q509" s="79">
        <f t="shared" si="146"/>
        <v>59.84</v>
      </c>
      <c r="R509" s="80">
        <f t="shared" si="147"/>
        <v>48</v>
      </c>
      <c r="S509" s="81">
        <f t="shared" si="148"/>
        <v>68</v>
      </c>
      <c r="T509" s="92">
        <f t="shared" si="149"/>
        <v>270.2</v>
      </c>
      <c r="U509" s="93">
        <f t="shared" si="142"/>
        <v>216.16</v>
      </c>
    </row>
    <row r="510" spans="1:21" x14ac:dyDescent="0.25">
      <c r="A510" s="71">
        <f t="shared" si="134"/>
        <v>2024</v>
      </c>
      <c r="B510" s="72" t="str">
        <f t="shared" si="132"/>
        <v>MARÇO</v>
      </c>
      <c r="C510" s="73" t="str">
        <f t="shared" si="133"/>
        <v>QUINTA</v>
      </c>
      <c r="D510" s="74">
        <v>45358</v>
      </c>
      <c r="E510" s="89">
        <f t="shared" si="135"/>
        <v>7</v>
      </c>
      <c r="F510" s="90">
        <f t="shared" si="136"/>
        <v>7</v>
      </c>
      <c r="G510" s="91"/>
      <c r="H510" s="76">
        <f t="shared" si="137"/>
        <v>14</v>
      </c>
      <c r="I510" s="89">
        <f t="shared" si="138"/>
        <v>8</v>
      </c>
      <c r="J510" s="90">
        <f t="shared" si="139"/>
        <v>8</v>
      </c>
      <c r="K510" s="91">
        <f t="shared" si="140"/>
        <v>8</v>
      </c>
      <c r="L510" s="76">
        <f t="shared" si="141"/>
        <v>24</v>
      </c>
      <c r="N510" s="79">
        <f t="shared" si="143"/>
        <v>52.36</v>
      </c>
      <c r="O510" s="80">
        <f t="shared" si="144"/>
        <v>42</v>
      </c>
      <c r="P510" s="81">
        <f t="shared" si="145"/>
        <v>0</v>
      </c>
      <c r="Q510" s="79">
        <f t="shared" si="146"/>
        <v>59.84</v>
      </c>
      <c r="R510" s="80">
        <f t="shared" si="147"/>
        <v>48</v>
      </c>
      <c r="S510" s="81">
        <f t="shared" si="148"/>
        <v>68</v>
      </c>
      <c r="T510" s="92">
        <f t="shared" si="149"/>
        <v>270.2</v>
      </c>
      <c r="U510" s="93">
        <f t="shared" si="142"/>
        <v>216.16</v>
      </c>
    </row>
    <row r="511" spans="1:21" x14ac:dyDescent="0.25">
      <c r="A511" s="71">
        <f t="shared" si="134"/>
        <v>2024</v>
      </c>
      <c r="B511" s="72" t="str">
        <f t="shared" ref="B511:B574" si="150">VLOOKUP(MONTH(D511),$AG$2:$AH$14,2,0)</f>
        <v>MARÇO</v>
      </c>
      <c r="C511" s="73" t="str">
        <f t="shared" si="133"/>
        <v>SEXTA</v>
      </c>
      <c r="D511" s="74">
        <v>45359</v>
      </c>
      <c r="E511" s="89">
        <f t="shared" si="135"/>
        <v>7</v>
      </c>
      <c r="F511" s="90">
        <f t="shared" si="136"/>
        <v>7</v>
      </c>
      <c r="G511" s="91"/>
      <c r="H511" s="76">
        <f t="shared" si="137"/>
        <v>14</v>
      </c>
      <c r="I511" s="89">
        <f t="shared" si="138"/>
        <v>8</v>
      </c>
      <c r="J511" s="90">
        <f t="shared" si="139"/>
        <v>8</v>
      </c>
      <c r="K511" s="91">
        <f t="shared" si="140"/>
        <v>8</v>
      </c>
      <c r="L511" s="76">
        <f t="shared" si="141"/>
        <v>24</v>
      </c>
      <c r="N511" s="79">
        <f t="shared" si="143"/>
        <v>52.36</v>
      </c>
      <c r="O511" s="80">
        <f t="shared" si="144"/>
        <v>42</v>
      </c>
      <c r="P511" s="81">
        <f t="shared" si="145"/>
        <v>0</v>
      </c>
      <c r="Q511" s="79">
        <f t="shared" si="146"/>
        <v>59.84</v>
      </c>
      <c r="R511" s="80">
        <f t="shared" si="147"/>
        <v>48</v>
      </c>
      <c r="S511" s="81">
        <f t="shared" si="148"/>
        <v>68</v>
      </c>
      <c r="T511" s="92">
        <f t="shared" si="149"/>
        <v>270.2</v>
      </c>
      <c r="U511" s="93">
        <f t="shared" si="142"/>
        <v>216.16</v>
      </c>
    </row>
    <row r="512" spans="1:21" x14ac:dyDescent="0.25">
      <c r="A512" s="71">
        <f t="shared" si="134"/>
        <v>2024</v>
      </c>
      <c r="B512" s="72" t="str">
        <f t="shared" si="150"/>
        <v>MARÇO</v>
      </c>
      <c r="C512" s="73" t="str">
        <f t="shared" si="133"/>
        <v>SÁBADO</v>
      </c>
      <c r="D512" s="74">
        <v>45360</v>
      </c>
      <c r="E512" s="89">
        <f t="shared" si="135"/>
        <v>0</v>
      </c>
      <c r="F512" s="90">
        <f t="shared" si="136"/>
        <v>7</v>
      </c>
      <c r="G512" s="91"/>
      <c r="H512" s="76">
        <f t="shared" si="137"/>
        <v>7</v>
      </c>
      <c r="I512" s="89">
        <f t="shared" si="138"/>
        <v>0</v>
      </c>
      <c r="J512" s="90">
        <f t="shared" si="139"/>
        <v>8</v>
      </c>
      <c r="K512" s="91">
        <f t="shared" si="140"/>
        <v>0</v>
      </c>
      <c r="L512" s="76">
        <f t="shared" si="141"/>
        <v>8</v>
      </c>
      <c r="N512" s="79">
        <f t="shared" si="143"/>
        <v>0</v>
      </c>
      <c r="O512" s="80">
        <f t="shared" si="144"/>
        <v>42</v>
      </c>
      <c r="P512" s="81">
        <f t="shared" si="145"/>
        <v>0</v>
      </c>
      <c r="Q512" s="79">
        <f t="shared" si="146"/>
        <v>0</v>
      </c>
      <c r="R512" s="80">
        <f t="shared" si="147"/>
        <v>48</v>
      </c>
      <c r="S512" s="81">
        <f t="shared" si="148"/>
        <v>0</v>
      </c>
      <c r="T512" s="92">
        <f t="shared" si="149"/>
        <v>90</v>
      </c>
      <c r="U512" s="93">
        <f t="shared" si="142"/>
        <v>72</v>
      </c>
    </row>
    <row r="513" spans="1:21" x14ac:dyDescent="0.25">
      <c r="A513" s="71">
        <f t="shared" si="134"/>
        <v>2024</v>
      </c>
      <c r="B513" s="72" t="str">
        <f t="shared" si="150"/>
        <v>MARÇO</v>
      </c>
      <c r="C513" s="73" t="str">
        <f t="shared" si="133"/>
        <v>DOMINGO</v>
      </c>
      <c r="D513" s="74">
        <v>45361</v>
      </c>
      <c r="E513" s="89">
        <f t="shared" si="135"/>
        <v>0</v>
      </c>
      <c r="F513" s="90">
        <f t="shared" si="136"/>
        <v>0</v>
      </c>
      <c r="G513" s="91"/>
      <c r="H513" s="76">
        <f t="shared" si="137"/>
        <v>0</v>
      </c>
      <c r="I513" s="89">
        <f t="shared" si="138"/>
        <v>0</v>
      </c>
      <c r="J513" s="90">
        <f t="shared" si="139"/>
        <v>0</v>
      </c>
      <c r="K513" s="91">
        <f t="shared" si="140"/>
        <v>0</v>
      </c>
      <c r="L513" s="76">
        <f t="shared" si="141"/>
        <v>0</v>
      </c>
      <c r="N513" s="79">
        <f t="shared" si="143"/>
        <v>0</v>
      </c>
      <c r="O513" s="80">
        <f t="shared" si="144"/>
        <v>0</v>
      </c>
      <c r="P513" s="81">
        <f t="shared" si="145"/>
        <v>0</v>
      </c>
      <c r="Q513" s="79">
        <f t="shared" si="146"/>
        <v>0</v>
      </c>
      <c r="R513" s="80">
        <f t="shared" si="147"/>
        <v>0</v>
      </c>
      <c r="S513" s="81">
        <f t="shared" si="148"/>
        <v>0</v>
      </c>
      <c r="T513" s="92">
        <f t="shared" si="149"/>
        <v>0</v>
      </c>
      <c r="U513" s="93">
        <f t="shared" si="142"/>
        <v>0</v>
      </c>
    </row>
    <row r="514" spans="1:21" x14ac:dyDescent="0.25">
      <c r="A514" s="71">
        <f t="shared" si="134"/>
        <v>2024</v>
      </c>
      <c r="B514" s="72" t="str">
        <f t="shared" si="150"/>
        <v>MARÇO</v>
      </c>
      <c r="C514" s="73" t="str">
        <f t="shared" si="133"/>
        <v>SEGUNDA</v>
      </c>
      <c r="D514" s="74">
        <v>45362</v>
      </c>
      <c r="E514" s="89">
        <f t="shared" si="135"/>
        <v>7</v>
      </c>
      <c r="F514" s="90">
        <f t="shared" si="136"/>
        <v>7</v>
      </c>
      <c r="G514" s="91"/>
      <c r="H514" s="76">
        <f t="shared" si="137"/>
        <v>14</v>
      </c>
      <c r="I514" s="89">
        <f t="shared" si="138"/>
        <v>8</v>
      </c>
      <c r="J514" s="90">
        <f t="shared" si="139"/>
        <v>8</v>
      </c>
      <c r="K514" s="91">
        <f t="shared" si="140"/>
        <v>8</v>
      </c>
      <c r="L514" s="76">
        <f t="shared" si="141"/>
        <v>24</v>
      </c>
      <c r="N514" s="79">
        <f t="shared" si="143"/>
        <v>52.36</v>
      </c>
      <c r="O514" s="80">
        <f t="shared" si="144"/>
        <v>42</v>
      </c>
      <c r="P514" s="81">
        <f t="shared" si="145"/>
        <v>0</v>
      </c>
      <c r="Q514" s="79">
        <f t="shared" si="146"/>
        <v>59.84</v>
      </c>
      <c r="R514" s="80">
        <f t="shared" si="147"/>
        <v>48</v>
      </c>
      <c r="S514" s="81">
        <f t="shared" si="148"/>
        <v>68</v>
      </c>
      <c r="T514" s="92">
        <f t="shared" si="149"/>
        <v>270.2</v>
      </c>
      <c r="U514" s="93">
        <f t="shared" si="142"/>
        <v>216.16</v>
      </c>
    </row>
    <row r="515" spans="1:21" x14ac:dyDescent="0.25">
      <c r="A515" s="71">
        <f t="shared" si="134"/>
        <v>2024</v>
      </c>
      <c r="B515" s="72" t="str">
        <f t="shared" si="150"/>
        <v>MARÇO</v>
      </c>
      <c r="C515" s="73" t="str">
        <f t="shared" si="133"/>
        <v>TERÇA</v>
      </c>
      <c r="D515" s="74">
        <v>45363</v>
      </c>
      <c r="E515" s="89">
        <f t="shared" si="135"/>
        <v>7</v>
      </c>
      <c r="F515" s="90">
        <f t="shared" si="136"/>
        <v>7</v>
      </c>
      <c r="G515" s="91"/>
      <c r="H515" s="76">
        <f t="shared" si="137"/>
        <v>14</v>
      </c>
      <c r="I515" s="89">
        <f t="shared" si="138"/>
        <v>8</v>
      </c>
      <c r="J515" s="90">
        <f t="shared" si="139"/>
        <v>8</v>
      </c>
      <c r="K515" s="91">
        <f t="shared" si="140"/>
        <v>8</v>
      </c>
      <c r="L515" s="76">
        <f t="shared" si="141"/>
        <v>24</v>
      </c>
      <c r="N515" s="79">
        <f t="shared" si="143"/>
        <v>52.36</v>
      </c>
      <c r="O515" s="80">
        <f t="shared" si="144"/>
        <v>42</v>
      </c>
      <c r="P515" s="81">
        <f t="shared" si="145"/>
        <v>0</v>
      </c>
      <c r="Q515" s="79">
        <f t="shared" si="146"/>
        <v>59.84</v>
      </c>
      <c r="R515" s="80">
        <f t="shared" si="147"/>
        <v>48</v>
      </c>
      <c r="S515" s="81">
        <f t="shared" si="148"/>
        <v>68</v>
      </c>
      <c r="T515" s="92">
        <f t="shared" si="149"/>
        <v>270.2</v>
      </c>
      <c r="U515" s="93">
        <f t="shared" si="142"/>
        <v>216.16</v>
      </c>
    </row>
    <row r="516" spans="1:21" x14ac:dyDescent="0.25">
      <c r="A516" s="71">
        <f t="shared" si="134"/>
        <v>2024</v>
      </c>
      <c r="B516" s="72" t="str">
        <f t="shared" si="150"/>
        <v>MARÇO</v>
      </c>
      <c r="C516" s="73" t="str">
        <f t="shared" si="133"/>
        <v>QUARTA</v>
      </c>
      <c r="D516" s="74">
        <v>45364</v>
      </c>
      <c r="E516" s="89">
        <f t="shared" si="135"/>
        <v>7</v>
      </c>
      <c r="F516" s="90">
        <f t="shared" si="136"/>
        <v>7</v>
      </c>
      <c r="G516" s="91"/>
      <c r="H516" s="76">
        <f t="shared" si="137"/>
        <v>14</v>
      </c>
      <c r="I516" s="89">
        <f t="shared" si="138"/>
        <v>8</v>
      </c>
      <c r="J516" s="90">
        <f t="shared" si="139"/>
        <v>8</v>
      </c>
      <c r="K516" s="91">
        <f t="shared" si="140"/>
        <v>8</v>
      </c>
      <c r="L516" s="76">
        <f t="shared" si="141"/>
        <v>24</v>
      </c>
      <c r="N516" s="79">
        <f t="shared" si="143"/>
        <v>52.36</v>
      </c>
      <c r="O516" s="80">
        <f t="shared" si="144"/>
        <v>42</v>
      </c>
      <c r="P516" s="81">
        <f t="shared" si="145"/>
        <v>0</v>
      </c>
      <c r="Q516" s="79">
        <f t="shared" si="146"/>
        <v>59.84</v>
      </c>
      <c r="R516" s="80">
        <f t="shared" si="147"/>
        <v>48</v>
      </c>
      <c r="S516" s="81">
        <f t="shared" si="148"/>
        <v>68</v>
      </c>
      <c r="T516" s="92">
        <f t="shared" si="149"/>
        <v>270.2</v>
      </c>
      <c r="U516" s="93">
        <f t="shared" si="142"/>
        <v>216.16</v>
      </c>
    </row>
    <row r="517" spans="1:21" x14ac:dyDescent="0.25">
      <c r="A517" s="71">
        <f t="shared" si="134"/>
        <v>2024</v>
      </c>
      <c r="B517" s="72" t="str">
        <f t="shared" si="150"/>
        <v>MARÇO</v>
      </c>
      <c r="C517" s="73" t="str">
        <f t="shared" ref="C517:C580" si="151">VLOOKUP(WEEKDAY(D517),$AE$2:$AF$9,2,0)</f>
        <v>QUINTA</v>
      </c>
      <c r="D517" s="74">
        <v>45365</v>
      </c>
      <c r="E517" s="89">
        <f t="shared" si="135"/>
        <v>7</v>
      </c>
      <c r="F517" s="90">
        <f t="shared" si="136"/>
        <v>7</v>
      </c>
      <c r="G517" s="91"/>
      <c r="H517" s="76">
        <f t="shared" si="137"/>
        <v>14</v>
      </c>
      <c r="I517" s="89">
        <f t="shared" si="138"/>
        <v>8</v>
      </c>
      <c r="J517" s="90">
        <f t="shared" si="139"/>
        <v>8</v>
      </c>
      <c r="K517" s="91">
        <f t="shared" si="140"/>
        <v>8</v>
      </c>
      <c r="L517" s="76">
        <f t="shared" si="141"/>
        <v>24</v>
      </c>
      <c r="N517" s="79">
        <f t="shared" si="143"/>
        <v>52.36</v>
      </c>
      <c r="O517" s="80">
        <f t="shared" si="144"/>
        <v>42</v>
      </c>
      <c r="P517" s="81">
        <f t="shared" si="145"/>
        <v>0</v>
      </c>
      <c r="Q517" s="79">
        <f t="shared" si="146"/>
        <v>59.84</v>
      </c>
      <c r="R517" s="80">
        <f t="shared" si="147"/>
        <v>48</v>
      </c>
      <c r="S517" s="81">
        <f t="shared" si="148"/>
        <v>68</v>
      </c>
      <c r="T517" s="92">
        <f t="shared" si="149"/>
        <v>270.2</v>
      </c>
      <c r="U517" s="93">
        <f t="shared" si="142"/>
        <v>216.16</v>
      </c>
    </row>
    <row r="518" spans="1:21" x14ac:dyDescent="0.25">
      <c r="A518" s="71">
        <f t="shared" ref="A518:A581" si="152">YEAR(D518)</f>
        <v>2024</v>
      </c>
      <c r="B518" s="72" t="str">
        <f t="shared" si="150"/>
        <v>MARÇO</v>
      </c>
      <c r="C518" s="73" t="str">
        <f t="shared" si="151"/>
        <v>SEXTA</v>
      </c>
      <c r="D518" s="74">
        <v>45366</v>
      </c>
      <c r="E518" s="89">
        <f t="shared" ref="E518:E581" si="153">IF(WEEKDAY($D518)&lt;2,0,IF(WEEKDAY($D518)&gt;6,0,7))</f>
        <v>7</v>
      </c>
      <c r="F518" s="90">
        <f t="shared" ref="F518:F581" si="154">IF(WEEKDAY($D518)&lt;2,0,IF(WEEKDAY($D518)&gt;7,0,7))</f>
        <v>7</v>
      </c>
      <c r="G518" s="91"/>
      <c r="H518" s="76">
        <f t="shared" ref="H518:H523" si="155">SUM(E518:G518)</f>
        <v>14</v>
      </c>
      <c r="I518" s="89">
        <f t="shared" si="138"/>
        <v>8</v>
      </c>
      <c r="J518" s="90">
        <f t="shared" si="139"/>
        <v>8</v>
      </c>
      <c r="K518" s="91">
        <f t="shared" si="140"/>
        <v>8</v>
      </c>
      <c r="L518" s="76">
        <f t="shared" si="141"/>
        <v>24</v>
      </c>
      <c r="N518" s="79">
        <f t="shared" si="143"/>
        <v>52.36</v>
      </c>
      <c r="O518" s="80">
        <f t="shared" si="144"/>
        <v>42</v>
      </c>
      <c r="P518" s="81">
        <f t="shared" si="145"/>
        <v>0</v>
      </c>
      <c r="Q518" s="79">
        <f t="shared" si="146"/>
        <v>59.84</v>
      </c>
      <c r="R518" s="80">
        <f t="shared" si="147"/>
        <v>48</v>
      </c>
      <c r="S518" s="81">
        <f t="shared" si="148"/>
        <v>68</v>
      </c>
      <c r="T518" s="92">
        <f t="shared" si="149"/>
        <v>270.2</v>
      </c>
      <c r="U518" s="93">
        <f t="shared" si="142"/>
        <v>216.16</v>
      </c>
    </row>
    <row r="519" spans="1:21" x14ac:dyDescent="0.25">
      <c r="A519" s="71">
        <f t="shared" si="152"/>
        <v>2024</v>
      </c>
      <c r="B519" s="72" t="str">
        <f t="shared" si="150"/>
        <v>MARÇO</v>
      </c>
      <c r="C519" s="73" t="str">
        <f t="shared" si="151"/>
        <v>SÁBADO</v>
      </c>
      <c r="D519" s="74">
        <v>45367</v>
      </c>
      <c r="E519" s="89">
        <f t="shared" si="153"/>
        <v>0</v>
      </c>
      <c r="F519" s="90">
        <f t="shared" si="154"/>
        <v>7</v>
      </c>
      <c r="G519" s="91"/>
      <c r="H519" s="76">
        <f t="shared" si="155"/>
        <v>7</v>
      </c>
      <c r="I519" s="89">
        <f t="shared" ref="I519:I582" si="156">IF(WEEKDAY($D519)&lt;2,0,IF(WEEKDAY($D519)&gt;6,0,8))</f>
        <v>0</v>
      </c>
      <c r="J519" s="90">
        <f t="shared" ref="J519:J582" si="157">IF(WEEKDAY($D519)&lt;2,0,IF(WEEKDAY($D519)&gt;7,0,8))</f>
        <v>8</v>
      </c>
      <c r="K519" s="91">
        <f t="shared" ref="K519:K582" si="158">IF(WEEKDAY($D519)&lt;2,0,IF(WEEKDAY($D519)&gt;6,0,8))</f>
        <v>0</v>
      </c>
      <c r="L519" s="76">
        <f t="shared" ref="L519:L523" si="159">SUM(I519:K519)</f>
        <v>8</v>
      </c>
      <c r="N519" s="79">
        <f t="shared" si="143"/>
        <v>0</v>
      </c>
      <c r="O519" s="80">
        <f t="shared" si="144"/>
        <v>42</v>
      </c>
      <c r="P519" s="81">
        <f t="shared" si="145"/>
        <v>0</v>
      </c>
      <c r="Q519" s="79">
        <f t="shared" si="146"/>
        <v>0</v>
      </c>
      <c r="R519" s="80">
        <f t="shared" si="147"/>
        <v>48</v>
      </c>
      <c r="S519" s="81">
        <f t="shared" si="148"/>
        <v>0</v>
      </c>
      <c r="T519" s="92">
        <f t="shared" si="149"/>
        <v>90</v>
      </c>
      <c r="U519" s="93">
        <f t="shared" ref="U519:U582" si="160">T519*0.8</f>
        <v>72</v>
      </c>
    </row>
    <row r="520" spans="1:21" x14ac:dyDescent="0.25">
      <c r="A520" s="71">
        <f t="shared" si="152"/>
        <v>2024</v>
      </c>
      <c r="B520" s="72" t="str">
        <f t="shared" si="150"/>
        <v>MARÇO</v>
      </c>
      <c r="C520" s="73" t="str">
        <f t="shared" si="151"/>
        <v>DOMINGO</v>
      </c>
      <c r="D520" s="74">
        <v>45368</v>
      </c>
      <c r="E520" s="89">
        <f t="shared" si="153"/>
        <v>0</v>
      </c>
      <c r="F520" s="90">
        <f t="shared" si="154"/>
        <v>0</v>
      </c>
      <c r="G520" s="91"/>
      <c r="H520" s="76">
        <f t="shared" si="155"/>
        <v>0</v>
      </c>
      <c r="I520" s="89">
        <f t="shared" si="156"/>
        <v>0</v>
      </c>
      <c r="J520" s="90">
        <f t="shared" si="157"/>
        <v>0</v>
      </c>
      <c r="K520" s="91">
        <f t="shared" si="158"/>
        <v>0</v>
      </c>
      <c r="L520" s="76">
        <f t="shared" si="159"/>
        <v>0</v>
      </c>
      <c r="N520" s="79">
        <f t="shared" si="143"/>
        <v>0</v>
      </c>
      <c r="O520" s="80">
        <f t="shared" si="144"/>
        <v>0</v>
      </c>
      <c r="P520" s="81">
        <f t="shared" si="145"/>
        <v>0</v>
      </c>
      <c r="Q520" s="79">
        <f t="shared" si="146"/>
        <v>0</v>
      </c>
      <c r="R520" s="80">
        <f t="shared" si="147"/>
        <v>0</v>
      </c>
      <c r="S520" s="81">
        <f t="shared" si="148"/>
        <v>0</v>
      </c>
      <c r="T520" s="92">
        <f t="shared" si="149"/>
        <v>0</v>
      </c>
      <c r="U520" s="93">
        <f t="shared" si="160"/>
        <v>0</v>
      </c>
    </row>
    <row r="521" spans="1:21" x14ac:dyDescent="0.25">
      <c r="A521" s="71">
        <f t="shared" si="152"/>
        <v>2024</v>
      </c>
      <c r="B521" s="72" t="str">
        <f t="shared" si="150"/>
        <v>MARÇO</v>
      </c>
      <c r="C521" s="73" t="str">
        <f t="shared" si="151"/>
        <v>SEGUNDA</v>
      </c>
      <c r="D521" s="74">
        <v>45369</v>
      </c>
      <c r="E521" s="89">
        <f t="shared" si="153"/>
        <v>7</v>
      </c>
      <c r="F521" s="90">
        <f t="shared" si="154"/>
        <v>7</v>
      </c>
      <c r="G521" s="91"/>
      <c r="H521" s="76">
        <f t="shared" si="155"/>
        <v>14</v>
      </c>
      <c r="I521" s="89">
        <f t="shared" si="156"/>
        <v>8</v>
      </c>
      <c r="J521" s="90">
        <f t="shared" si="157"/>
        <v>8</v>
      </c>
      <c r="K521" s="91">
        <f t="shared" si="158"/>
        <v>8</v>
      </c>
      <c r="L521" s="76">
        <f t="shared" si="159"/>
        <v>24</v>
      </c>
      <c r="N521" s="79">
        <f t="shared" si="143"/>
        <v>52.36</v>
      </c>
      <c r="O521" s="80">
        <f t="shared" si="144"/>
        <v>42</v>
      </c>
      <c r="P521" s="81">
        <f t="shared" si="145"/>
        <v>0</v>
      </c>
      <c r="Q521" s="79">
        <f t="shared" si="146"/>
        <v>59.84</v>
      </c>
      <c r="R521" s="80">
        <f t="shared" si="147"/>
        <v>48</v>
      </c>
      <c r="S521" s="81">
        <f t="shared" si="148"/>
        <v>68</v>
      </c>
      <c r="T521" s="92">
        <f t="shared" si="149"/>
        <v>270.2</v>
      </c>
      <c r="U521" s="93">
        <f t="shared" si="160"/>
        <v>216.16</v>
      </c>
    </row>
    <row r="522" spans="1:21" x14ac:dyDescent="0.25">
      <c r="A522" s="71">
        <f t="shared" si="152"/>
        <v>2024</v>
      </c>
      <c r="B522" s="72" t="str">
        <f t="shared" si="150"/>
        <v>MARÇO</v>
      </c>
      <c r="C522" s="73" t="str">
        <f t="shared" si="151"/>
        <v>TERÇA</v>
      </c>
      <c r="D522" s="74">
        <v>45370</v>
      </c>
      <c r="E522" s="89">
        <f t="shared" si="153"/>
        <v>7</v>
      </c>
      <c r="F522" s="90">
        <f t="shared" si="154"/>
        <v>7</v>
      </c>
      <c r="G522" s="91"/>
      <c r="H522" s="76">
        <f t="shared" si="155"/>
        <v>14</v>
      </c>
      <c r="I522" s="89">
        <f t="shared" si="156"/>
        <v>8</v>
      </c>
      <c r="J522" s="90">
        <f t="shared" si="157"/>
        <v>8</v>
      </c>
      <c r="K522" s="91">
        <f t="shared" si="158"/>
        <v>8</v>
      </c>
      <c r="L522" s="76">
        <f t="shared" si="159"/>
        <v>24</v>
      </c>
      <c r="N522" s="79">
        <f t="shared" si="143"/>
        <v>52.36</v>
      </c>
      <c r="O522" s="80">
        <f t="shared" si="144"/>
        <v>42</v>
      </c>
      <c r="P522" s="81">
        <f t="shared" si="145"/>
        <v>0</v>
      </c>
      <c r="Q522" s="79">
        <f t="shared" si="146"/>
        <v>59.84</v>
      </c>
      <c r="R522" s="80">
        <f t="shared" si="147"/>
        <v>48</v>
      </c>
      <c r="S522" s="81">
        <f t="shared" si="148"/>
        <v>68</v>
      </c>
      <c r="T522" s="92">
        <f t="shared" si="149"/>
        <v>270.2</v>
      </c>
      <c r="U522" s="93">
        <f t="shared" si="160"/>
        <v>216.16</v>
      </c>
    </row>
    <row r="523" spans="1:21" x14ac:dyDescent="0.25">
      <c r="A523" s="71">
        <f t="shared" si="152"/>
        <v>2024</v>
      </c>
      <c r="B523" s="72" t="str">
        <f t="shared" si="150"/>
        <v>MARÇO</v>
      </c>
      <c r="C523" s="73" t="str">
        <f t="shared" si="151"/>
        <v>QUARTA</v>
      </c>
      <c r="D523" s="74">
        <v>45371</v>
      </c>
      <c r="E523" s="89">
        <f t="shared" si="153"/>
        <v>7</v>
      </c>
      <c r="F523" s="90">
        <f t="shared" si="154"/>
        <v>7</v>
      </c>
      <c r="G523" s="91"/>
      <c r="H523" s="76">
        <f t="shared" si="155"/>
        <v>14</v>
      </c>
      <c r="I523" s="89">
        <f t="shared" si="156"/>
        <v>8</v>
      </c>
      <c r="J523" s="90">
        <f t="shared" si="157"/>
        <v>8</v>
      </c>
      <c r="K523" s="91">
        <f t="shared" si="158"/>
        <v>8</v>
      </c>
      <c r="L523" s="76">
        <f t="shared" si="159"/>
        <v>24</v>
      </c>
      <c r="N523" s="79">
        <f t="shared" si="143"/>
        <v>52.36</v>
      </c>
      <c r="O523" s="80">
        <f t="shared" si="144"/>
        <v>42</v>
      </c>
      <c r="P523" s="81">
        <f t="shared" si="145"/>
        <v>0</v>
      </c>
      <c r="Q523" s="79">
        <f t="shared" si="146"/>
        <v>59.84</v>
      </c>
      <c r="R523" s="80">
        <f t="shared" si="147"/>
        <v>48</v>
      </c>
      <c r="S523" s="81">
        <f t="shared" si="148"/>
        <v>68</v>
      </c>
      <c r="T523" s="92">
        <f t="shared" si="149"/>
        <v>270.2</v>
      </c>
      <c r="U523" s="93">
        <f t="shared" si="160"/>
        <v>216.16</v>
      </c>
    </row>
    <row r="524" spans="1:21" x14ac:dyDescent="0.25">
      <c r="A524" s="71">
        <f t="shared" si="152"/>
        <v>2024</v>
      </c>
      <c r="B524" s="72" t="str">
        <f t="shared" si="150"/>
        <v>MARÇO</v>
      </c>
      <c r="C524" s="73" t="str">
        <f t="shared" si="151"/>
        <v>QUINTA</v>
      </c>
      <c r="D524" s="74">
        <v>45372</v>
      </c>
      <c r="E524" s="89">
        <f t="shared" si="153"/>
        <v>7</v>
      </c>
      <c r="F524" s="90">
        <f t="shared" si="154"/>
        <v>7</v>
      </c>
      <c r="G524" s="91"/>
      <c r="H524" s="75"/>
      <c r="I524" s="89">
        <f t="shared" si="156"/>
        <v>8</v>
      </c>
      <c r="J524" s="90">
        <f t="shared" si="157"/>
        <v>8</v>
      </c>
      <c r="K524" s="91">
        <f t="shared" si="158"/>
        <v>8</v>
      </c>
      <c r="L524" s="76"/>
      <c r="N524" s="79">
        <f t="shared" si="143"/>
        <v>52.36</v>
      </c>
      <c r="O524" s="80">
        <f t="shared" si="144"/>
        <v>42</v>
      </c>
      <c r="P524" s="81">
        <f t="shared" si="145"/>
        <v>0</v>
      </c>
      <c r="Q524" s="79">
        <f t="shared" si="146"/>
        <v>59.84</v>
      </c>
      <c r="R524" s="80">
        <f t="shared" si="147"/>
        <v>48</v>
      </c>
      <c r="S524" s="81">
        <f t="shared" si="148"/>
        <v>68</v>
      </c>
      <c r="T524" s="92">
        <f t="shared" si="149"/>
        <v>270.2</v>
      </c>
      <c r="U524" s="93">
        <f t="shared" si="160"/>
        <v>216.16</v>
      </c>
    </row>
    <row r="525" spans="1:21" x14ac:dyDescent="0.25">
      <c r="A525" s="71">
        <f t="shared" si="152"/>
        <v>2024</v>
      </c>
      <c r="B525" s="72" t="str">
        <f t="shared" si="150"/>
        <v>MARÇO</v>
      </c>
      <c r="C525" s="73" t="str">
        <f t="shared" si="151"/>
        <v>SEXTA</v>
      </c>
      <c r="D525" s="74">
        <v>45373</v>
      </c>
      <c r="E525" s="89">
        <f t="shared" si="153"/>
        <v>7</v>
      </c>
      <c r="F525" s="90">
        <f t="shared" si="154"/>
        <v>7</v>
      </c>
      <c r="G525" s="91"/>
      <c r="H525" s="75"/>
      <c r="I525" s="89">
        <f t="shared" si="156"/>
        <v>8</v>
      </c>
      <c r="J525" s="90">
        <f t="shared" si="157"/>
        <v>8</v>
      </c>
      <c r="K525" s="91">
        <f t="shared" si="158"/>
        <v>8</v>
      </c>
      <c r="L525" s="76"/>
      <c r="N525" s="79">
        <f t="shared" si="143"/>
        <v>52.36</v>
      </c>
      <c r="O525" s="80">
        <f t="shared" si="144"/>
        <v>42</v>
      </c>
      <c r="P525" s="81">
        <f t="shared" si="145"/>
        <v>0</v>
      </c>
      <c r="Q525" s="79">
        <f t="shared" si="146"/>
        <v>59.84</v>
      </c>
      <c r="R525" s="80">
        <f t="shared" si="147"/>
        <v>48</v>
      </c>
      <c r="S525" s="81">
        <f t="shared" si="148"/>
        <v>68</v>
      </c>
      <c r="T525" s="92">
        <f t="shared" si="149"/>
        <v>270.2</v>
      </c>
      <c r="U525" s="93">
        <f t="shared" si="160"/>
        <v>216.16</v>
      </c>
    </row>
    <row r="526" spans="1:21" x14ac:dyDescent="0.25">
      <c r="A526" s="71">
        <f t="shared" si="152"/>
        <v>2024</v>
      </c>
      <c r="B526" s="72" t="str">
        <f t="shared" si="150"/>
        <v>MARÇO</v>
      </c>
      <c r="C526" s="73" t="str">
        <f t="shared" si="151"/>
        <v>SÁBADO</v>
      </c>
      <c r="D526" s="74">
        <v>45374</v>
      </c>
      <c r="E526" s="89">
        <f t="shared" si="153"/>
        <v>0</v>
      </c>
      <c r="F526" s="90">
        <f t="shared" si="154"/>
        <v>7</v>
      </c>
      <c r="G526" s="91"/>
      <c r="H526" s="75"/>
      <c r="I526" s="89">
        <f t="shared" si="156"/>
        <v>0</v>
      </c>
      <c r="J526" s="90">
        <f t="shared" si="157"/>
        <v>8</v>
      </c>
      <c r="K526" s="91">
        <f t="shared" si="158"/>
        <v>0</v>
      </c>
      <c r="L526" s="76"/>
      <c r="N526" s="79">
        <f t="shared" si="143"/>
        <v>0</v>
      </c>
      <c r="O526" s="80">
        <f t="shared" si="144"/>
        <v>42</v>
      </c>
      <c r="P526" s="81">
        <f t="shared" si="145"/>
        <v>0</v>
      </c>
      <c r="Q526" s="79">
        <f t="shared" si="146"/>
        <v>0</v>
      </c>
      <c r="R526" s="80">
        <f t="shared" si="147"/>
        <v>48</v>
      </c>
      <c r="S526" s="81">
        <f t="shared" si="148"/>
        <v>0</v>
      </c>
      <c r="T526" s="92">
        <f t="shared" si="149"/>
        <v>90</v>
      </c>
      <c r="U526" s="93">
        <f t="shared" si="160"/>
        <v>72</v>
      </c>
    </row>
    <row r="527" spans="1:21" x14ac:dyDescent="0.25">
      <c r="A527" s="71">
        <f t="shared" si="152"/>
        <v>2024</v>
      </c>
      <c r="B527" s="72" t="str">
        <f t="shared" si="150"/>
        <v>MARÇO</v>
      </c>
      <c r="C527" s="73" t="str">
        <f t="shared" si="151"/>
        <v>DOMINGO</v>
      </c>
      <c r="D527" s="74">
        <v>45375</v>
      </c>
      <c r="E527" s="89">
        <f t="shared" si="153"/>
        <v>0</v>
      </c>
      <c r="F527" s="90">
        <f t="shared" si="154"/>
        <v>0</v>
      </c>
      <c r="G527" s="91"/>
      <c r="H527" s="75"/>
      <c r="I527" s="89">
        <f t="shared" si="156"/>
        <v>0</v>
      </c>
      <c r="J527" s="90">
        <f t="shared" si="157"/>
        <v>0</v>
      </c>
      <c r="K527" s="91">
        <f t="shared" si="158"/>
        <v>0</v>
      </c>
      <c r="L527" s="76"/>
      <c r="N527" s="79">
        <f t="shared" si="143"/>
        <v>0</v>
      </c>
      <c r="O527" s="80">
        <f t="shared" si="144"/>
        <v>0</v>
      </c>
      <c r="P527" s="81">
        <f t="shared" si="145"/>
        <v>0</v>
      </c>
      <c r="Q527" s="79">
        <f t="shared" si="146"/>
        <v>0</v>
      </c>
      <c r="R527" s="80">
        <f t="shared" si="147"/>
        <v>0</v>
      </c>
      <c r="S527" s="81">
        <f t="shared" si="148"/>
        <v>0</v>
      </c>
      <c r="T527" s="92">
        <f t="shared" si="149"/>
        <v>0</v>
      </c>
      <c r="U527" s="93">
        <f t="shared" si="160"/>
        <v>0</v>
      </c>
    </row>
    <row r="528" spans="1:21" x14ac:dyDescent="0.25">
      <c r="A528" s="71">
        <f t="shared" si="152"/>
        <v>2024</v>
      </c>
      <c r="B528" s="72" t="str">
        <f t="shared" si="150"/>
        <v>MARÇO</v>
      </c>
      <c r="C528" s="73" t="str">
        <f t="shared" si="151"/>
        <v>SEGUNDA</v>
      </c>
      <c r="D528" s="74">
        <v>45376</v>
      </c>
      <c r="E528" s="89">
        <f t="shared" si="153"/>
        <v>7</v>
      </c>
      <c r="F528" s="90">
        <f t="shared" si="154"/>
        <v>7</v>
      </c>
      <c r="G528" s="91"/>
      <c r="H528" s="75"/>
      <c r="I528" s="89">
        <f t="shared" si="156"/>
        <v>8</v>
      </c>
      <c r="J528" s="90">
        <f t="shared" si="157"/>
        <v>8</v>
      </c>
      <c r="K528" s="91">
        <f t="shared" si="158"/>
        <v>8</v>
      </c>
      <c r="L528" s="76"/>
      <c r="N528" s="79">
        <f t="shared" si="143"/>
        <v>52.36</v>
      </c>
      <c r="O528" s="80">
        <f t="shared" si="144"/>
        <v>42</v>
      </c>
      <c r="P528" s="81">
        <f t="shared" si="145"/>
        <v>0</v>
      </c>
      <c r="Q528" s="79">
        <f t="shared" si="146"/>
        <v>59.84</v>
      </c>
      <c r="R528" s="80">
        <f t="shared" si="147"/>
        <v>48</v>
      </c>
      <c r="S528" s="81">
        <f t="shared" si="148"/>
        <v>68</v>
      </c>
      <c r="T528" s="92">
        <f t="shared" si="149"/>
        <v>270.2</v>
      </c>
      <c r="U528" s="93">
        <f t="shared" si="160"/>
        <v>216.16</v>
      </c>
    </row>
    <row r="529" spans="1:21" x14ac:dyDescent="0.25">
      <c r="A529" s="71">
        <f t="shared" si="152"/>
        <v>2024</v>
      </c>
      <c r="B529" s="72" t="str">
        <f t="shared" si="150"/>
        <v>MARÇO</v>
      </c>
      <c r="C529" s="73" t="str">
        <f t="shared" si="151"/>
        <v>TERÇA</v>
      </c>
      <c r="D529" s="74">
        <v>45377</v>
      </c>
      <c r="E529" s="89">
        <f t="shared" si="153"/>
        <v>7</v>
      </c>
      <c r="F529" s="90">
        <f t="shared" si="154"/>
        <v>7</v>
      </c>
      <c r="G529" s="91"/>
      <c r="H529" s="75"/>
      <c r="I529" s="89">
        <f t="shared" si="156"/>
        <v>8</v>
      </c>
      <c r="J529" s="90">
        <f t="shared" si="157"/>
        <v>8</v>
      </c>
      <c r="K529" s="91">
        <f t="shared" si="158"/>
        <v>8</v>
      </c>
      <c r="L529" s="76"/>
      <c r="N529" s="79">
        <f t="shared" si="143"/>
        <v>52.36</v>
      </c>
      <c r="O529" s="80">
        <f t="shared" si="144"/>
        <v>42</v>
      </c>
      <c r="P529" s="81">
        <f t="shared" si="145"/>
        <v>0</v>
      </c>
      <c r="Q529" s="79">
        <f t="shared" si="146"/>
        <v>59.84</v>
      </c>
      <c r="R529" s="80">
        <f t="shared" si="147"/>
        <v>48</v>
      </c>
      <c r="S529" s="81">
        <f t="shared" si="148"/>
        <v>68</v>
      </c>
      <c r="T529" s="92">
        <f t="shared" si="149"/>
        <v>270.2</v>
      </c>
      <c r="U529" s="93">
        <f t="shared" si="160"/>
        <v>216.16</v>
      </c>
    </row>
    <row r="530" spans="1:21" x14ac:dyDescent="0.25">
      <c r="A530" s="71">
        <f t="shared" si="152"/>
        <v>2024</v>
      </c>
      <c r="B530" s="72" t="str">
        <f t="shared" si="150"/>
        <v>MARÇO</v>
      </c>
      <c r="C530" s="73" t="str">
        <f t="shared" si="151"/>
        <v>QUARTA</v>
      </c>
      <c r="D530" s="74">
        <v>45378</v>
      </c>
      <c r="E530" s="89">
        <f t="shared" si="153"/>
        <v>7</v>
      </c>
      <c r="F530" s="90">
        <f t="shared" si="154"/>
        <v>7</v>
      </c>
      <c r="G530" s="91"/>
      <c r="H530" s="75"/>
      <c r="I530" s="89">
        <f t="shared" si="156"/>
        <v>8</v>
      </c>
      <c r="J530" s="90">
        <f t="shared" si="157"/>
        <v>8</v>
      </c>
      <c r="K530" s="91">
        <f t="shared" si="158"/>
        <v>8</v>
      </c>
      <c r="L530" s="76"/>
      <c r="N530" s="79">
        <f t="shared" si="143"/>
        <v>52.36</v>
      </c>
      <c r="O530" s="80">
        <f t="shared" si="144"/>
        <v>42</v>
      </c>
      <c r="P530" s="81">
        <f t="shared" si="145"/>
        <v>0</v>
      </c>
      <c r="Q530" s="79">
        <f t="shared" si="146"/>
        <v>59.84</v>
      </c>
      <c r="R530" s="80">
        <f t="shared" si="147"/>
        <v>48</v>
      </c>
      <c r="S530" s="81">
        <f t="shared" si="148"/>
        <v>68</v>
      </c>
      <c r="T530" s="92">
        <f t="shared" si="149"/>
        <v>270.2</v>
      </c>
      <c r="U530" s="93">
        <f t="shared" si="160"/>
        <v>216.16</v>
      </c>
    </row>
    <row r="531" spans="1:21" x14ac:dyDescent="0.25">
      <c r="A531" s="71">
        <f t="shared" si="152"/>
        <v>2024</v>
      </c>
      <c r="B531" s="72" t="str">
        <f t="shared" si="150"/>
        <v>MARÇO</v>
      </c>
      <c r="C531" s="73" t="str">
        <f t="shared" si="151"/>
        <v>QUINTA</v>
      </c>
      <c r="D531" s="74">
        <v>45379</v>
      </c>
      <c r="E531" s="89">
        <f t="shared" si="153"/>
        <v>7</v>
      </c>
      <c r="F531" s="90">
        <f t="shared" si="154"/>
        <v>7</v>
      </c>
      <c r="G531" s="91"/>
      <c r="H531" s="75"/>
      <c r="I531" s="89">
        <f t="shared" si="156"/>
        <v>8</v>
      </c>
      <c r="J531" s="90">
        <f t="shared" si="157"/>
        <v>8</v>
      </c>
      <c r="K531" s="91">
        <f t="shared" si="158"/>
        <v>8</v>
      </c>
      <c r="L531" s="76"/>
      <c r="N531" s="79">
        <f t="shared" si="143"/>
        <v>52.36</v>
      </c>
      <c r="O531" s="80">
        <f t="shared" si="144"/>
        <v>42</v>
      </c>
      <c r="P531" s="81">
        <f t="shared" si="145"/>
        <v>0</v>
      </c>
      <c r="Q531" s="79">
        <f t="shared" si="146"/>
        <v>59.84</v>
      </c>
      <c r="R531" s="80">
        <f t="shared" si="147"/>
        <v>48</v>
      </c>
      <c r="S531" s="81">
        <f t="shared" si="148"/>
        <v>68</v>
      </c>
      <c r="T531" s="92">
        <f t="shared" si="149"/>
        <v>270.2</v>
      </c>
      <c r="U531" s="93">
        <f t="shared" si="160"/>
        <v>216.16</v>
      </c>
    </row>
    <row r="532" spans="1:21" x14ac:dyDescent="0.25">
      <c r="A532" s="71">
        <f t="shared" si="152"/>
        <v>2024</v>
      </c>
      <c r="B532" s="72" t="str">
        <f t="shared" si="150"/>
        <v>MARÇO</v>
      </c>
      <c r="C532" s="73" t="str">
        <f t="shared" si="151"/>
        <v>SEXTA</v>
      </c>
      <c r="D532" s="74">
        <v>45380</v>
      </c>
      <c r="E532" s="89">
        <f t="shared" si="153"/>
        <v>7</v>
      </c>
      <c r="F532" s="90">
        <f t="shared" si="154"/>
        <v>7</v>
      </c>
      <c r="G532" s="91"/>
      <c r="H532" s="75"/>
      <c r="I532" s="89">
        <f t="shared" si="156"/>
        <v>8</v>
      </c>
      <c r="J532" s="90">
        <f t="shared" si="157"/>
        <v>8</v>
      </c>
      <c r="K532" s="91">
        <f t="shared" si="158"/>
        <v>8</v>
      </c>
      <c r="L532" s="76"/>
      <c r="N532" s="79">
        <f t="shared" si="143"/>
        <v>52.36</v>
      </c>
      <c r="O532" s="80">
        <f t="shared" si="144"/>
        <v>42</v>
      </c>
      <c r="P532" s="81">
        <f t="shared" si="145"/>
        <v>0</v>
      </c>
      <c r="Q532" s="79">
        <f t="shared" si="146"/>
        <v>59.84</v>
      </c>
      <c r="R532" s="80">
        <f t="shared" si="147"/>
        <v>48</v>
      </c>
      <c r="S532" s="81">
        <f t="shared" si="148"/>
        <v>68</v>
      </c>
      <c r="T532" s="92">
        <f t="shared" si="149"/>
        <v>270.2</v>
      </c>
      <c r="U532" s="93">
        <f t="shared" si="160"/>
        <v>216.16</v>
      </c>
    </row>
    <row r="533" spans="1:21" x14ac:dyDescent="0.25">
      <c r="A533" s="71">
        <f t="shared" si="152"/>
        <v>2024</v>
      </c>
      <c r="B533" s="72" t="str">
        <f t="shared" si="150"/>
        <v>MARÇO</v>
      </c>
      <c r="C533" s="73" t="str">
        <f t="shared" si="151"/>
        <v>SÁBADO</v>
      </c>
      <c r="D533" s="74">
        <v>45381</v>
      </c>
      <c r="E533" s="89">
        <f t="shared" si="153"/>
        <v>0</v>
      </c>
      <c r="F533" s="90">
        <f t="shared" si="154"/>
        <v>7</v>
      </c>
      <c r="G533" s="91"/>
      <c r="H533" s="75"/>
      <c r="I533" s="89">
        <f t="shared" si="156"/>
        <v>0</v>
      </c>
      <c r="J533" s="90">
        <f t="shared" si="157"/>
        <v>8</v>
      </c>
      <c r="K533" s="91">
        <f t="shared" si="158"/>
        <v>0</v>
      </c>
      <c r="L533" s="76"/>
      <c r="N533" s="79">
        <f t="shared" si="143"/>
        <v>0</v>
      </c>
      <c r="O533" s="80">
        <f t="shared" si="144"/>
        <v>42</v>
      </c>
      <c r="P533" s="81">
        <f t="shared" si="145"/>
        <v>0</v>
      </c>
      <c r="Q533" s="79">
        <f t="shared" si="146"/>
        <v>0</v>
      </c>
      <c r="R533" s="80">
        <f t="shared" si="147"/>
        <v>48</v>
      </c>
      <c r="S533" s="81">
        <f t="shared" si="148"/>
        <v>0</v>
      </c>
      <c r="T533" s="92">
        <f t="shared" si="149"/>
        <v>90</v>
      </c>
      <c r="U533" s="93">
        <f t="shared" si="160"/>
        <v>72</v>
      </c>
    </row>
    <row r="534" spans="1:21" x14ac:dyDescent="0.25">
      <c r="A534" s="71">
        <f t="shared" si="152"/>
        <v>2024</v>
      </c>
      <c r="B534" s="72" t="str">
        <f t="shared" si="150"/>
        <v>MARÇO</v>
      </c>
      <c r="C534" s="73" t="str">
        <f t="shared" si="151"/>
        <v>DOMINGO</v>
      </c>
      <c r="D534" s="74">
        <v>45382</v>
      </c>
      <c r="E534" s="89">
        <f t="shared" si="153"/>
        <v>0</v>
      </c>
      <c r="F534" s="90">
        <f t="shared" si="154"/>
        <v>0</v>
      </c>
      <c r="G534" s="91"/>
      <c r="H534" s="75"/>
      <c r="I534" s="89">
        <f t="shared" si="156"/>
        <v>0</v>
      </c>
      <c r="J534" s="90">
        <f t="shared" si="157"/>
        <v>0</v>
      </c>
      <c r="K534" s="91">
        <f t="shared" si="158"/>
        <v>0</v>
      </c>
      <c r="L534" s="76"/>
      <c r="N534" s="79">
        <f t="shared" si="143"/>
        <v>0</v>
      </c>
      <c r="O534" s="80">
        <f t="shared" si="144"/>
        <v>0</v>
      </c>
      <c r="P534" s="81">
        <f t="shared" si="145"/>
        <v>0</v>
      </c>
      <c r="Q534" s="79">
        <f t="shared" si="146"/>
        <v>0</v>
      </c>
      <c r="R534" s="80">
        <f t="shared" si="147"/>
        <v>0</v>
      </c>
      <c r="S534" s="81">
        <f t="shared" si="148"/>
        <v>0</v>
      </c>
      <c r="T534" s="92">
        <f t="shared" si="149"/>
        <v>0</v>
      </c>
      <c r="U534" s="93">
        <f t="shared" si="160"/>
        <v>0</v>
      </c>
    </row>
    <row r="535" spans="1:21" x14ac:dyDescent="0.25">
      <c r="A535" s="71">
        <f t="shared" si="152"/>
        <v>2024</v>
      </c>
      <c r="B535" s="72" t="str">
        <f t="shared" si="150"/>
        <v>ABRIL</v>
      </c>
      <c r="C535" s="73" t="str">
        <f t="shared" si="151"/>
        <v>SEGUNDA</v>
      </c>
      <c r="D535" s="74">
        <v>45383</v>
      </c>
      <c r="E535" s="89">
        <f t="shared" si="153"/>
        <v>7</v>
      </c>
      <c r="F535" s="90">
        <f t="shared" si="154"/>
        <v>7</v>
      </c>
      <c r="G535" s="91"/>
      <c r="H535" s="75"/>
      <c r="I535" s="89">
        <f t="shared" si="156"/>
        <v>8</v>
      </c>
      <c r="J535" s="90">
        <f t="shared" si="157"/>
        <v>8</v>
      </c>
      <c r="K535" s="91">
        <f t="shared" si="158"/>
        <v>8</v>
      </c>
      <c r="L535" s="76"/>
      <c r="N535" s="79">
        <f t="shared" si="143"/>
        <v>52.36</v>
      </c>
      <c r="O535" s="80">
        <f t="shared" si="144"/>
        <v>42</v>
      </c>
      <c r="P535" s="81">
        <f t="shared" si="145"/>
        <v>0</v>
      </c>
      <c r="Q535" s="79">
        <f t="shared" si="146"/>
        <v>59.84</v>
      </c>
      <c r="R535" s="80">
        <f t="shared" si="147"/>
        <v>48</v>
      </c>
      <c r="S535" s="81">
        <f t="shared" si="148"/>
        <v>68</v>
      </c>
      <c r="T535" s="92">
        <f t="shared" si="149"/>
        <v>270.2</v>
      </c>
      <c r="U535" s="93">
        <f t="shared" si="160"/>
        <v>216.16</v>
      </c>
    </row>
    <row r="536" spans="1:21" x14ac:dyDescent="0.25">
      <c r="A536" s="71">
        <f t="shared" si="152"/>
        <v>2024</v>
      </c>
      <c r="B536" s="72" t="str">
        <f t="shared" si="150"/>
        <v>ABRIL</v>
      </c>
      <c r="C536" s="73" t="str">
        <f t="shared" si="151"/>
        <v>TERÇA</v>
      </c>
      <c r="D536" s="74">
        <v>45384</v>
      </c>
      <c r="E536" s="89">
        <f t="shared" si="153"/>
        <v>7</v>
      </c>
      <c r="F536" s="90">
        <f t="shared" si="154"/>
        <v>7</v>
      </c>
      <c r="G536" s="91"/>
      <c r="H536" s="75"/>
      <c r="I536" s="89">
        <f t="shared" si="156"/>
        <v>8</v>
      </c>
      <c r="J536" s="90">
        <f t="shared" si="157"/>
        <v>8</v>
      </c>
      <c r="K536" s="91">
        <f t="shared" si="158"/>
        <v>8</v>
      </c>
      <c r="L536" s="76"/>
      <c r="N536" s="79">
        <f t="shared" si="143"/>
        <v>52.36</v>
      </c>
      <c r="O536" s="80">
        <f t="shared" si="144"/>
        <v>42</v>
      </c>
      <c r="P536" s="81">
        <f t="shared" si="145"/>
        <v>0</v>
      </c>
      <c r="Q536" s="79">
        <f t="shared" si="146"/>
        <v>59.84</v>
      </c>
      <c r="R536" s="80">
        <f t="shared" si="147"/>
        <v>48</v>
      </c>
      <c r="S536" s="81">
        <f t="shared" si="148"/>
        <v>68</v>
      </c>
      <c r="T536" s="92">
        <f t="shared" si="149"/>
        <v>270.2</v>
      </c>
      <c r="U536" s="93">
        <f t="shared" si="160"/>
        <v>216.16</v>
      </c>
    </row>
    <row r="537" spans="1:21" x14ac:dyDescent="0.25">
      <c r="A537" s="71">
        <f t="shared" si="152"/>
        <v>2024</v>
      </c>
      <c r="B537" s="72" t="str">
        <f t="shared" si="150"/>
        <v>ABRIL</v>
      </c>
      <c r="C537" s="73" t="str">
        <f t="shared" si="151"/>
        <v>QUARTA</v>
      </c>
      <c r="D537" s="74">
        <v>45385</v>
      </c>
      <c r="E537" s="89">
        <f t="shared" si="153"/>
        <v>7</v>
      </c>
      <c r="F537" s="90">
        <f t="shared" si="154"/>
        <v>7</v>
      </c>
      <c r="G537" s="91"/>
      <c r="H537" s="75"/>
      <c r="I537" s="89">
        <f t="shared" si="156"/>
        <v>8</v>
      </c>
      <c r="J537" s="90">
        <f t="shared" si="157"/>
        <v>8</v>
      </c>
      <c r="K537" s="91">
        <f t="shared" si="158"/>
        <v>8</v>
      </c>
      <c r="L537" s="76"/>
      <c r="N537" s="79">
        <f t="shared" si="143"/>
        <v>52.36</v>
      </c>
      <c r="O537" s="80">
        <f t="shared" si="144"/>
        <v>42</v>
      </c>
      <c r="P537" s="81">
        <f t="shared" si="145"/>
        <v>0</v>
      </c>
      <c r="Q537" s="79">
        <f t="shared" si="146"/>
        <v>59.84</v>
      </c>
      <c r="R537" s="80">
        <f t="shared" si="147"/>
        <v>48</v>
      </c>
      <c r="S537" s="81">
        <f t="shared" si="148"/>
        <v>68</v>
      </c>
      <c r="T537" s="92">
        <f t="shared" si="149"/>
        <v>270.2</v>
      </c>
      <c r="U537" s="93">
        <f t="shared" si="160"/>
        <v>216.16</v>
      </c>
    </row>
    <row r="538" spans="1:21" x14ac:dyDescent="0.25">
      <c r="A538" s="71">
        <f t="shared" si="152"/>
        <v>2024</v>
      </c>
      <c r="B538" s="72" t="str">
        <f t="shared" si="150"/>
        <v>ABRIL</v>
      </c>
      <c r="C538" s="73" t="str">
        <f t="shared" si="151"/>
        <v>QUINTA</v>
      </c>
      <c r="D538" s="74">
        <v>45386</v>
      </c>
      <c r="E538" s="89">
        <f t="shared" si="153"/>
        <v>7</v>
      </c>
      <c r="F538" s="90">
        <f t="shared" si="154"/>
        <v>7</v>
      </c>
      <c r="G538" s="91"/>
      <c r="H538" s="75"/>
      <c r="I538" s="89">
        <f t="shared" si="156"/>
        <v>8</v>
      </c>
      <c r="J538" s="90">
        <f t="shared" si="157"/>
        <v>8</v>
      </c>
      <c r="K538" s="91">
        <f t="shared" si="158"/>
        <v>8</v>
      </c>
      <c r="L538" s="76"/>
      <c r="N538" s="79">
        <f t="shared" si="143"/>
        <v>52.36</v>
      </c>
      <c r="O538" s="80">
        <f t="shared" si="144"/>
        <v>42</v>
      </c>
      <c r="P538" s="81">
        <f t="shared" si="145"/>
        <v>0</v>
      </c>
      <c r="Q538" s="79">
        <f t="shared" si="146"/>
        <v>59.84</v>
      </c>
      <c r="R538" s="80">
        <f t="shared" si="147"/>
        <v>48</v>
      </c>
      <c r="S538" s="81">
        <f t="shared" si="148"/>
        <v>68</v>
      </c>
      <c r="T538" s="92">
        <f t="shared" si="149"/>
        <v>270.2</v>
      </c>
      <c r="U538" s="93">
        <f t="shared" si="160"/>
        <v>216.16</v>
      </c>
    </row>
    <row r="539" spans="1:21" x14ac:dyDescent="0.25">
      <c r="A539" s="71">
        <f t="shared" si="152"/>
        <v>2024</v>
      </c>
      <c r="B539" s="72" t="str">
        <f t="shared" si="150"/>
        <v>ABRIL</v>
      </c>
      <c r="C539" s="73" t="str">
        <f t="shared" si="151"/>
        <v>SEXTA</v>
      </c>
      <c r="D539" s="74">
        <v>45387</v>
      </c>
      <c r="E539" s="89">
        <f t="shared" si="153"/>
        <v>7</v>
      </c>
      <c r="F539" s="90">
        <f t="shared" si="154"/>
        <v>7</v>
      </c>
      <c r="G539" s="91"/>
      <c r="H539" s="75"/>
      <c r="I539" s="89">
        <f t="shared" si="156"/>
        <v>8</v>
      </c>
      <c r="J539" s="90">
        <f t="shared" si="157"/>
        <v>8</v>
      </c>
      <c r="K539" s="91">
        <f t="shared" si="158"/>
        <v>8</v>
      </c>
      <c r="L539" s="76"/>
      <c r="N539" s="79">
        <f t="shared" si="143"/>
        <v>52.36</v>
      </c>
      <c r="O539" s="80">
        <f t="shared" si="144"/>
        <v>42</v>
      </c>
      <c r="P539" s="81">
        <f t="shared" si="145"/>
        <v>0</v>
      </c>
      <c r="Q539" s="79">
        <f t="shared" si="146"/>
        <v>59.84</v>
      </c>
      <c r="R539" s="80">
        <f t="shared" si="147"/>
        <v>48</v>
      </c>
      <c r="S539" s="81">
        <f t="shared" si="148"/>
        <v>68</v>
      </c>
      <c r="T539" s="92">
        <f t="shared" si="149"/>
        <v>270.2</v>
      </c>
      <c r="U539" s="93">
        <f t="shared" si="160"/>
        <v>216.16</v>
      </c>
    </row>
    <row r="540" spans="1:21" x14ac:dyDescent="0.25">
      <c r="A540" s="71">
        <f t="shared" si="152"/>
        <v>2024</v>
      </c>
      <c r="B540" s="72" t="str">
        <f t="shared" si="150"/>
        <v>ABRIL</v>
      </c>
      <c r="C540" s="73" t="str">
        <f t="shared" si="151"/>
        <v>SÁBADO</v>
      </c>
      <c r="D540" s="74">
        <v>45388</v>
      </c>
      <c r="E540" s="89">
        <f t="shared" si="153"/>
        <v>0</v>
      </c>
      <c r="F540" s="90">
        <f t="shared" si="154"/>
        <v>7</v>
      </c>
      <c r="G540" s="91"/>
      <c r="H540" s="75"/>
      <c r="I540" s="89">
        <f t="shared" si="156"/>
        <v>0</v>
      </c>
      <c r="J540" s="90">
        <f t="shared" si="157"/>
        <v>8</v>
      </c>
      <c r="K540" s="91">
        <f t="shared" si="158"/>
        <v>0</v>
      </c>
      <c r="L540" s="76"/>
      <c r="N540" s="79">
        <f t="shared" ref="N540:N603" si="161">E540*7.48</f>
        <v>0</v>
      </c>
      <c r="O540" s="80">
        <f t="shared" ref="O540:O603" si="162">F540*6</f>
        <v>42</v>
      </c>
      <c r="P540" s="81">
        <f t="shared" ref="P540:P603" si="163">G540*8.5</f>
        <v>0</v>
      </c>
      <c r="Q540" s="79">
        <f t="shared" ref="Q540:Q603" si="164">I540*7.48</f>
        <v>0</v>
      </c>
      <c r="R540" s="80">
        <f t="shared" ref="R540:R603" si="165">J540*6</f>
        <v>48</v>
      </c>
      <c r="S540" s="81">
        <f t="shared" ref="S540:S603" si="166">K540*8.5</f>
        <v>0</v>
      </c>
      <c r="T540" s="92">
        <f t="shared" ref="T540:T603" si="167">SUM(N540:S540)</f>
        <v>90</v>
      </c>
      <c r="U540" s="93">
        <f t="shared" si="160"/>
        <v>72</v>
      </c>
    </row>
    <row r="541" spans="1:21" x14ac:dyDescent="0.25">
      <c r="A541" s="71">
        <f t="shared" si="152"/>
        <v>2024</v>
      </c>
      <c r="B541" s="72" t="str">
        <f t="shared" si="150"/>
        <v>ABRIL</v>
      </c>
      <c r="C541" s="73" t="str">
        <f t="shared" si="151"/>
        <v>DOMINGO</v>
      </c>
      <c r="D541" s="74">
        <v>45389</v>
      </c>
      <c r="E541" s="89">
        <f t="shared" si="153"/>
        <v>0</v>
      </c>
      <c r="F541" s="90">
        <f t="shared" si="154"/>
        <v>0</v>
      </c>
      <c r="G541" s="91"/>
      <c r="H541" s="75"/>
      <c r="I541" s="89">
        <f t="shared" si="156"/>
        <v>0</v>
      </c>
      <c r="J541" s="90">
        <f t="shared" si="157"/>
        <v>0</v>
      </c>
      <c r="K541" s="91">
        <f t="shared" si="158"/>
        <v>0</v>
      </c>
      <c r="L541" s="76"/>
      <c r="N541" s="79">
        <f t="shared" si="161"/>
        <v>0</v>
      </c>
      <c r="O541" s="80">
        <f t="shared" si="162"/>
        <v>0</v>
      </c>
      <c r="P541" s="81">
        <f t="shared" si="163"/>
        <v>0</v>
      </c>
      <c r="Q541" s="79">
        <f t="shared" si="164"/>
        <v>0</v>
      </c>
      <c r="R541" s="80">
        <f t="shared" si="165"/>
        <v>0</v>
      </c>
      <c r="S541" s="81">
        <f t="shared" si="166"/>
        <v>0</v>
      </c>
      <c r="T541" s="92">
        <f t="shared" si="167"/>
        <v>0</v>
      </c>
      <c r="U541" s="93">
        <f t="shared" si="160"/>
        <v>0</v>
      </c>
    </row>
    <row r="542" spans="1:21" x14ac:dyDescent="0.25">
      <c r="A542" s="71">
        <f t="shared" si="152"/>
        <v>2024</v>
      </c>
      <c r="B542" s="72" t="str">
        <f t="shared" si="150"/>
        <v>ABRIL</v>
      </c>
      <c r="C542" s="73" t="str">
        <f t="shared" si="151"/>
        <v>SEGUNDA</v>
      </c>
      <c r="D542" s="74">
        <v>45390</v>
      </c>
      <c r="E542" s="89">
        <f t="shared" si="153"/>
        <v>7</v>
      </c>
      <c r="F542" s="90">
        <f t="shared" si="154"/>
        <v>7</v>
      </c>
      <c r="G542" s="91"/>
      <c r="H542" s="75"/>
      <c r="I542" s="89">
        <f t="shared" si="156"/>
        <v>8</v>
      </c>
      <c r="J542" s="90">
        <f t="shared" si="157"/>
        <v>8</v>
      </c>
      <c r="K542" s="91">
        <f t="shared" si="158"/>
        <v>8</v>
      </c>
      <c r="L542" s="76"/>
      <c r="N542" s="79">
        <f t="shared" si="161"/>
        <v>52.36</v>
      </c>
      <c r="O542" s="80">
        <f t="shared" si="162"/>
        <v>42</v>
      </c>
      <c r="P542" s="81">
        <f t="shared" si="163"/>
        <v>0</v>
      </c>
      <c r="Q542" s="79">
        <f t="shared" si="164"/>
        <v>59.84</v>
      </c>
      <c r="R542" s="80">
        <f t="shared" si="165"/>
        <v>48</v>
      </c>
      <c r="S542" s="81">
        <f t="shared" si="166"/>
        <v>68</v>
      </c>
      <c r="T542" s="92">
        <f t="shared" si="167"/>
        <v>270.2</v>
      </c>
      <c r="U542" s="93">
        <f t="shared" si="160"/>
        <v>216.16</v>
      </c>
    </row>
    <row r="543" spans="1:21" x14ac:dyDescent="0.25">
      <c r="A543" s="71">
        <f t="shared" si="152"/>
        <v>2024</v>
      </c>
      <c r="B543" s="72" t="str">
        <f t="shared" si="150"/>
        <v>ABRIL</v>
      </c>
      <c r="C543" s="73" t="str">
        <f t="shared" si="151"/>
        <v>TERÇA</v>
      </c>
      <c r="D543" s="74">
        <v>45391</v>
      </c>
      <c r="E543" s="89">
        <f t="shared" si="153"/>
        <v>7</v>
      </c>
      <c r="F543" s="90">
        <f t="shared" si="154"/>
        <v>7</v>
      </c>
      <c r="G543" s="91"/>
      <c r="H543" s="75"/>
      <c r="I543" s="89">
        <f t="shared" si="156"/>
        <v>8</v>
      </c>
      <c r="J543" s="90">
        <f t="shared" si="157"/>
        <v>8</v>
      </c>
      <c r="K543" s="91">
        <f t="shared" si="158"/>
        <v>8</v>
      </c>
      <c r="L543" s="76"/>
      <c r="N543" s="79">
        <f t="shared" si="161"/>
        <v>52.36</v>
      </c>
      <c r="O543" s="80">
        <f t="shared" si="162"/>
        <v>42</v>
      </c>
      <c r="P543" s="81">
        <f t="shared" si="163"/>
        <v>0</v>
      </c>
      <c r="Q543" s="79">
        <f t="shared" si="164"/>
        <v>59.84</v>
      </c>
      <c r="R543" s="80">
        <f t="shared" si="165"/>
        <v>48</v>
      </c>
      <c r="S543" s="81">
        <f t="shared" si="166"/>
        <v>68</v>
      </c>
      <c r="T543" s="92">
        <f t="shared" si="167"/>
        <v>270.2</v>
      </c>
      <c r="U543" s="93">
        <f t="shared" si="160"/>
        <v>216.16</v>
      </c>
    </row>
    <row r="544" spans="1:21" x14ac:dyDescent="0.25">
      <c r="A544" s="71">
        <f t="shared" si="152"/>
        <v>2024</v>
      </c>
      <c r="B544" s="72" t="str">
        <f t="shared" si="150"/>
        <v>ABRIL</v>
      </c>
      <c r="C544" s="73" t="str">
        <f t="shared" si="151"/>
        <v>QUARTA</v>
      </c>
      <c r="D544" s="74">
        <v>45392</v>
      </c>
      <c r="E544" s="89">
        <f t="shared" si="153"/>
        <v>7</v>
      </c>
      <c r="F544" s="90">
        <f t="shared" si="154"/>
        <v>7</v>
      </c>
      <c r="G544" s="91"/>
      <c r="H544" s="75"/>
      <c r="I544" s="89">
        <f t="shared" si="156"/>
        <v>8</v>
      </c>
      <c r="J544" s="90">
        <f t="shared" si="157"/>
        <v>8</v>
      </c>
      <c r="K544" s="91">
        <f t="shared" si="158"/>
        <v>8</v>
      </c>
      <c r="L544" s="76"/>
      <c r="N544" s="79">
        <f t="shared" si="161"/>
        <v>52.36</v>
      </c>
      <c r="O544" s="80">
        <f t="shared" si="162"/>
        <v>42</v>
      </c>
      <c r="P544" s="81">
        <f t="shared" si="163"/>
        <v>0</v>
      </c>
      <c r="Q544" s="79">
        <f t="shared" si="164"/>
        <v>59.84</v>
      </c>
      <c r="R544" s="80">
        <f t="shared" si="165"/>
        <v>48</v>
      </c>
      <c r="S544" s="81">
        <f t="shared" si="166"/>
        <v>68</v>
      </c>
      <c r="T544" s="92">
        <f t="shared" si="167"/>
        <v>270.2</v>
      </c>
      <c r="U544" s="93">
        <f t="shared" si="160"/>
        <v>216.16</v>
      </c>
    </row>
    <row r="545" spans="1:21" x14ac:dyDescent="0.25">
      <c r="A545" s="71">
        <f t="shared" si="152"/>
        <v>2024</v>
      </c>
      <c r="B545" s="72" t="str">
        <f t="shared" si="150"/>
        <v>ABRIL</v>
      </c>
      <c r="C545" s="73" t="str">
        <f t="shared" si="151"/>
        <v>QUINTA</v>
      </c>
      <c r="D545" s="74">
        <v>45393</v>
      </c>
      <c r="E545" s="89">
        <f t="shared" si="153"/>
        <v>7</v>
      </c>
      <c r="F545" s="90">
        <f t="shared" si="154"/>
        <v>7</v>
      </c>
      <c r="G545" s="91"/>
      <c r="H545" s="75"/>
      <c r="I545" s="89">
        <f t="shared" si="156"/>
        <v>8</v>
      </c>
      <c r="J545" s="90">
        <f t="shared" si="157"/>
        <v>8</v>
      </c>
      <c r="K545" s="91">
        <f t="shared" si="158"/>
        <v>8</v>
      </c>
      <c r="L545" s="76"/>
      <c r="N545" s="79">
        <f t="shared" si="161"/>
        <v>52.36</v>
      </c>
      <c r="O545" s="80">
        <f t="shared" si="162"/>
        <v>42</v>
      </c>
      <c r="P545" s="81">
        <f t="shared" si="163"/>
        <v>0</v>
      </c>
      <c r="Q545" s="79">
        <f t="shared" si="164"/>
        <v>59.84</v>
      </c>
      <c r="R545" s="80">
        <f t="shared" si="165"/>
        <v>48</v>
      </c>
      <c r="S545" s="81">
        <f t="shared" si="166"/>
        <v>68</v>
      </c>
      <c r="T545" s="92">
        <f t="shared" si="167"/>
        <v>270.2</v>
      </c>
      <c r="U545" s="93">
        <f t="shared" si="160"/>
        <v>216.16</v>
      </c>
    </row>
    <row r="546" spans="1:21" x14ac:dyDescent="0.25">
      <c r="A546" s="71">
        <f t="shared" si="152"/>
        <v>2024</v>
      </c>
      <c r="B546" s="72" t="str">
        <f t="shared" si="150"/>
        <v>ABRIL</v>
      </c>
      <c r="C546" s="73" t="str">
        <f t="shared" si="151"/>
        <v>SEXTA</v>
      </c>
      <c r="D546" s="74">
        <v>45394</v>
      </c>
      <c r="E546" s="89">
        <f t="shared" si="153"/>
        <v>7</v>
      </c>
      <c r="F546" s="90">
        <f t="shared" si="154"/>
        <v>7</v>
      </c>
      <c r="G546" s="91"/>
      <c r="H546" s="75"/>
      <c r="I546" s="89">
        <f t="shared" si="156"/>
        <v>8</v>
      </c>
      <c r="J546" s="90">
        <f t="shared" si="157"/>
        <v>8</v>
      </c>
      <c r="K546" s="91">
        <f t="shared" si="158"/>
        <v>8</v>
      </c>
      <c r="L546" s="76"/>
      <c r="N546" s="79">
        <f t="shared" si="161"/>
        <v>52.36</v>
      </c>
      <c r="O546" s="80">
        <f t="shared" si="162"/>
        <v>42</v>
      </c>
      <c r="P546" s="81">
        <f t="shared" si="163"/>
        <v>0</v>
      </c>
      <c r="Q546" s="79">
        <f t="shared" si="164"/>
        <v>59.84</v>
      </c>
      <c r="R546" s="80">
        <f t="shared" si="165"/>
        <v>48</v>
      </c>
      <c r="S546" s="81">
        <f t="shared" si="166"/>
        <v>68</v>
      </c>
      <c r="T546" s="92">
        <f t="shared" si="167"/>
        <v>270.2</v>
      </c>
      <c r="U546" s="93">
        <f t="shared" si="160"/>
        <v>216.16</v>
      </c>
    </row>
    <row r="547" spans="1:21" x14ac:dyDescent="0.25">
      <c r="A547" s="71">
        <f t="shared" si="152"/>
        <v>2024</v>
      </c>
      <c r="B547" s="72" t="str">
        <f t="shared" si="150"/>
        <v>ABRIL</v>
      </c>
      <c r="C547" s="73" t="str">
        <f t="shared" si="151"/>
        <v>SÁBADO</v>
      </c>
      <c r="D547" s="74">
        <v>45395</v>
      </c>
      <c r="E547" s="89">
        <f t="shared" si="153"/>
        <v>0</v>
      </c>
      <c r="F547" s="90">
        <f t="shared" si="154"/>
        <v>7</v>
      </c>
      <c r="G547" s="91"/>
      <c r="H547" s="75"/>
      <c r="I547" s="89">
        <f t="shared" si="156"/>
        <v>0</v>
      </c>
      <c r="J547" s="90">
        <f t="shared" si="157"/>
        <v>8</v>
      </c>
      <c r="K547" s="91">
        <f t="shared" si="158"/>
        <v>0</v>
      </c>
      <c r="L547" s="76"/>
      <c r="N547" s="79">
        <f t="shared" si="161"/>
        <v>0</v>
      </c>
      <c r="O547" s="80">
        <f t="shared" si="162"/>
        <v>42</v>
      </c>
      <c r="P547" s="81">
        <f t="shared" si="163"/>
        <v>0</v>
      </c>
      <c r="Q547" s="79">
        <f t="shared" si="164"/>
        <v>0</v>
      </c>
      <c r="R547" s="80">
        <f t="shared" si="165"/>
        <v>48</v>
      </c>
      <c r="S547" s="81">
        <f t="shared" si="166"/>
        <v>0</v>
      </c>
      <c r="T547" s="92">
        <f t="shared" si="167"/>
        <v>90</v>
      </c>
      <c r="U547" s="93">
        <f t="shared" si="160"/>
        <v>72</v>
      </c>
    </row>
    <row r="548" spans="1:21" x14ac:dyDescent="0.25">
      <c r="A548" s="71">
        <f t="shared" si="152"/>
        <v>2024</v>
      </c>
      <c r="B548" s="72" t="str">
        <f t="shared" si="150"/>
        <v>ABRIL</v>
      </c>
      <c r="C548" s="73" t="str">
        <f t="shared" si="151"/>
        <v>DOMINGO</v>
      </c>
      <c r="D548" s="74">
        <v>45396</v>
      </c>
      <c r="E548" s="89">
        <f t="shared" si="153"/>
        <v>0</v>
      </c>
      <c r="F548" s="90">
        <f t="shared" si="154"/>
        <v>0</v>
      </c>
      <c r="G548" s="91"/>
      <c r="H548" s="75"/>
      <c r="I548" s="89">
        <f t="shared" si="156"/>
        <v>0</v>
      </c>
      <c r="J548" s="90">
        <f t="shared" si="157"/>
        <v>0</v>
      </c>
      <c r="K548" s="91">
        <f t="shared" si="158"/>
        <v>0</v>
      </c>
      <c r="L548" s="76"/>
      <c r="N548" s="79">
        <f t="shared" si="161"/>
        <v>0</v>
      </c>
      <c r="O548" s="80">
        <f t="shared" si="162"/>
        <v>0</v>
      </c>
      <c r="P548" s="81">
        <f t="shared" si="163"/>
        <v>0</v>
      </c>
      <c r="Q548" s="79">
        <f t="shared" si="164"/>
        <v>0</v>
      </c>
      <c r="R548" s="80">
        <f t="shared" si="165"/>
        <v>0</v>
      </c>
      <c r="S548" s="81">
        <f t="shared" si="166"/>
        <v>0</v>
      </c>
      <c r="T548" s="92">
        <f t="shared" si="167"/>
        <v>0</v>
      </c>
      <c r="U548" s="93">
        <f t="shared" si="160"/>
        <v>0</v>
      </c>
    </row>
    <row r="549" spans="1:21" x14ac:dyDescent="0.25">
      <c r="A549" s="71">
        <f t="shared" si="152"/>
        <v>2024</v>
      </c>
      <c r="B549" s="72" t="str">
        <f t="shared" si="150"/>
        <v>ABRIL</v>
      </c>
      <c r="C549" s="73" t="str">
        <f t="shared" si="151"/>
        <v>SEGUNDA</v>
      </c>
      <c r="D549" s="74">
        <v>45397</v>
      </c>
      <c r="E549" s="89">
        <f t="shared" si="153"/>
        <v>7</v>
      </c>
      <c r="F549" s="90">
        <f t="shared" si="154"/>
        <v>7</v>
      </c>
      <c r="G549" s="91"/>
      <c r="H549" s="75"/>
      <c r="I549" s="89">
        <f t="shared" si="156"/>
        <v>8</v>
      </c>
      <c r="J549" s="90">
        <f t="shared" si="157"/>
        <v>8</v>
      </c>
      <c r="K549" s="91">
        <f t="shared" si="158"/>
        <v>8</v>
      </c>
      <c r="L549" s="76"/>
      <c r="N549" s="79">
        <f t="shared" si="161"/>
        <v>52.36</v>
      </c>
      <c r="O549" s="80">
        <f t="shared" si="162"/>
        <v>42</v>
      </c>
      <c r="P549" s="81">
        <f t="shared" si="163"/>
        <v>0</v>
      </c>
      <c r="Q549" s="79">
        <f t="shared" si="164"/>
        <v>59.84</v>
      </c>
      <c r="R549" s="80">
        <f t="shared" si="165"/>
        <v>48</v>
      </c>
      <c r="S549" s="81">
        <f t="shared" si="166"/>
        <v>68</v>
      </c>
      <c r="T549" s="92">
        <f t="shared" si="167"/>
        <v>270.2</v>
      </c>
      <c r="U549" s="93">
        <f t="shared" si="160"/>
        <v>216.16</v>
      </c>
    </row>
    <row r="550" spans="1:21" x14ac:dyDescent="0.25">
      <c r="A550" s="71">
        <f t="shared" si="152"/>
        <v>2024</v>
      </c>
      <c r="B550" s="72" t="str">
        <f t="shared" si="150"/>
        <v>ABRIL</v>
      </c>
      <c r="C550" s="73" t="str">
        <f t="shared" si="151"/>
        <v>TERÇA</v>
      </c>
      <c r="D550" s="74">
        <v>45398</v>
      </c>
      <c r="E550" s="89">
        <f t="shared" si="153"/>
        <v>7</v>
      </c>
      <c r="F550" s="90">
        <f t="shared" si="154"/>
        <v>7</v>
      </c>
      <c r="G550" s="91"/>
      <c r="H550" s="75"/>
      <c r="I550" s="89">
        <f t="shared" si="156"/>
        <v>8</v>
      </c>
      <c r="J550" s="90">
        <f t="shared" si="157"/>
        <v>8</v>
      </c>
      <c r="K550" s="91">
        <f t="shared" si="158"/>
        <v>8</v>
      </c>
      <c r="L550" s="76"/>
      <c r="N550" s="79">
        <f t="shared" si="161"/>
        <v>52.36</v>
      </c>
      <c r="O550" s="80">
        <f t="shared" si="162"/>
        <v>42</v>
      </c>
      <c r="P550" s="81">
        <f t="shared" si="163"/>
        <v>0</v>
      </c>
      <c r="Q550" s="79">
        <f t="shared" si="164"/>
        <v>59.84</v>
      </c>
      <c r="R550" s="80">
        <f t="shared" si="165"/>
        <v>48</v>
      </c>
      <c r="S550" s="81">
        <f t="shared" si="166"/>
        <v>68</v>
      </c>
      <c r="T550" s="92">
        <f t="shared" si="167"/>
        <v>270.2</v>
      </c>
      <c r="U550" s="93">
        <f t="shared" si="160"/>
        <v>216.16</v>
      </c>
    </row>
    <row r="551" spans="1:21" x14ac:dyDescent="0.25">
      <c r="A551" s="71">
        <f t="shared" si="152"/>
        <v>2024</v>
      </c>
      <c r="B551" s="72" t="str">
        <f t="shared" si="150"/>
        <v>ABRIL</v>
      </c>
      <c r="C551" s="73" t="str">
        <f t="shared" si="151"/>
        <v>QUARTA</v>
      </c>
      <c r="D551" s="74">
        <v>45399</v>
      </c>
      <c r="E551" s="89">
        <f t="shared" si="153"/>
        <v>7</v>
      </c>
      <c r="F551" s="90">
        <f t="shared" si="154"/>
        <v>7</v>
      </c>
      <c r="G551" s="91"/>
      <c r="H551" s="75"/>
      <c r="I551" s="89">
        <f t="shared" si="156"/>
        <v>8</v>
      </c>
      <c r="J551" s="90">
        <f t="shared" si="157"/>
        <v>8</v>
      </c>
      <c r="K551" s="91">
        <f t="shared" si="158"/>
        <v>8</v>
      </c>
      <c r="L551" s="76"/>
      <c r="N551" s="79">
        <f t="shared" si="161"/>
        <v>52.36</v>
      </c>
      <c r="O551" s="80">
        <f t="shared" si="162"/>
        <v>42</v>
      </c>
      <c r="P551" s="81">
        <f t="shared" si="163"/>
        <v>0</v>
      </c>
      <c r="Q551" s="79">
        <f t="shared" si="164"/>
        <v>59.84</v>
      </c>
      <c r="R551" s="80">
        <f t="shared" si="165"/>
        <v>48</v>
      </c>
      <c r="S551" s="81">
        <f t="shared" si="166"/>
        <v>68</v>
      </c>
      <c r="T551" s="92">
        <f t="shared" si="167"/>
        <v>270.2</v>
      </c>
      <c r="U551" s="93">
        <f t="shared" si="160"/>
        <v>216.16</v>
      </c>
    </row>
    <row r="552" spans="1:21" x14ac:dyDescent="0.25">
      <c r="A552" s="71">
        <f t="shared" si="152"/>
        <v>2024</v>
      </c>
      <c r="B552" s="72" t="str">
        <f t="shared" si="150"/>
        <v>ABRIL</v>
      </c>
      <c r="C552" s="73" t="str">
        <f t="shared" si="151"/>
        <v>QUINTA</v>
      </c>
      <c r="D552" s="74">
        <v>45400</v>
      </c>
      <c r="E552" s="89">
        <f t="shared" si="153"/>
        <v>7</v>
      </c>
      <c r="F552" s="90">
        <f t="shared" si="154"/>
        <v>7</v>
      </c>
      <c r="G552" s="91"/>
      <c r="H552" s="75"/>
      <c r="I552" s="89">
        <f t="shared" si="156"/>
        <v>8</v>
      </c>
      <c r="J552" s="90">
        <f t="shared" si="157"/>
        <v>8</v>
      </c>
      <c r="K552" s="91">
        <f t="shared" si="158"/>
        <v>8</v>
      </c>
      <c r="L552" s="76"/>
      <c r="N552" s="79">
        <f t="shared" si="161"/>
        <v>52.36</v>
      </c>
      <c r="O552" s="80">
        <f t="shared" si="162"/>
        <v>42</v>
      </c>
      <c r="P552" s="81">
        <f t="shared" si="163"/>
        <v>0</v>
      </c>
      <c r="Q552" s="79">
        <f t="shared" si="164"/>
        <v>59.84</v>
      </c>
      <c r="R552" s="80">
        <f t="shared" si="165"/>
        <v>48</v>
      </c>
      <c r="S552" s="81">
        <f t="shared" si="166"/>
        <v>68</v>
      </c>
      <c r="T552" s="92">
        <f t="shared" si="167"/>
        <v>270.2</v>
      </c>
      <c r="U552" s="93">
        <f t="shared" si="160"/>
        <v>216.16</v>
      </c>
    </row>
    <row r="553" spans="1:21" x14ac:dyDescent="0.25">
      <c r="A553" s="71">
        <f t="shared" si="152"/>
        <v>2024</v>
      </c>
      <c r="B553" s="72" t="str">
        <f t="shared" si="150"/>
        <v>ABRIL</v>
      </c>
      <c r="C553" s="73" t="str">
        <f t="shared" si="151"/>
        <v>SEXTA</v>
      </c>
      <c r="D553" s="74">
        <v>45401</v>
      </c>
      <c r="E553" s="89">
        <f t="shared" si="153"/>
        <v>7</v>
      </c>
      <c r="F553" s="90">
        <f t="shared" si="154"/>
        <v>7</v>
      </c>
      <c r="G553" s="91"/>
      <c r="H553" s="75"/>
      <c r="I553" s="89">
        <f t="shared" si="156"/>
        <v>8</v>
      </c>
      <c r="J553" s="90">
        <f t="shared" si="157"/>
        <v>8</v>
      </c>
      <c r="K553" s="91">
        <f t="shared" si="158"/>
        <v>8</v>
      </c>
      <c r="L553" s="76"/>
      <c r="N553" s="79">
        <f t="shared" si="161"/>
        <v>52.36</v>
      </c>
      <c r="O553" s="80">
        <f t="shared" si="162"/>
        <v>42</v>
      </c>
      <c r="P553" s="81">
        <f t="shared" si="163"/>
        <v>0</v>
      </c>
      <c r="Q553" s="79">
        <f t="shared" si="164"/>
        <v>59.84</v>
      </c>
      <c r="R553" s="80">
        <f t="shared" si="165"/>
        <v>48</v>
      </c>
      <c r="S553" s="81">
        <f t="shared" si="166"/>
        <v>68</v>
      </c>
      <c r="T553" s="92">
        <f t="shared" si="167"/>
        <v>270.2</v>
      </c>
      <c r="U553" s="93">
        <f t="shared" si="160"/>
        <v>216.16</v>
      </c>
    </row>
    <row r="554" spans="1:21" x14ac:dyDescent="0.25">
      <c r="A554" s="71">
        <f t="shared" si="152"/>
        <v>2024</v>
      </c>
      <c r="B554" s="72" t="str">
        <f t="shared" si="150"/>
        <v>ABRIL</v>
      </c>
      <c r="C554" s="73" t="str">
        <f t="shared" si="151"/>
        <v>SÁBADO</v>
      </c>
      <c r="D554" s="74">
        <v>45402</v>
      </c>
      <c r="E554" s="89">
        <f t="shared" si="153"/>
        <v>0</v>
      </c>
      <c r="F554" s="90">
        <f t="shared" si="154"/>
        <v>7</v>
      </c>
      <c r="G554" s="91"/>
      <c r="H554" s="75"/>
      <c r="I554" s="89">
        <f t="shared" si="156"/>
        <v>0</v>
      </c>
      <c r="J554" s="90">
        <f t="shared" si="157"/>
        <v>8</v>
      </c>
      <c r="K554" s="91">
        <f t="shared" si="158"/>
        <v>0</v>
      </c>
      <c r="L554" s="76"/>
      <c r="N554" s="79">
        <f t="shared" si="161"/>
        <v>0</v>
      </c>
      <c r="O554" s="80">
        <f t="shared" si="162"/>
        <v>42</v>
      </c>
      <c r="P554" s="81">
        <f t="shared" si="163"/>
        <v>0</v>
      </c>
      <c r="Q554" s="79">
        <f t="shared" si="164"/>
        <v>0</v>
      </c>
      <c r="R554" s="80">
        <f t="shared" si="165"/>
        <v>48</v>
      </c>
      <c r="S554" s="81">
        <f t="shared" si="166"/>
        <v>0</v>
      </c>
      <c r="T554" s="92">
        <f t="shared" si="167"/>
        <v>90</v>
      </c>
      <c r="U554" s="93">
        <f t="shared" si="160"/>
        <v>72</v>
      </c>
    </row>
    <row r="555" spans="1:21" x14ac:dyDescent="0.25">
      <c r="A555" s="71">
        <f t="shared" si="152"/>
        <v>2024</v>
      </c>
      <c r="B555" s="72" t="str">
        <f t="shared" si="150"/>
        <v>ABRIL</v>
      </c>
      <c r="C555" s="73" t="str">
        <f t="shared" si="151"/>
        <v>DOMINGO</v>
      </c>
      <c r="D555" s="74">
        <v>45403</v>
      </c>
      <c r="E555" s="89">
        <f t="shared" si="153"/>
        <v>0</v>
      </c>
      <c r="F555" s="90">
        <f t="shared" si="154"/>
        <v>0</v>
      </c>
      <c r="G555" s="91"/>
      <c r="H555" s="75"/>
      <c r="I555" s="89">
        <f t="shared" si="156"/>
        <v>0</v>
      </c>
      <c r="J555" s="90">
        <f t="shared" si="157"/>
        <v>0</v>
      </c>
      <c r="K555" s="91">
        <f t="shared" si="158"/>
        <v>0</v>
      </c>
      <c r="L555" s="76"/>
      <c r="N555" s="79">
        <f t="shared" si="161"/>
        <v>0</v>
      </c>
      <c r="O555" s="80">
        <f t="shared" si="162"/>
        <v>0</v>
      </c>
      <c r="P555" s="81">
        <f t="shared" si="163"/>
        <v>0</v>
      </c>
      <c r="Q555" s="79">
        <f t="shared" si="164"/>
        <v>0</v>
      </c>
      <c r="R555" s="80">
        <f t="shared" si="165"/>
        <v>0</v>
      </c>
      <c r="S555" s="81">
        <f t="shared" si="166"/>
        <v>0</v>
      </c>
      <c r="T555" s="92">
        <f t="shared" si="167"/>
        <v>0</v>
      </c>
      <c r="U555" s="93">
        <f t="shared" si="160"/>
        <v>0</v>
      </c>
    </row>
    <row r="556" spans="1:21" x14ac:dyDescent="0.25">
      <c r="A556" s="71">
        <f t="shared" si="152"/>
        <v>2024</v>
      </c>
      <c r="B556" s="72" t="str">
        <f t="shared" si="150"/>
        <v>ABRIL</v>
      </c>
      <c r="C556" s="73" t="str">
        <f t="shared" si="151"/>
        <v>SEGUNDA</v>
      </c>
      <c r="D556" s="74">
        <v>45404</v>
      </c>
      <c r="E556" s="89">
        <f t="shared" si="153"/>
        <v>7</v>
      </c>
      <c r="F556" s="90">
        <f t="shared" si="154"/>
        <v>7</v>
      </c>
      <c r="G556" s="91"/>
      <c r="H556" s="75"/>
      <c r="I556" s="89">
        <f t="shared" si="156"/>
        <v>8</v>
      </c>
      <c r="J556" s="90">
        <f t="shared" si="157"/>
        <v>8</v>
      </c>
      <c r="K556" s="91">
        <f t="shared" si="158"/>
        <v>8</v>
      </c>
      <c r="L556" s="76"/>
      <c r="N556" s="79">
        <f t="shared" si="161"/>
        <v>52.36</v>
      </c>
      <c r="O556" s="80">
        <f t="shared" si="162"/>
        <v>42</v>
      </c>
      <c r="P556" s="81">
        <f t="shared" si="163"/>
        <v>0</v>
      </c>
      <c r="Q556" s="79">
        <f t="shared" si="164"/>
        <v>59.84</v>
      </c>
      <c r="R556" s="80">
        <f t="shared" si="165"/>
        <v>48</v>
      </c>
      <c r="S556" s="81">
        <f t="shared" si="166"/>
        <v>68</v>
      </c>
      <c r="T556" s="92">
        <f t="shared" si="167"/>
        <v>270.2</v>
      </c>
      <c r="U556" s="93">
        <f t="shared" si="160"/>
        <v>216.16</v>
      </c>
    </row>
    <row r="557" spans="1:21" x14ac:dyDescent="0.25">
      <c r="A557" s="71">
        <f t="shared" si="152"/>
        <v>2024</v>
      </c>
      <c r="B557" s="72" t="str">
        <f t="shared" si="150"/>
        <v>ABRIL</v>
      </c>
      <c r="C557" s="73" t="str">
        <f t="shared" si="151"/>
        <v>TERÇA</v>
      </c>
      <c r="D557" s="74">
        <v>45405</v>
      </c>
      <c r="E557" s="89">
        <f t="shared" si="153"/>
        <v>7</v>
      </c>
      <c r="F557" s="90">
        <f t="shared" si="154"/>
        <v>7</v>
      </c>
      <c r="G557" s="91"/>
      <c r="H557" s="75"/>
      <c r="I557" s="89">
        <f t="shared" si="156"/>
        <v>8</v>
      </c>
      <c r="J557" s="90">
        <f t="shared" si="157"/>
        <v>8</v>
      </c>
      <c r="K557" s="91">
        <f t="shared" si="158"/>
        <v>8</v>
      </c>
      <c r="L557" s="76"/>
      <c r="N557" s="79">
        <f t="shared" si="161"/>
        <v>52.36</v>
      </c>
      <c r="O557" s="80">
        <f t="shared" si="162"/>
        <v>42</v>
      </c>
      <c r="P557" s="81">
        <f t="shared" si="163"/>
        <v>0</v>
      </c>
      <c r="Q557" s="79">
        <f t="shared" si="164"/>
        <v>59.84</v>
      </c>
      <c r="R557" s="80">
        <f t="shared" si="165"/>
        <v>48</v>
      </c>
      <c r="S557" s="81">
        <f t="shared" si="166"/>
        <v>68</v>
      </c>
      <c r="T557" s="92">
        <f t="shared" si="167"/>
        <v>270.2</v>
      </c>
      <c r="U557" s="93">
        <f t="shared" si="160"/>
        <v>216.16</v>
      </c>
    </row>
    <row r="558" spans="1:21" x14ac:dyDescent="0.25">
      <c r="A558" s="71">
        <f t="shared" si="152"/>
        <v>2024</v>
      </c>
      <c r="B558" s="72" t="str">
        <f t="shared" si="150"/>
        <v>ABRIL</v>
      </c>
      <c r="C558" s="73" t="str">
        <f t="shared" si="151"/>
        <v>QUARTA</v>
      </c>
      <c r="D558" s="74">
        <v>45406</v>
      </c>
      <c r="E558" s="89">
        <f t="shared" si="153"/>
        <v>7</v>
      </c>
      <c r="F558" s="90">
        <f t="shared" si="154"/>
        <v>7</v>
      </c>
      <c r="G558" s="91"/>
      <c r="H558" s="75"/>
      <c r="I558" s="89">
        <f t="shared" si="156"/>
        <v>8</v>
      </c>
      <c r="J558" s="90">
        <f t="shared" si="157"/>
        <v>8</v>
      </c>
      <c r="K558" s="91">
        <f t="shared" si="158"/>
        <v>8</v>
      </c>
      <c r="L558" s="76"/>
      <c r="N558" s="79">
        <f t="shared" si="161"/>
        <v>52.36</v>
      </c>
      <c r="O558" s="80">
        <f t="shared" si="162"/>
        <v>42</v>
      </c>
      <c r="P558" s="81">
        <f t="shared" si="163"/>
        <v>0</v>
      </c>
      <c r="Q558" s="79">
        <f t="shared" si="164"/>
        <v>59.84</v>
      </c>
      <c r="R558" s="80">
        <f t="shared" si="165"/>
        <v>48</v>
      </c>
      <c r="S558" s="81">
        <f t="shared" si="166"/>
        <v>68</v>
      </c>
      <c r="T558" s="92">
        <f t="shared" si="167"/>
        <v>270.2</v>
      </c>
      <c r="U558" s="93">
        <f t="shared" si="160"/>
        <v>216.16</v>
      </c>
    </row>
    <row r="559" spans="1:21" x14ac:dyDescent="0.25">
      <c r="A559" s="71">
        <f t="shared" si="152"/>
        <v>2024</v>
      </c>
      <c r="B559" s="72" t="str">
        <f t="shared" si="150"/>
        <v>ABRIL</v>
      </c>
      <c r="C559" s="73" t="str">
        <f t="shared" si="151"/>
        <v>QUINTA</v>
      </c>
      <c r="D559" s="74">
        <v>45407</v>
      </c>
      <c r="E559" s="89">
        <f t="shared" si="153"/>
        <v>7</v>
      </c>
      <c r="F559" s="90">
        <f t="shared" si="154"/>
        <v>7</v>
      </c>
      <c r="G559" s="91"/>
      <c r="H559" s="75"/>
      <c r="I559" s="89">
        <f t="shared" si="156"/>
        <v>8</v>
      </c>
      <c r="J559" s="90">
        <f t="shared" si="157"/>
        <v>8</v>
      </c>
      <c r="K559" s="91">
        <f t="shared" si="158"/>
        <v>8</v>
      </c>
      <c r="L559" s="76"/>
      <c r="N559" s="79">
        <f t="shared" si="161"/>
        <v>52.36</v>
      </c>
      <c r="O559" s="80">
        <f t="shared" si="162"/>
        <v>42</v>
      </c>
      <c r="P559" s="81">
        <f t="shared" si="163"/>
        <v>0</v>
      </c>
      <c r="Q559" s="79">
        <f t="shared" si="164"/>
        <v>59.84</v>
      </c>
      <c r="R559" s="80">
        <f t="shared" si="165"/>
        <v>48</v>
      </c>
      <c r="S559" s="81">
        <f t="shared" si="166"/>
        <v>68</v>
      </c>
      <c r="T559" s="92">
        <f t="shared" si="167"/>
        <v>270.2</v>
      </c>
      <c r="U559" s="93">
        <f t="shared" si="160"/>
        <v>216.16</v>
      </c>
    </row>
    <row r="560" spans="1:21" x14ac:dyDescent="0.25">
      <c r="A560" s="71">
        <f t="shared" si="152"/>
        <v>2024</v>
      </c>
      <c r="B560" s="72" t="str">
        <f t="shared" si="150"/>
        <v>ABRIL</v>
      </c>
      <c r="C560" s="73" t="str">
        <f t="shared" si="151"/>
        <v>SEXTA</v>
      </c>
      <c r="D560" s="74">
        <v>45408</v>
      </c>
      <c r="E560" s="89">
        <f t="shared" si="153"/>
        <v>7</v>
      </c>
      <c r="F560" s="90">
        <f t="shared" si="154"/>
        <v>7</v>
      </c>
      <c r="G560" s="91"/>
      <c r="H560" s="75"/>
      <c r="I560" s="89">
        <f t="shared" si="156"/>
        <v>8</v>
      </c>
      <c r="J560" s="90">
        <f t="shared" si="157"/>
        <v>8</v>
      </c>
      <c r="K560" s="91">
        <f t="shared" si="158"/>
        <v>8</v>
      </c>
      <c r="L560" s="76"/>
      <c r="N560" s="79">
        <f t="shared" si="161"/>
        <v>52.36</v>
      </c>
      <c r="O560" s="80">
        <f t="shared" si="162"/>
        <v>42</v>
      </c>
      <c r="P560" s="81">
        <f t="shared" si="163"/>
        <v>0</v>
      </c>
      <c r="Q560" s="79">
        <f t="shared" si="164"/>
        <v>59.84</v>
      </c>
      <c r="R560" s="80">
        <f t="shared" si="165"/>
        <v>48</v>
      </c>
      <c r="S560" s="81">
        <f t="shared" si="166"/>
        <v>68</v>
      </c>
      <c r="T560" s="92">
        <f t="shared" si="167"/>
        <v>270.2</v>
      </c>
      <c r="U560" s="93">
        <f t="shared" si="160"/>
        <v>216.16</v>
      </c>
    </row>
    <row r="561" spans="1:21" x14ac:dyDescent="0.25">
      <c r="A561" s="71">
        <f t="shared" si="152"/>
        <v>2024</v>
      </c>
      <c r="B561" s="72" t="str">
        <f t="shared" si="150"/>
        <v>ABRIL</v>
      </c>
      <c r="C561" s="73" t="str">
        <f t="shared" si="151"/>
        <v>SÁBADO</v>
      </c>
      <c r="D561" s="74">
        <v>45409</v>
      </c>
      <c r="E561" s="89">
        <f t="shared" si="153"/>
        <v>0</v>
      </c>
      <c r="F561" s="90">
        <f t="shared" si="154"/>
        <v>7</v>
      </c>
      <c r="G561" s="91"/>
      <c r="H561" s="75"/>
      <c r="I561" s="89">
        <f t="shared" si="156"/>
        <v>0</v>
      </c>
      <c r="J561" s="90">
        <f t="shared" si="157"/>
        <v>8</v>
      </c>
      <c r="K561" s="91">
        <f t="shared" si="158"/>
        <v>0</v>
      </c>
      <c r="L561" s="76"/>
      <c r="N561" s="79">
        <f t="shared" si="161"/>
        <v>0</v>
      </c>
      <c r="O561" s="80">
        <f t="shared" si="162"/>
        <v>42</v>
      </c>
      <c r="P561" s="81">
        <f t="shared" si="163"/>
        <v>0</v>
      </c>
      <c r="Q561" s="79">
        <f t="shared" si="164"/>
        <v>0</v>
      </c>
      <c r="R561" s="80">
        <f t="shared" si="165"/>
        <v>48</v>
      </c>
      <c r="S561" s="81">
        <f t="shared" si="166"/>
        <v>0</v>
      </c>
      <c r="T561" s="92">
        <f t="shared" si="167"/>
        <v>90</v>
      </c>
      <c r="U561" s="93">
        <f t="shared" si="160"/>
        <v>72</v>
      </c>
    </row>
    <row r="562" spans="1:21" x14ac:dyDescent="0.25">
      <c r="A562" s="71">
        <f t="shared" si="152"/>
        <v>2024</v>
      </c>
      <c r="B562" s="72" t="str">
        <f t="shared" si="150"/>
        <v>ABRIL</v>
      </c>
      <c r="C562" s="73" t="str">
        <f t="shared" si="151"/>
        <v>DOMINGO</v>
      </c>
      <c r="D562" s="74">
        <v>45410</v>
      </c>
      <c r="E562" s="89">
        <f t="shared" si="153"/>
        <v>0</v>
      </c>
      <c r="F562" s="90">
        <f t="shared" si="154"/>
        <v>0</v>
      </c>
      <c r="G562" s="91"/>
      <c r="H562" s="75"/>
      <c r="I562" s="89">
        <f t="shared" si="156"/>
        <v>0</v>
      </c>
      <c r="J562" s="90">
        <f t="shared" si="157"/>
        <v>0</v>
      </c>
      <c r="K562" s="91">
        <f t="shared" si="158"/>
        <v>0</v>
      </c>
      <c r="L562" s="76"/>
      <c r="N562" s="79">
        <f t="shared" si="161"/>
        <v>0</v>
      </c>
      <c r="O562" s="80">
        <f t="shared" si="162"/>
        <v>0</v>
      </c>
      <c r="P562" s="81">
        <f t="shared" si="163"/>
        <v>0</v>
      </c>
      <c r="Q562" s="79">
        <f t="shared" si="164"/>
        <v>0</v>
      </c>
      <c r="R562" s="80">
        <f t="shared" si="165"/>
        <v>0</v>
      </c>
      <c r="S562" s="81">
        <f t="shared" si="166"/>
        <v>0</v>
      </c>
      <c r="T562" s="92">
        <f t="shared" si="167"/>
        <v>0</v>
      </c>
      <c r="U562" s="93">
        <f t="shared" si="160"/>
        <v>0</v>
      </c>
    </row>
    <row r="563" spans="1:21" x14ac:dyDescent="0.25">
      <c r="A563" s="71">
        <f t="shared" si="152"/>
        <v>2024</v>
      </c>
      <c r="B563" s="72" t="str">
        <f t="shared" si="150"/>
        <v>ABRIL</v>
      </c>
      <c r="C563" s="73" t="str">
        <f t="shared" si="151"/>
        <v>SEGUNDA</v>
      </c>
      <c r="D563" s="74">
        <v>45411</v>
      </c>
      <c r="E563" s="89">
        <f t="shared" si="153"/>
        <v>7</v>
      </c>
      <c r="F563" s="90">
        <f t="shared" si="154"/>
        <v>7</v>
      </c>
      <c r="G563" s="91"/>
      <c r="H563" s="75"/>
      <c r="I563" s="89">
        <f t="shared" si="156"/>
        <v>8</v>
      </c>
      <c r="J563" s="90">
        <f t="shared" si="157"/>
        <v>8</v>
      </c>
      <c r="K563" s="91">
        <f t="shared" si="158"/>
        <v>8</v>
      </c>
      <c r="L563" s="76"/>
      <c r="N563" s="79">
        <f t="shared" si="161"/>
        <v>52.36</v>
      </c>
      <c r="O563" s="80">
        <f t="shared" si="162"/>
        <v>42</v>
      </c>
      <c r="P563" s="81">
        <f t="shared" si="163"/>
        <v>0</v>
      </c>
      <c r="Q563" s="79">
        <f t="shared" si="164"/>
        <v>59.84</v>
      </c>
      <c r="R563" s="80">
        <f t="shared" si="165"/>
        <v>48</v>
      </c>
      <c r="S563" s="81">
        <f t="shared" si="166"/>
        <v>68</v>
      </c>
      <c r="T563" s="92">
        <f t="shared" si="167"/>
        <v>270.2</v>
      </c>
      <c r="U563" s="93">
        <f t="shared" si="160"/>
        <v>216.16</v>
      </c>
    </row>
    <row r="564" spans="1:21" x14ac:dyDescent="0.25">
      <c r="A564" s="71">
        <f t="shared" si="152"/>
        <v>2024</v>
      </c>
      <c r="B564" s="72" t="str">
        <f t="shared" si="150"/>
        <v>ABRIL</v>
      </c>
      <c r="C564" s="73" t="str">
        <f t="shared" si="151"/>
        <v>TERÇA</v>
      </c>
      <c r="D564" s="74">
        <v>45412</v>
      </c>
      <c r="E564" s="89">
        <f t="shared" si="153"/>
        <v>7</v>
      </c>
      <c r="F564" s="90">
        <f t="shared" si="154"/>
        <v>7</v>
      </c>
      <c r="G564" s="91"/>
      <c r="H564" s="75"/>
      <c r="I564" s="89">
        <f t="shared" si="156"/>
        <v>8</v>
      </c>
      <c r="J564" s="90">
        <f t="shared" si="157"/>
        <v>8</v>
      </c>
      <c r="K564" s="91">
        <f t="shared" si="158"/>
        <v>8</v>
      </c>
      <c r="L564" s="76"/>
      <c r="N564" s="79">
        <f t="shared" si="161"/>
        <v>52.36</v>
      </c>
      <c r="O564" s="80">
        <f t="shared" si="162"/>
        <v>42</v>
      </c>
      <c r="P564" s="81">
        <f t="shared" si="163"/>
        <v>0</v>
      </c>
      <c r="Q564" s="79">
        <f t="shared" si="164"/>
        <v>59.84</v>
      </c>
      <c r="R564" s="80">
        <f t="shared" si="165"/>
        <v>48</v>
      </c>
      <c r="S564" s="81">
        <f t="shared" si="166"/>
        <v>68</v>
      </c>
      <c r="T564" s="92">
        <f t="shared" si="167"/>
        <v>270.2</v>
      </c>
      <c r="U564" s="93">
        <f t="shared" si="160"/>
        <v>216.16</v>
      </c>
    </row>
    <row r="565" spans="1:21" x14ac:dyDescent="0.25">
      <c r="A565" s="71">
        <f t="shared" si="152"/>
        <v>2024</v>
      </c>
      <c r="B565" s="72" t="str">
        <f t="shared" si="150"/>
        <v>MAIO</v>
      </c>
      <c r="C565" s="73" t="str">
        <f t="shared" si="151"/>
        <v>QUARTA</v>
      </c>
      <c r="D565" s="74">
        <v>45413</v>
      </c>
      <c r="E565" s="89">
        <f t="shared" si="153"/>
        <v>7</v>
      </c>
      <c r="F565" s="90">
        <f t="shared" si="154"/>
        <v>7</v>
      </c>
      <c r="G565" s="91"/>
      <c r="H565" s="75"/>
      <c r="I565" s="89">
        <f t="shared" si="156"/>
        <v>8</v>
      </c>
      <c r="J565" s="90">
        <f t="shared" si="157"/>
        <v>8</v>
      </c>
      <c r="K565" s="91">
        <f t="shared" si="158"/>
        <v>8</v>
      </c>
      <c r="L565" s="76"/>
      <c r="N565" s="79">
        <f t="shared" si="161"/>
        <v>52.36</v>
      </c>
      <c r="O565" s="80">
        <f t="shared" si="162"/>
        <v>42</v>
      </c>
      <c r="P565" s="81">
        <f t="shared" si="163"/>
        <v>0</v>
      </c>
      <c r="Q565" s="79">
        <f t="shared" si="164"/>
        <v>59.84</v>
      </c>
      <c r="R565" s="80">
        <f t="shared" si="165"/>
        <v>48</v>
      </c>
      <c r="S565" s="81">
        <f t="shared" si="166"/>
        <v>68</v>
      </c>
      <c r="T565" s="92">
        <f t="shared" si="167"/>
        <v>270.2</v>
      </c>
      <c r="U565" s="93">
        <f t="shared" si="160"/>
        <v>216.16</v>
      </c>
    </row>
    <row r="566" spans="1:21" x14ac:dyDescent="0.25">
      <c r="A566" s="71">
        <f t="shared" si="152"/>
        <v>2024</v>
      </c>
      <c r="B566" s="72" t="str">
        <f t="shared" si="150"/>
        <v>MAIO</v>
      </c>
      <c r="C566" s="73" t="str">
        <f t="shared" si="151"/>
        <v>QUINTA</v>
      </c>
      <c r="D566" s="74">
        <v>45414</v>
      </c>
      <c r="E566" s="89">
        <f t="shared" si="153"/>
        <v>7</v>
      </c>
      <c r="F566" s="90">
        <f t="shared" si="154"/>
        <v>7</v>
      </c>
      <c r="G566" s="91"/>
      <c r="H566" s="75"/>
      <c r="I566" s="89">
        <f t="shared" si="156"/>
        <v>8</v>
      </c>
      <c r="J566" s="90">
        <f t="shared" si="157"/>
        <v>8</v>
      </c>
      <c r="K566" s="91">
        <f t="shared" si="158"/>
        <v>8</v>
      </c>
      <c r="L566" s="76"/>
      <c r="N566" s="79">
        <f t="shared" si="161"/>
        <v>52.36</v>
      </c>
      <c r="O566" s="80">
        <f t="shared" si="162"/>
        <v>42</v>
      </c>
      <c r="P566" s="81">
        <f t="shared" si="163"/>
        <v>0</v>
      </c>
      <c r="Q566" s="79">
        <f t="shared" si="164"/>
        <v>59.84</v>
      </c>
      <c r="R566" s="80">
        <f t="shared" si="165"/>
        <v>48</v>
      </c>
      <c r="S566" s="81">
        <f t="shared" si="166"/>
        <v>68</v>
      </c>
      <c r="T566" s="92">
        <f t="shared" si="167"/>
        <v>270.2</v>
      </c>
      <c r="U566" s="93">
        <f t="shared" si="160"/>
        <v>216.16</v>
      </c>
    </row>
    <row r="567" spans="1:21" x14ac:dyDescent="0.25">
      <c r="A567" s="71">
        <f t="shared" si="152"/>
        <v>2024</v>
      </c>
      <c r="B567" s="72" t="str">
        <f t="shared" si="150"/>
        <v>MAIO</v>
      </c>
      <c r="C567" s="73" t="str">
        <f t="shared" si="151"/>
        <v>SEXTA</v>
      </c>
      <c r="D567" s="74">
        <v>45415</v>
      </c>
      <c r="E567" s="89">
        <f t="shared" si="153"/>
        <v>7</v>
      </c>
      <c r="F567" s="90">
        <f t="shared" si="154"/>
        <v>7</v>
      </c>
      <c r="G567" s="91"/>
      <c r="H567" s="75"/>
      <c r="I567" s="89">
        <f t="shared" si="156"/>
        <v>8</v>
      </c>
      <c r="J567" s="90">
        <f t="shared" si="157"/>
        <v>8</v>
      </c>
      <c r="K567" s="91">
        <f t="shared" si="158"/>
        <v>8</v>
      </c>
      <c r="L567" s="76"/>
      <c r="N567" s="79">
        <f t="shared" si="161"/>
        <v>52.36</v>
      </c>
      <c r="O567" s="80">
        <f t="shared" si="162"/>
        <v>42</v>
      </c>
      <c r="P567" s="81">
        <f t="shared" si="163"/>
        <v>0</v>
      </c>
      <c r="Q567" s="79">
        <f t="shared" si="164"/>
        <v>59.84</v>
      </c>
      <c r="R567" s="80">
        <f t="shared" si="165"/>
        <v>48</v>
      </c>
      <c r="S567" s="81">
        <f t="shared" si="166"/>
        <v>68</v>
      </c>
      <c r="T567" s="92">
        <f t="shared" si="167"/>
        <v>270.2</v>
      </c>
      <c r="U567" s="93">
        <f t="shared" si="160"/>
        <v>216.16</v>
      </c>
    </row>
    <row r="568" spans="1:21" x14ac:dyDescent="0.25">
      <c r="A568" s="71">
        <f t="shared" si="152"/>
        <v>2024</v>
      </c>
      <c r="B568" s="72" t="str">
        <f t="shared" si="150"/>
        <v>MAIO</v>
      </c>
      <c r="C568" s="73" t="str">
        <f t="shared" si="151"/>
        <v>SÁBADO</v>
      </c>
      <c r="D568" s="74">
        <v>45416</v>
      </c>
      <c r="E568" s="89">
        <f t="shared" si="153"/>
        <v>0</v>
      </c>
      <c r="F568" s="90">
        <f t="shared" si="154"/>
        <v>7</v>
      </c>
      <c r="G568" s="91"/>
      <c r="H568" s="75"/>
      <c r="I568" s="89">
        <f t="shared" si="156"/>
        <v>0</v>
      </c>
      <c r="J568" s="90">
        <f t="shared" si="157"/>
        <v>8</v>
      </c>
      <c r="K568" s="91">
        <f t="shared" si="158"/>
        <v>0</v>
      </c>
      <c r="L568" s="76"/>
      <c r="N568" s="79">
        <f t="shared" si="161"/>
        <v>0</v>
      </c>
      <c r="O568" s="80">
        <f t="shared" si="162"/>
        <v>42</v>
      </c>
      <c r="P568" s="81">
        <f t="shared" si="163"/>
        <v>0</v>
      </c>
      <c r="Q568" s="79">
        <f t="shared" si="164"/>
        <v>0</v>
      </c>
      <c r="R568" s="80">
        <f t="shared" si="165"/>
        <v>48</v>
      </c>
      <c r="S568" s="81">
        <f t="shared" si="166"/>
        <v>0</v>
      </c>
      <c r="T568" s="92">
        <f t="shared" si="167"/>
        <v>90</v>
      </c>
      <c r="U568" s="93">
        <f t="shared" si="160"/>
        <v>72</v>
      </c>
    </row>
    <row r="569" spans="1:21" x14ac:dyDescent="0.25">
      <c r="A569" s="71">
        <f t="shared" si="152"/>
        <v>2024</v>
      </c>
      <c r="B569" s="72" t="str">
        <f t="shared" si="150"/>
        <v>MAIO</v>
      </c>
      <c r="C569" s="73" t="str">
        <f t="shared" si="151"/>
        <v>DOMINGO</v>
      </c>
      <c r="D569" s="74">
        <v>45417</v>
      </c>
      <c r="E569" s="89">
        <f t="shared" si="153"/>
        <v>0</v>
      </c>
      <c r="F569" s="90">
        <f t="shared" si="154"/>
        <v>0</v>
      </c>
      <c r="G569" s="91"/>
      <c r="H569" s="75"/>
      <c r="I569" s="89">
        <f t="shared" si="156"/>
        <v>0</v>
      </c>
      <c r="J569" s="90">
        <f t="shared" si="157"/>
        <v>0</v>
      </c>
      <c r="K569" s="91">
        <f t="shared" si="158"/>
        <v>0</v>
      </c>
      <c r="L569" s="76"/>
      <c r="N569" s="79">
        <f t="shared" si="161"/>
        <v>0</v>
      </c>
      <c r="O569" s="80">
        <f t="shared" si="162"/>
        <v>0</v>
      </c>
      <c r="P569" s="81">
        <f t="shared" si="163"/>
        <v>0</v>
      </c>
      <c r="Q569" s="79">
        <f t="shared" si="164"/>
        <v>0</v>
      </c>
      <c r="R569" s="80">
        <f t="shared" si="165"/>
        <v>0</v>
      </c>
      <c r="S569" s="81">
        <f t="shared" si="166"/>
        <v>0</v>
      </c>
      <c r="T569" s="92">
        <f t="shared" si="167"/>
        <v>0</v>
      </c>
      <c r="U569" s="93">
        <f t="shared" si="160"/>
        <v>0</v>
      </c>
    </row>
    <row r="570" spans="1:21" x14ac:dyDescent="0.25">
      <c r="A570" s="71">
        <f t="shared" si="152"/>
        <v>2024</v>
      </c>
      <c r="B570" s="72" t="str">
        <f t="shared" si="150"/>
        <v>MAIO</v>
      </c>
      <c r="C570" s="73" t="str">
        <f t="shared" si="151"/>
        <v>SEGUNDA</v>
      </c>
      <c r="D570" s="74">
        <v>45418</v>
      </c>
      <c r="E570" s="89">
        <f t="shared" si="153"/>
        <v>7</v>
      </c>
      <c r="F570" s="90">
        <f t="shared" si="154"/>
        <v>7</v>
      </c>
      <c r="G570" s="91"/>
      <c r="H570" s="75"/>
      <c r="I570" s="89">
        <f t="shared" si="156"/>
        <v>8</v>
      </c>
      <c r="J570" s="90">
        <f t="shared" si="157"/>
        <v>8</v>
      </c>
      <c r="K570" s="91">
        <f t="shared" si="158"/>
        <v>8</v>
      </c>
      <c r="L570" s="76"/>
      <c r="N570" s="79">
        <f t="shared" si="161"/>
        <v>52.36</v>
      </c>
      <c r="O570" s="80">
        <f t="shared" si="162"/>
        <v>42</v>
      </c>
      <c r="P570" s="81">
        <f t="shared" si="163"/>
        <v>0</v>
      </c>
      <c r="Q570" s="79">
        <f t="shared" si="164"/>
        <v>59.84</v>
      </c>
      <c r="R570" s="80">
        <f t="shared" si="165"/>
        <v>48</v>
      </c>
      <c r="S570" s="81">
        <f t="shared" si="166"/>
        <v>68</v>
      </c>
      <c r="T570" s="92">
        <f t="shared" si="167"/>
        <v>270.2</v>
      </c>
      <c r="U570" s="93">
        <f t="shared" si="160"/>
        <v>216.16</v>
      </c>
    </row>
    <row r="571" spans="1:21" x14ac:dyDescent="0.25">
      <c r="A571" s="71">
        <f t="shared" si="152"/>
        <v>2024</v>
      </c>
      <c r="B571" s="72" t="str">
        <f t="shared" si="150"/>
        <v>MAIO</v>
      </c>
      <c r="C571" s="73" t="str">
        <f t="shared" si="151"/>
        <v>TERÇA</v>
      </c>
      <c r="D571" s="74">
        <v>45419</v>
      </c>
      <c r="E571" s="89">
        <f t="shared" si="153"/>
        <v>7</v>
      </c>
      <c r="F571" s="90">
        <f t="shared" si="154"/>
        <v>7</v>
      </c>
      <c r="G571" s="91"/>
      <c r="H571" s="75"/>
      <c r="I571" s="89">
        <f t="shared" si="156"/>
        <v>8</v>
      </c>
      <c r="J571" s="90">
        <f t="shared" si="157"/>
        <v>8</v>
      </c>
      <c r="K571" s="91">
        <f t="shared" si="158"/>
        <v>8</v>
      </c>
      <c r="L571" s="76"/>
      <c r="N571" s="79">
        <f t="shared" si="161"/>
        <v>52.36</v>
      </c>
      <c r="O571" s="80">
        <f t="shared" si="162"/>
        <v>42</v>
      </c>
      <c r="P571" s="81">
        <f t="shared" si="163"/>
        <v>0</v>
      </c>
      <c r="Q571" s="79">
        <f t="shared" si="164"/>
        <v>59.84</v>
      </c>
      <c r="R571" s="80">
        <f t="shared" si="165"/>
        <v>48</v>
      </c>
      <c r="S571" s="81">
        <f t="shared" si="166"/>
        <v>68</v>
      </c>
      <c r="T571" s="92">
        <f t="shared" si="167"/>
        <v>270.2</v>
      </c>
      <c r="U571" s="93">
        <f t="shared" si="160"/>
        <v>216.16</v>
      </c>
    </row>
    <row r="572" spans="1:21" x14ac:dyDescent="0.25">
      <c r="A572" s="71">
        <f t="shared" si="152"/>
        <v>2024</v>
      </c>
      <c r="B572" s="72" t="str">
        <f t="shared" si="150"/>
        <v>MAIO</v>
      </c>
      <c r="C572" s="73" t="str">
        <f t="shared" si="151"/>
        <v>QUARTA</v>
      </c>
      <c r="D572" s="74">
        <v>45420</v>
      </c>
      <c r="E572" s="89">
        <f t="shared" si="153"/>
        <v>7</v>
      </c>
      <c r="F572" s="90">
        <f t="shared" si="154"/>
        <v>7</v>
      </c>
      <c r="G572" s="91"/>
      <c r="H572" s="75"/>
      <c r="I572" s="89">
        <f t="shared" si="156"/>
        <v>8</v>
      </c>
      <c r="J572" s="90">
        <f t="shared" si="157"/>
        <v>8</v>
      </c>
      <c r="K572" s="91">
        <f t="shared" si="158"/>
        <v>8</v>
      </c>
      <c r="L572" s="76"/>
      <c r="N572" s="79">
        <f t="shared" si="161"/>
        <v>52.36</v>
      </c>
      <c r="O572" s="80">
        <f t="shared" si="162"/>
        <v>42</v>
      </c>
      <c r="P572" s="81">
        <f t="shared" si="163"/>
        <v>0</v>
      </c>
      <c r="Q572" s="79">
        <f t="shared" si="164"/>
        <v>59.84</v>
      </c>
      <c r="R572" s="80">
        <f t="shared" si="165"/>
        <v>48</v>
      </c>
      <c r="S572" s="81">
        <f t="shared" si="166"/>
        <v>68</v>
      </c>
      <c r="T572" s="92">
        <f t="shared" si="167"/>
        <v>270.2</v>
      </c>
      <c r="U572" s="93">
        <f t="shared" si="160"/>
        <v>216.16</v>
      </c>
    </row>
    <row r="573" spans="1:21" x14ac:dyDescent="0.25">
      <c r="A573" s="71">
        <f t="shared" si="152"/>
        <v>2024</v>
      </c>
      <c r="B573" s="72" t="str">
        <f t="shared" si="150"/>
        <v>MAIO</v>
      </c>
      <c r="C573" s="73" t="str">
        <f t="shared" si="151"/>
        <v>QUINTA</v>
      </c>
      <c r="D573" s="74">
        <v>45421</v>
      </c>
      <c r="E573" s="89">
        <f t="shared" si="153"/>
        <v>7</v>
      </c>
      <c r="F573" s="90">
        <f t="shared" si="154"/>
        <v>7</v>
      </c>
      <c r="G573" s="91"/>
      <c r="H573" s="75"/>
      <c r="I573" s="89">
        <f t="shared" si="156"/>
        <v>8</v>
      </c>
      <c r="J573" s="90">
        <f t="shared" si="157"/>
        <v>8</v>
      </c>
      <c r="K573" s="91">
        <f t="shared" si="158"/>
        <v>8</v>
      </c>
      <c r="L573" s="76"/>
      <c r="N573" s="79">
        <f t="shared" si="161"/>
        <v>52.36</v>
      </c>
      <c r="O573" s="80">
        <f t="shared" si="162"/>
        <v>42</v>
      </c>
      <c r="P573" s="81">
        <f t="shared" si="163"/>
        <v>0</v>
      </c>
      <c r="Q573" s="79">
        <f t="shared" si="164"/>
        <v>59.84</v>
      </c>
      <c r="R573" s="80">
        <f t="shared" si="165"/>
        <v>48</v>
      </c>
      <c r="S573" s="81">
        <f t="shared" si="166"/>
        <v>68</v>
      </c>
      <c r="T573" s="92">
        <f t="shared" si="167"/>
        <v>270.2</v>
      </c>
      <c r="U573" s="93">
        <f t="shared" si="160"/>
        <v>216.16</v>
      </c>
    </row>
    <row r="574" spans="1:21" x14ac:dyDescent="0.25">
      <c r="A574" s="71">
        <f t="shared" si="152"/>
        <v>2024</v>
      </c>
      <c r="B574" s="72" t="str">
        <f t="shared" si="150"/>
        <v>MAIO</v>
      </c>
      <c r="C574" s="73" t="str">
        <f t="shared" si="151"/>
        <v>SEXTA</v>
      </c>
      <c r="D574" s="74">
        <v>45422</v>
      </c>
      <c r="E574" s="89">
        <f t="shared" si="153"/>
        <v>7</v>
      </c>
      <c r="F574" s="90">
        <f t="shared" si="154"/>
        <v>7</v>
      </c>
      <c r="G574" s="91"/>
      <c r="H574" s="75"/>
      <c r="I574" s="89">
        <f t="shared" si="156"/>
        <v>8</v>
      </c>
      <c r="J574" s="90">
        <f t="shared" si="157"/>
        <v>8</v>
      </c>
      <c r="K574" s="91">
        <f t="shared" si="158"/>
        <v>8</v>
      </c>
      <c r="L574" s="76"/>
      <c r="N574" s="79">
        <f t="shared" si="161"/>
        <v>52.36</v>
      </c>
      <c r="O574" s="80">
        <f t="shared" si="162"/>
        <v>42</v>
      </c>
      <c r="P574" s="81">
        <f t="shared" si="163"/>
        <v>0</v>
      </c>
      <c r="Q574" s="79">
        <f t="shared" si="164"/>
        <v>59.84</v>
      </c>
      <c r="R574" s="80">
        <f t="shared" si="165"/>
        <v>48</v>
      </c>
      <c r="S574" s="81">
        <f t="shared" si="166"/>
        <v>68</v>
      </c>
      <c r="T574" s="92">
        <f t="shared" si="167"/>
        <v>270.2</v>
      </c>
      <c r="U574" s="93">
        <f t="shared" si="160"/>
        <v>216.16</v>
      </c>
    </row>
    <row r="575" spans="1:21" x14ac:dyDescent="0.25">
      <c r="A575" s="71">
        <f t="shared" si="152"/>
        <v>2024</v>
      </c>
      <c r="B575" s="72" t="str">
        <f t="shared" ref="B575:B638" si="168">VLOOKUP(MONTH(D575),$AG$2:$AH$14,2,0)</f>
        <v>MAIO</v>
      </c>
      <c r="C575" s="73" t="str">
        <f t="shared" si="151"/>
        <v>SÁBADO</v>
      </c>
      <c r="D575" s="74">
        <v>45423</v>
      </c>
      <c r="E575" s="89">
        <f t="shared" si="153"/>
        <v>0</v>
      </c>
      <c r="F575" s="90">
        <f t="shared" si="154"/>
        <v>7</v>
      </c>
      <c r="G575" s="91"/>
      <c r="H575" s="75"/>
      <c r="I575" s="89">
        <f t="shared" si="156"/>
        <v>0</v>
      </c>
      <c r="J575" s="90">
        <f t="shared" si="157"/>
        <v>8</v>
      </c>
      <c r="K575" s="91">
        <f t="shared" si="158"/>
        <v>0</v>
      </c>
      <c r="L575" s="76"/>
      <c r="N575" s="79">
        <f t="shared" si="161"/>
        <v>0</v>
      </c>
      <c r="O575" s="80">
        <f t="shared" si="162"/>
        <v>42</v>
      </c>
      <c r="P575" s="81">
        <f t="shared" si="163"/>
        <v>0</v>
      </c>
      <c r="Q575" s="79">
        <f t="shared" si="164"/>
        <v>0</v>
      </c>
      <c r="R575" s="80">
        <f t="shared" si="165"/>
        <v>48</v>
      </c>
      <c r="S575" s="81">
        <f t="shared" si="166"/>
        <v>0</v>
      </c>
      <c r="T575" s="92">
        <f t="shared" si="167"/>
        <v>90</v>
      </c>
      <c r="U575" s="93">
        <f t="shared" si="160"/>
        <v>72</v>
      </c>
    </row>
    <row r="576" spans="1:21" x14ac:dyDescent="0.25">
      <c r="A576" s="71">
        <f t="shared" si="152"/>
        <v>2024</v>
      </c>
      <c r="B576" s="72" t="str">
        <f t="shared" si="168"/>
        <v>MAIO</v>
      </c>
      <c r="C576" s="73" t="str">
        <f t="shared" si="151"/>
        <v>DOMINGO</v>
      </c>
      <c r="D576" s="74">
        <v>45424</v>
      </c>
      <c r="E576" s="89">
        <f t="shared" si="153"/>
        <v>0</v>
      </c>
      <c r="F576" s="90">
        <f t="shared" si="154"/>
        <v>0</v>
      </c>
      <c r="G576" s="91"/>
      <c r="H576" s="75"/>
      <c r="I576" s="89">
        <f t="shared" si="156"/>
        <v>0</v>
      </c>
      <c r="J576" s="90">
        <f t="shared" si="157"/>
        <v>0</v>
      </c>
      <c r="K576" s="91">
        <f t="shared" si="158"/>
        <v>0</v>
      </c>
      <c r="L576" s="76"/>
      <c r="N576" s="79">
        <f t="shared" si="161"/>
        <v>0</v>
      </c>
      <c r="O576" s="80">
        <f t="shared" si="162"/>
        <v>0</v>
      </c>
      <c r="P576" s="81">
        <f t="shared" si="163"/>
        <v>0</v>
      </c>
      <c r="Q576" s="79">
        <f t="shared" si="164"/>
        <v>0</v>
      </c>
      <c r="R576" s="80">
        <f t="shared" si="165"/>
        <v>0</v>
      </c>
      <c r="S576" s="81">
        <f t="shared" si="166"/>
        <v>0</v>
      </c>
      <c r="T576" s="92">
        <f t="shared" si="167"/>
        <v>0</v>
      </c>
      <c r="U576" s="93">
        <f t="shared" si="160"/>
        <v>0</v>
      </c>
    </row>
    <row r="577" spans="1:21" x14ac:dyDescent="0.25">
      <c r="A577" s="71">
        <f t="shared" si="152"/>
        <v>2024</v>
      </c>
      <c r="B577" s="72" t="str">
        <f t="shared" si="168"/>
        <v>MAIO</v>
      </c>
      <c r="C577" s="73" t="str">
        <f t="shared" si="151"/>
        <v>SEGUNDA</v>
      </c>
      <c r="D577" s="74">
        <v>45425</v>
      </c>
      <c r="E577" s="89">
        <f t="shared" si="153"/>
        <v>7</v>
      </c>
      <c r="F577" s="90">
        <f t="shared" si="154"/>
        <v>7</v>
      </c>
      <c r="G577" s="91"/>
      <c r="H577" s="75"/>
      <c r="I577" s="89">
        <f t="shared" si="156"/>
        <v>8</v>
      </c>
      <c r="J577" s="90">
        <f t="shared" si="157"/>
        <v>8</v>
      </c>
      <c r="K577" s="91">
        <f t="shared" si="158"/>
        <v>8</v>
      </c>
      <c r="L577" s="76"/>
      <c r="N577" s="79">
        <f t="shared" si="161"/>
        <v>52.36</v>
      </c>
      <c r="O577" s="80">
        <f t="shared" si="162"/>
        <v>42</v>
      </c>
      <c r="P577" s="81">
        <f t="shared" si="163"/>
        <v>0</v>
      </c>
      <c r="Q577" s="79">
        <f t="shared" si="164"/>
        <v>59.84</v>
      </c>
      <c r="R577" s="80">
        <f t="shared" si="165"/>
        <v>48</v>
      </c>
      <c r="S577" s="81">
        <f t="shared" si="166"/>
        <v>68</v>
      </c>
      <c r="T577" s="92">
        <f t="shared" si="167"/>
        <v>270.2</v>
      </c>
      <c r="U577" s="93">
        <f t="shared" si="160"/>
        <v>216.16</v>
      </c>
    </row>
    <row r="578" spans="1:21" x14ac:dyDescent="0.25">
      <c r="A578" s="71">
        <f t="shared" si="152"/>
        <v>2024</v>
      </c>
      <c r="B578" s="72" t="str">
        <f t="shared" si="168"/>
        <v>MAIO</v>
      </c>
      <c r="C578" s="73" t="str">
        <f t="shared" si="151"/>
        <v>TERÇA</v>
      </c>
      <c r="D578" s="74">
        <v>45426</v>
      </c>
      <c r="E578" s="89">
        <f t="shared" si="153"/>
        <v>7</v>
      </c>
      <c r="F578" s="90">
        <f t="shared" si="154"/>
        <v>7</v>
      </c>
      <c r="G578" s="91"/>
      <c r="H578" s="75"/>
      <c r="I578" s="89">
        <f t="shared" si="156"/>
        <v>8</v>
      </c>
      <c r="J578" s="90">
        <f t="shared" si="157"/>
        <v>8</v>
      </c>
      <c r="K578" s="91">
        <f t="shared" si="158"/>
        <v>8</v>
      </c>
      <c r="L578" s="76"/>
      <c r="N578" s="79">
        <f t="shared" si="161"/>
        <v>52.36</v>
      </c>
      <c r="O578" s="80">
        <f t="shared" si="162"/>
        <v>42</v>
      </c>
      <c r="P578" s="81">
        <f t="shared" si="163"/>
        <v>0</v>
      </c>
      <c r="Q578" s="79">
        <f t="shared" si="164"/>
        <v>59.84</v>
      </c>
      <c r="R578" s="80">
        <f t="shared" si="165"/>
        <v>48</v>
      </c>
      <c r="S578" s="81">
        <f t="shared" si="166"/>
        <v>68</v>
      </c>
      <c r="T578" s="92">
        <f t="shared" si="167"/>
        <v>270.2</v>
      </c>
      <c r="U578" s="93">
        <f t="shared" si="160"/>
        <v>216.16</v>
      </c>
    </row>
    <row r="579" spans="1:21" x14ac:dyDescent="0.25">
      <c r="A579" s="71">
        <f t="shared" si="152"/>
        <v>2024</v>
      </c>
      <c r="B579" s="72" t="str">
        <f t="shared" si="168"/>
        <v>MAIO</v>
      </c>
      <c r="C579" s="73" t="str">
        <f t="shared" si="151"/>
        <v>QUARTA</v>
      </c>
      <c r="D579" s="74">
        <v>45427</v>
      </c>
      <c r="E579" s="89">
        <f t="shared" si="153"/>
        <v>7</v>
      </c>
      <c r="F579" s="90">
        <f t="shared" si="154"/>
        <v>7</v>
      </c>
      <c r="G579" s="91"/>
      <c r="H579" s="75"/>
      <c r="I579" s="89">
        <f t="shared" si="156"/>
        <v>8</v>
      </c>
      <c r="J579" s="90">
        <f t="shared" si="157"/>
        <v>8</v>
      </c>
      <c r="K579" s="91">
        <f t="shared" si="158"/>
        <v>8</v>
      </c>
      <c r="L579" s="76"/>
      <c r="N579" s="79">
        <f t="shared" si="161"/>
        <v>52.36</v>
      </c>
      <c r="O579" s="80">
        <f t="shared" si="162"/>
        <v>42</v>
      </c>
      <c r="P579" s="81">
        <f t="shared" si="163"/>
        <v>0</v>
      </c>
      <c r="Q579" s="79">
        <f t="shared" si="164"/>
        <v>59.84</v>
      </c>
      <c r="R579" s="80">
        <f t="shared" si="165"/>
        <v>48</v>
      </c>
      <c r="S579" s="81">
        <f t="shared" si="166"/>
        <v>68</v>
      </c>
      <c r="T579" s="92">
        <f t="shared" si="167"/>
        <v>270.2</v>
      </c>
      <c r="U579" s="93">
        <f t="shared" si="160"/>
        <v>216.16</v>
      </c>
    </row>
    <row r="580" spans="1:21" x14ac:dyDescent="0.25">
      <c r="A580" s="71">
        <f t="shared" si="152"/>
        <v>2024</v>
      </c>
      <c r="B580" s="72" t="str">
        <f t="shared" si="168"/>
        <v>MAIO</v>
      </c>
      <c r="C580" s="73" t="str">
        <f t="shared" si="151"/>
        <v>QUINTA</v>
      </c>
      <c r="D580" s="74">
        <v>45428</v>
      </c>
      <c r="E580" s="89">
        <f t="shared" si="153"/>
        <v>7</v>
      </c>
      <c r="F580" s="90">
        <f t="shared" si="154"/>
        <v>7</v>
      </c>
      <c r="G580" s="91"/>
      <c r="H580" s="75"/>
      <c r="I580" s="89">
        <f t="shared" si="156"/>
        <v>8</v>
      </c>
      <c r="J580" s="90">
        <f t="shared" si="157"/>
        <v>8</v>
      </c>
      <c r="K580" s="91">
        <f t="shared" si="158"/>
        <v>8</v>
      </c>
      <c r="L580" s="76"/>
      <c r="N580" s="79">
        <f t="shared" si="161"/>
        <v>52.36</v>
      </c>
      <c r="O580" s="80">
        <f t="shared" si="162"/>
        <v>42</v>
      </c>
      <c r="P580" s="81">
        <f t="shared" si="163"/>
        <v>0</v>
      </c>
      <c r="Q580" s="79">
        <f t="shared" si="164"/>
        <v>59.84</v>
      </c>
      <c r="R580" s="80">
        <f t="shared" si="165"/>
        <v>48</v>
      </c>
      <c r="S580" s="81">
        <f t="shared" si="166"/>
        <v>68</v>
      </c>
      <c r="T580" s="92">
        <f t="shared" si="167"/>
        <v>270.2</v>
      </c>
      <c r="U580" s="93">
        <f t="shared" si="160"/>
        <v>216.16</v>
      </c>
    </row>
    <row r="581" spans="1:21" x14ac:dyDescent="0.25">
      <c r="A581" s="71">
        <f t="shared" si="152"/>
        <v>2024</v>
      </c>
      <c r="B581" s="72" t="str">
        <f t="shared" si="168"/>
        <v>MAIO</v>
      </c>
      <c r="C581" s="73" t="str">
        <f t="shared" ref="C581:C644" si="169">VLOOKUP(WEEKDAY(D581),$AE$2:$AF$9,2,0)</f>
        <v>SEXTA</v>
      </c>
      <c r="D581" s="74">
        <v>45429</v>
      </c>
      <c r="E581" s="89">
        <f t="shared" si="153"/>
        <v>7</v>
      </c>
      <c r="F581" s="90">
        <f t="shared" si="154"/>
        <v>7</v>
      </c>
      <c r="G581" s="91"/>
      <c r="H581" s="75"/>
      <c r="I581" s="89">
        <f t="shared" si="156"/>
        <v>8</v>
      </c>
      <c r="J581" s="90">
        <f t="shared" si="157"/>
        <v>8</v>
      </c>
      <c r="K581" s="91">
        <f t="shared" si="158"/>
        <v>8</v>
      </c>
      <c r="L581" s="76"/>
      <c r="N581" s="79">
        <f t="shared" si="161"/>
        <v>52.36</v>
      </c>
      <c r="O581" s="80">
        <f t="shared" si="162"/>
        <v>42</v>
      </c>
      <c r="P581" s="81">
        <f t="shared" si="163"/>
        <v>0</v>
      </c>
      <c r="Q581" s="79">
        <f t="shared" si="164"/>
        <v>59.84</v>
      </c>
      <c r="R581" s="80">
        <f t="shared" si="165"/>
        <v>48</v>
      </c>
      <c r="S581" s="81">
        <f t="shared" si="166"/>
        <v>68</v>
      </c>
      <c r="T581" s="92">
        <f t="shared" si="167"/>
        <v>270.2</v>
      </c>
      <c r="U581" s="93">
        <f t="shared" si="160"/>
        <v>216.16</v>
      </c>
    </row>
    <row r="582" spans="1:21" x14ac:dyDescent="0.25">
      <c r="A582" s="71">
        <f t="shared" ref="A582:A645" si="170">YEAR(D582)</f>
        <v>2024</v>
      </c>
      <c r="B582" s="72" t="str">
        <f t="shared" si="168"/>
        <v>MAIO</v>
      </c>
      <c r="C582" s="73" t="str">
        <f t="shared" si="169"/>
        <v>SÁBADO</v>
      </c>
      <c r="D582" s="74">
        <v>45430</v>
      </c>
      <c r="E582" s="89">
        <f t="shared" ref="E582:E645" si="171">IF(WEEKDAY($D582)&lt;2,0,IF(WEEKDAY($D582)&gt;6,0,7))</f>
        <v>0</v>
      </c>
      <c r="F582" s="90">
        <f t="shared" ref="F582:F645" si="172">IF(WEEKDAY($D582)&lt;2,0,IF(WEEKDAY($D582)&gt;7,0,7))</f>
        <v>7</v>
      </c>
      <c r="G582" s="91"/>
      <c r="H582" s="75"/>
      <c r="I582" s="89">
        <f t="shared" si="156"/>
        <v>0</v>
      </c>
      <c r="J582" s="90">
        <f t="shared" si="157"/>
        <v>8</v>
      </c>
      <c r="K582" s="91">
        <f t="shared" si="158"/>
        <v>0</v>
      </c>
      <c r="L582" s="76"/>
      <c r="N582" s="79">
        <f t="shared" si="161"/>
        <v>0</v>
      </c>
      <c r="O582" s="80">
        <f t="shared" si="162"/>
        <v>42</v>
      </c>
      <c r="P582" s="81">
        <f t="shared" si="163"/>
        <v>0</v>
      </c>
      <c r="Q582" s="79">
        <f t="shared" si="164"/>
        <v>0</v>
      </c>
      <c r="R582" s="80">
        <f t="shared" si="165"/>
        <v>48</v>
      </c>
      <c r="S582" s="81">
        <f t="shared" si="166"/>
        <v>0</v>
      </c>
      <c r="T582" s="92">
        <f t="shared" si="167"/>
        <v>90</v>
      </c>
      <c r="U582" s="93">
        <f t="shared" si="160"/>
        <v>72</v>
      </c>
    </row>
    <row r="583" spans="1:21" x14ac:dyDescent="0.25">
      <c r="A583" s="71">
        <f t="shared" si="170"/>
        <v>2024</v>
      </c>
      <c r="B583" s="72" t="str">
        <f t="shared" si="168"/>
        <v>MAIO</v>
      </c>
      <c r="C583" s="73" t="str">
        <f t="shared" si="169"/>
        <v>DOMINGO</v>
      </c>
      <c r="D583" s="74">
        <v>45431</v>
      </c>
      <c r="E583" s="89">
        <f t="shared" si="171"/>
        <v>0</v>
      </c>
      <c r="F583" s="90">
        <f t="shared" si="172"/>
        <v>0</v>
      </c>
      <c r="G583" s="91"/>
      <c r="H583" s="75"/>
      <c r="I583" s="89">
        <f t="shared" ref="I583:I646" si="173">IF(WEEKDAY($D583)&lt;2,0,IF(WEEKDAY($D583)&gt;6,0,8))</f>
        <v>0</v>
      </c>
      <c r="J583" s="90">
        <f t="shared" ref="J583:J646" si="174">IF(WEEKDAY($D583)&lt;2,0,IF(WEEKDAY($D583)&gt;7,0,8))</f>
        <v>0</v>
      </c>
      <c r="K583" s="91">
        <f t="shared" ref="K583:K646" si="175">IF(WEEKDAY($D583)&lt;2,0,IF(WEEKDAY($D583)&gt;6,0,8))</f>
        <v>0</v>
      </c>
      <c r="L583" s="76"/>
      <c r="N583" s="79">
        <f t="shared" si="161"/>
        <v>0</v>
      </c>
      <c r="O583" s="80">
        <f t="shared" si="162"/>
        <v>0</v>
      </c>
      <c r="P583" s="81">
        <f t="shared" si="163"/>
        <v>0</v>
      </c>
      <c r="Q583" s="79">
        <f t="shared" si="164"/>
        <v>0</v>
      </c>
      <c r="R583" s="80">
        <f t="shared" si="165"/>
        <v>0</v>
      </c>
      <c r="S583" s="81">
        <f t="shared" si="166"/>
        <v>0</v>
      </c>
      <c r="T583" s="92">
        <f t="shared" si="167"/>
        <v>0</v>
      </c>
      <c r="U583" s="93">
        <f t="shared" ref="U583:U646" si="176">T583*0.8</f>
        <v>0</v>
      </c>
    </row>
    <row r="584" spans="1:21" x14ac:dyDescent="0.25">
      <c r="A584" s="71">
        <f t="shared" si="170"/>
        <v>2024</v>
      </c>
      <c r="B584" s="72" t="str">
        <f t="shared" si="168"/>
        <v>MAIO</v>
      </c>
      <c r="C584" s="73" t="str">
        <f t="shared" si="169"/>
        <v>SEGUNDA</v>
      </c>
      <c r="D584" s="74">
        <v>45432</v>
      </c>
      <c r="E584" s="89">
        <f t="shared" si="171"/>
        <v>7</v>
      </c>
      <c r="F584" s="90">
        <f t="shared" si="172"/>
        <v>7</v>
      </c>
      <c r="G584" s="91"/>
      <c r="H584" s="75"/>
      <c r="I584" s="89">
        <f t="shared" si="173"/>
        <v>8</v>
      </c>
      <c r="J584" s="90">
        <f t="shared" si="174"/>
        <v>8</v>
      </c>
      <c r="K584" s="91">
        <f t="shared" si="175"/>
        <v>8</v>
      </c>
      <c r="L584" s="76"/>
      <c r="N584" s="79">
        <f t="shared" si="161"/>
        <v>52.36</v>
      </c>
      <c r="O584" s="80">
        <f t="shared" si="162"/>
        <v>42</v>
      </c>
      <c r="P584" s="81">
        <f t="shared" si="163"/>
        <v>0</v>
      </c>
      <c r="Q584" s="79">
        <f t="shared" si="164"/>
        <v>59.84</v>
      </c>
      <c r="R584" s="80">
        <f t="shared" si="165"/>
        <v>48</v>
      </c>
      <c r="S584" s="81">
        <f t="shared" si="166"/>
        <v>68</v>
      </c>
      <c r="T584" s="92">
        <f t="shared" si="167"/>
        <v>270.2</v>
      </c>
      <c r="U584" s="93">
        <f t="shared" si="176"/>
        <v>216.16</v>
      </c>
    </row>
    <row r="585" spans="1:21" x14ac:dyDescent="0.25">
      <c r="A585" s="71">
        <f t="shared" si="170"/>
        <v>2024</v>
      </c>
      <c r="B585" s="72" t="str">
        <f t="shared" si="168"/>
        <v>MAIO</v>
      </c>
      <c r="C585" s="73" t="str">
        <f t="shared" si="169"/>
        <v>TERÇA</v>
      </c>
      <c r="D585" s="74">
        <v>45433</v>
      </c>
      <c r="E585" s="89">
        <f t="shared" si="171"/>
        <v>7</v>
      </c>
      <c r="F585" s="90">
        <f t="shared" si="172"/>
        <v>7</v>
      </c>
      <c r="G585" s="91"/>
      <c r="H585" s="75"/>
      <c r="I585" s="89">
        <f t="shared" si="173"/>
        <v>8</v>
      </c>
      <c r="J585" s="90">
        <f t="shared" si="174"/>
        <v>8</v>
      </c>
      <c r="K585" s="91">
        <f t="shared" si="175"/>
        <v>8</v>
      </c>
      <c r="L585" s="76"/>
      <c r="N585" s="79">
        <f t="shared" si="161"/>
        <v>52.36</v>
      </c>
      <c r="O585" s="80">
        <f t="shared" si="162"/>
        <v>42</v>
      </c>
      <c r="P585" s="81">
        <f t="shared" si="163"/>
        <v>0</v>
      </c>
      <c r="Q585" s="79">
        <f t="shared" si="164"/>
        <v>59.84</v>
      </c>
      <c r="R585" s="80">
        <f t="shared" si="165"/>
        <v>48</v>
      </c>
      <c r="S585" s="81">
        <f t="shared" si="166"/>
        <v>68</v>
      </c>
      <c r="T585" s="92">
        <f t="shared" si="167"/>
        <v>270.2</v>
      </c>
      <c r="U585" s="93">
        <f t="shared" si="176"/>
        <v>216.16</v>
      </c>
    </row>
    <row r="586" spans="1:21" x14ac:dyDescent="0.25">
      <c r="A586" s="71">
        <f t="shared" si="170"/>
        <v>2024</v>
      </c>
      <c r="B586" s="72" t="str">
        <f t="shared" si="168"/>
        <v>MAIO</v>
      </c>
      <c r="C586" s="73" t="str">
        <f t="shared" si="169"/>
        <v>QUARTA</v>
      </c>
      <c r="D586" s="74">
        <v>45434</v>
      </c>
      <c r="E586" s="89">
        <f t="shared" si="171"/>
        <v>7</v>
      </c>
      <c r="F586" s="90">
        <f t="shared" si="172"/>
        <v>7</v>
      </c>
      <c r="G586" s="91"/>
      <c r="H586" s="75"/>
      <c r="I586" s="89">
        <f t="shared" si="173"/>
        <v>8</v>
      </c>
      <c r="J586" s="90">
        <f t="shared" si="174"/>
        <v>8</v>
      </c>
      <c r="K586" s="91">
        <f t="shared" si="175"/>
        <v>8</v>
      </c>
      <c r="L586" s="76"/>
      <c r="N586" s="79">
        <f t="shared" si="161"/>
        <v>52.36</v>
      </c>
      <c r="O586" s="80">
        <f t="shared" si="162"/>
        <v>42</v>
      </c>
      <c r="P586" s="81">
        <f t="shared" si="163"/>
        <v>0</v>
      </c>
      <c r="Q586" s="79">
        <f t="shared" si="164"/>
        <v>59.84</v>
      </c>
      <c r="R586" s="80">
        <f t="shared" si="165"/>
        <v>48</v>
      </c>
      <c r="S586" s="81">
        <f t="shared" si="166"/>
        <v>68</v>
      </c>
      <c r="T586" s="92">
        <f t="shared" si="167"/>
        <v>270.2</v>
      </c>
      <c r="U586" s="93">
        <f t="shared" si="176"/>
        <v>216.16</v>
      </c>
    </row>
    <row r="587" spans="1:21" x14ac:dyDescent="0.25">
      <c r="A587" s="71">
        <f t="shared" si="170"/>
        <v>2024</v>
      </c>
      <c r="B587" s="72" t="str">
        <f t="shared" si="168"/>
        <v>MAIO</v>
      </c>
      <c r="C587" s="73" t="str">
        <f t="shared" si="169"/>
        <v>QUINTA</v>
      </c>
      <c r="D587" s="74">
        <v>45435</v>
      </c>
      <c r="E587" s="89">
        <f t="shared" si="171"/>
        <v>7</v>
      </c>
      <c r="F587" s="90">
        <f t="shared" si="172"/>
        <v>7</v>
      </c>
      <c r="G587" s="91"/>
      <c r="H587" s="75"/>
      <c r="I587" s="89">
        <f t="shared" si="173"/>
        <v>8</v>
      </c>
      <c r="J587" s="90">
        <f t="shared" si="174"/>
        <v>8</v>
      </c>
      <c r="K587" s="91">
        <f t="shared" si="175"/>
        <v>8</v>
      </c>
      <c r="L587" s="76"/>
      <c r="N587" s="79">
        <f t="shared" si="161"/>
        <v>52.36</v>
      </c>
      <c r="O587" s="80">
        <f t="shared" si="162"/>
        <v>42</v>
      </c>
      <c r="P587" s="81">
        <f t="shared" si="163"/>
        <v>0</v>
      </c>
      <c r="Q587" s="79">
        <f t="shared" si="164"/>
        <v>59.84</v>
      </c>
      <c r="R587" s="80">
        <f t="shared" si="165"/>
        <v>48</v>
      </c>
      <c r="S587" s="81">
        <f t="shared" si="166"/>
        <v>68</v>
      </c>
      <c r="T587" s="92">
        <f t="shared" si="167"/>
        <v>270.2</v>
      </c>
      <c r="U587" s="93">
        <f t="shared" si="176"/>
        <v>216.16</v>
      </c>
    </row>
    <row r="588" spans="1:21" x14ac:dyDescent="0.25">
      <c r="A588" s="71">
        <f t="shared" si="170"/>
        <v>2024</v>
      </c>
      <c r="B588" s="72" t="str">
        <f t="shared" si="168"/>
        <v>MAIO</v>
      </c>
      <c r="C588" s="73" t="str">
        <f t="shared" si="169"/>
        <v>SEXTA</v>
      </c>
      <c r="D588" s="74">
        <v>45436</v>
      </c>
      <c r="E588" s="89">
        <f t="shared" si="171"/>
        <v>7</v>
      </c>
      <c r="F588" s="90">
        <f t="shared" si="172"/>
        <v>7</v>
      </c>
      <c r="G588" s="91"/>
      <c r="H588" s="75"/>
      <c r="I588" s="89">
        <f t="shared" si="173"/>
        <v>8</v>
      </c>
      <c r="J588" s="90">
        <f t="shared" si="174"/>
        <v>8</v>
      </c>
      <c r="K588" s="91">
        <f t="shared" si="175"/>
        <v>8</v>
      </c>
      <c r="L588" s="76"/>
      <c r="N588" s="79">
        <f t="shared" si="161"/>
        <v>52.36</v>
      </c>
      <c r="O588" s="80">
        <f t="shared" si="162"/>
        <v>42</v>
      </c>
      <c r="P588" s="81">
        <f t="shared" si="163"/>
        <v>0</v>
      </c>
      <c r="Q588" s="79">
        <f t="shared" si="164"/>
        <v>59.84</v>
      </c>
      <c r="R588" s="80">
        <f t="shared" si="165"/>
        <v>48</v>
      </c>
      <c r="S588" s="81">
        <f t="shared" si="166"/>
        <v>68</v>
      </c>
      <c r="T588" s="92">
        <f t="shared" si="167"/>
        <v>270.2</v>
      </c>
      <c r="U588" s="93">
        <f t="shared" si="176"/>
        <v>216.16</v>
      </c>
    </row>
    <row r="589" spans="1:21" x14ac:dyDescent="0.25">
      <c r="A589" s="71">
        <f t="shared" si="170"/>
        <v>2024</v>
      </c>
      <c r="B589" s="72" t="str">
        <f t="shared" si="168"/>
        <v>MAIO</v>
      </c>
      <c r="C589" s="73" t="str">
        <f t="shared" si="169"/>
        <v>SÁBADO</v>
      </c>
      <c r="D589" s="74">
        <v>45437</v>
      </c>
      <c r="E589" s="89">
        <f t="shared" si="171"/>
        <v>0</v>
      </c>
      <c r="F589" s="90">
        <f t="shared" si="172"/>
        <v>7</v>
      </c>
      <c r="G589" s="91"/>
      <c r="H589" s="75"/>
      <c r="I589" s="89">
        <f t="shared" si="173"/>
        <v>0</v>
      </c>
      <c r="J589" s="90">
        <f t="shared" si="174"/>
        <v>8</v>
      </c>
      <c r="K589" s="91">
        <f t="shared" si="175"/>
        <v>0</v>
      </c>
      <c r="L589" s="76"/>
      <c r="N589" s="79">
        <f t="shared" si="161"/>
        <v>0</v>
      </c>
      <c r="O589" s="80">
        <f t="shared" si="162"/>
        <v>42</v>
      </c>
      <c r="P589" s="81">
        <f t="shared" si="163"/>
        <v>0</v>
      </c>
      <c r="Q589" s="79">
        <f t="shared" si="164"/>
        <v>0</v>
      </c>
      <c r="R589" s="80">
        <f t="shared" si="165"/>
        <v>48</v>
      </c>
      <c r="S589" s="81">
        <f t="shared" si="166"/>
        <v>0</v>
      </c>
      <c r="T589" s="92">
        <f t="shared" si="167"/>
        <v>90</v>
      </c>
      <c r="U589" s="93">
        <f t="shared" si="176"/>
        <v>72</v>
      </c>
    </row>
    <row r="590" spans="1:21" x14ac:dyDescent="0.25">
      <c r="A590" s="71">
        <f t="shared" si="170"/>
        <v>2024</v>
      </c>
      <c r="B590" s="72" t="str">
        <f t="shared" si="168"/>
        <v>MAIO</v>
      </c>
      <c r="C590" s="73" t="str">
        <f t="shared" si="169"/>
        <v>DOMINGO</v>
      </c>
      <c r="D590" s="74">
        <v>45438</v>
      </c>
      <c r="E590" s="89">
        <f t="shared" si="171"/>
        <v>0</v>
      </c>
      <c r="F590" s="90">
        <f t="shared" si="172"/>
        <v>0</v>
      </c>
      <c r="G590" s="91"/>
      <c r="H590" s="75"/>
      <c r="I590" s="89">
        <f t="shared" si="173"/>
        <v>0</v>
      </c>
      <c r="J590" s="90">
        <f t="shared" si="174"/>
        <v>0</v>
      </c>
      <c r="K590" s="91">
        <f t="shared" si="175"/>
        <v>0</v>
      </c>
      <c r="L590" s="76"/>
      <c r="N590" s="79">
        <f t="shared" si="161"/>
        <v>0</v>
      </c>
      <c r="O590" s="80">
        <f t="shared" si="162"/>
        <v>0</v>
      </c>
      <c r="P590" s="81">
        <f t="shared" si="163"/>
        <v>0</v>
      </c>
      <c r="Q590" s="79">
        <f t="shared" si="164"/>
        <v>0</v>
      </c>
      <c r="R590" s="80">
        <f t="shared" si="165"/>
        <v>0</v>
      </c>
      <c r="S590" s="81">
        <f t="shared" si="166"/>
        <v>0</v>
      </c>
      <c r="T590" s="92">
        <f t="shared" si="167"/>
        <v>0</v>
      </c>
      <c r="U590" s="93">
        <f t="shared" si="176"/>
        <v>0</v>
      </c>
    </row>
    <row r="591" spans="1:21" x14ac:dyDescent="0.25">
      <c r="A591" s="71">
        <f t="shared" si="170"/>
        <v>2024</v>
      </c>
      <c r="B591" s="72" t="str">
        <f t="shared" si="168"/>
        <v>MAIO</v>
      </c>
      <c r="C591" s="73" t="str">
        <f t="shared" si="169"/>
        <v>SEGUNDA</v>
      </c>
      <c r="D591" s="74">
        <v>45439</v>
      </c>
      <c r="E591" s="89">
        <f t="shared" si="171"/>
        <v>7</v>
      </c>
      <c r="F591" s="90">
        <f t="shared" si="172"/>
        <v>7</v>
      </c>
      <c r="G591" s="91"/>
      <c r="H591" s="75"/>
      <c r="I591" s="89">
        <f t="shared" si="173"/>
        <v>8</v>
      </c>
      <c r="J591" s="90">
        <f t="shared" si="174"/>
        <v>8</v>
      </c>
      <c r="K591" s="91">
        <f t="shared" si="175"/>
        <v>8</v>
      </c>
      <c r="L591" s="76"/>
      <c r="N591" s="79">
        <f t="shared" si="161"/>
        <v>52.36</v>
      </c>
      <c r="O591" s="80">
        <f t="shared" si="162"/>
        <v>42</v>
      </c>
      <c r="P591" s="81">
        <f t="shared" si="163"/>
        <v>0</v>
      </c>
      <c r="Q591" s="79">
        <f t="shared" si="164"/>
        <v>59.84</v>
      </c>
      <c r="R591" s="80">
        <f t="shared" si="165"/>
        <v>48</v>
      </c>
      <c r="S591" s="81">
        <f t="shared" si="166"/>
        <v>68</v>
      </c>
      <c r="T591" s="92">
        <f t="shared" si="167"/>
        <v>270.2</v>
      </c>
      <c r="U591" s="93">
        <f t="shared" si="176"/>
        <v>216.16</v>
      </c>
    </row>
    <row r="592" spans="1:21" x14ac:dyDescent="0.25">
      <c r="A592" s="71">
        <f t="shared" si="170"/>
        <v>2024</v>
      </c>
      <c r="B592" s="72" t="str">
        <f t="shared" si="168"/>
        <v>MAIO</v>
      </c>
      <c r="C592" s="73" t="str">
        <f t="shared" si="169"/>
        <v>TERÇA</v>
      </c>
      <c r="D592" s="74">
        <v>45440</v>
      </c>
      <c r="E592" s="89">
        <f t="shared" si="171"/>
        <v>7</v>
      </c>
      <c r="F592" s="90">
        <f t="shared" si="172"/>
        <v>7</v>
      </c>
      <c r="G592" s="91"/>
      <c r="H592" s="75"/>
      <c r="I592" s="89">
        <f t="shared" si="173"/>
        <v>8</v>
      </c>
      <c r="J592" s="90">
        <f t="shared" si="174"/>
        <v>8</v>
      </c>
      <c r="K592" s="91">
        <f t="shared" si="175"/>
        <v>8</v>
      </c>
      <c r="L592" s="76"/>
      <c r="N592" s="79">
        <f t="shared" si="161"/>
        <v>52.36</v>
      </c>
      <c r="O592" s="80">
        <f t="shared" si="162"/>
        <v>42</v>
      </c>
      <c r="P592" s="81">
        <f t="shared" si="163"/>
        <v>0</v>
      </c>
      <c r="Q592" s="79">
        <f t="shared" si="164"/>
        <v>59.84</v>
      </c>
      <c r="R592" s="80">
        <f t="shared" si="165"/>
        <v>48</v>
      </c>
      <c r="S592" s="81">
        <f t="shared" si="166"/>
        <v>68</v>
      </c>
      <c r="T592" s="92">
        <f t="shared" si="167"/>
        <v>270.2</v>
      </c>
      <c r="U592" s="93">
        <f t="shared" si="176"/>
        <v>216.16</v>
      </c>
    </row>
    <row r="593" spans="1:21" x14ac:dyDescent="0.25">
      <c r="A593" s="71">
        <f t="shared" si="170"/>
        <v>2024</v>
      </c>
      <c r="B593" s="72" t="str">
        <f t="shared" si="168"/>
        <v>MAIO</v>
      </c>
      <c r="C593" s="73" t="str">
        <f t="shared" si="169"/>
        <v>QUARTA</v>
      </c>
      <c r="D593" s="74">
        <v>45441</v>
      </c>
      <c r="E593" s="89">
        <f t="shared" si="171"/>
        <v>7</v>
      </c>
      <c r="F593" s="90">
        <f t="shared" si="172"/>
        <v>7</v>
      </c>
      <c r="G593" s="91"/>
      <c r="H593" s="75"/>
      <c r="I593" s="89">
        <f t="shared" si="173"/>
        <v>8</v>
      </c>
      <c r="J593" s="90">
        <f t="shared" si="174"/>
        <v>8</v>
      </c>
      <c r="K593" s="91">
        <f t="shared" si="175"/>
        <v>8</v>
      </c>
      <c r="L593" s="76"/>
      <c r="N593" s="79">
        <f t="shared" si="161"/>
        <v>52.36</v>
      </c>
      <c r="O593" s="80">
        <f t="shared" si="162"/>
        <v>42</v>
      </c>
      <c r="P593" s="81">
        <f t="shared" si="163"/>
        <v>0</v>
      </c>
      <c r="Q593" s="79">
        <f t="shared" si="164"/>
        <v>59.84</v>
      </c>
      <c r="R593" s="80">
        <f t="shared" si="165"/>
        <v>48</v>
      </c>
      <c r="S593" s="81">
        <f t="shared" si="166"/>
        <v>68</v>
      </c>
      <c r="T593" s="92">
        <f t="shared" si="167"/>
        <v>270.2</v>
      </c>
      <c r="U593" s="93">
        <f t="shared" si="176"/>
        <v>216.16</v>
      </c>
    </row>
    <row r="594" spans="1:21" x14ac:dyDescent="0.25">
      <c r="A594" s="71">
        <f t="shared" si="170"/>
        <v>2024</v>
      </c>
      <c r="B594" s="72" t="str">
        <f t="shared" si="168"/>
        <v>MAIO</v>
      </c>
      <c r="C594" s="73" t="str">
        <f t="shared" si="169"/>
        <v>QUINTA</v>
      </c>
      <c r="D594" s="74">
        <v>45442</v>
      </c>
      <c r="E594" s="89">
        <f t="shared" si="171"/>
        <v>7</v>
      </c>
      <c r="F594" s="90">
        <f t="shared" si="172"/>
        <v>7</v>
      </c>
      <c r="G594" s="91"/>
      <c r="H594" s="75"/>
      <c r="I594" s="89">
        <f t="shared" si="173"/>
        <v>8</v>
      </c>
      <c r="J594" s="90">
        <f t="shared" si="174"/>
        <v>8</v>
      </c>
      <c r="K594" s="91">
        <f t="shared" si="175"/>
        <v>8</v>
      </c>
      <c r="L594" s="76"/>
      <c r="N594" s="79">
        <f t="shared" si="161"/>
        <v>52.36</v>
      </c>
      <c r="O594" s="80">
        <f t="shared" si="162"/>
        <v>42</v>
      </c>
      <c r="P594" s="81">
        <f t="shared" si="163"/>
        <v>0</v>
      </c>
      <c r="Q594" s="79">
        <f t="shared" si="164"/>
        <v>59.84</v>
      </c>
      <c r="R594" s="80">
        <f t="shared" si="165"/>
        <v>48</v>
      </c>
      <c r="S594" s="81">
        <f t="shared" si="166"/>
        <v>68</v>
      </c>
      <c r="T594" s="92">
        <f t="shared" si="167"/>
        <v>270.2</v>
      </c>
      <c r="U594" s="93">
        <f t="shared" si="176"/>
        <v>216.16</v>
      </c>
    </row>
    <row r="595" spans="1:21" x14ac:dyDescent="0.25">
      <c r="A595" s="71">
        <f t="shared" si="170"/>
        <v>2024</v>
      </c>
      <c r="B595" s="72" t="str">
        <f t="shared" si="168"/>
        <v>MAIO</v>
      </c>
      <c r="C595" s="73" t="str">
        <f t="shared" si="169"/>
        <v>SEXTA</v>
      </c>
      <c r="D595" s="74">
        <v>45443</v>
      </c>
      <c r="E595" s="89">
        <f t="shared" si="171"/>
        <v>7</v>
      </c>
      <c r="F595" s="90">
        <f t="shared" si="172"/>
        <v>7</v>
      </c>
      <c r="G595" s="91"/>
      <c r="H595" s="75"/>
      <c r="I595" s="89">
        <f t="shared" si="173"/>
        <v>8</v>
      </c>
      <c r="J595" s="90">
        <f t="shared" si="174"/>
        <v>8</v>
      </c>
      <c r="K595" s="91">
        <f t="shared" si="175"/>
        <v>8</v>
      </c>
      <c r="L595" s="76"/>
      <c r="N595" s="79">
        <f t="shared" si="161"/>
        <v>52.36</v>
      </c>
      <c r="O595" s="80">
        <f t="shared" si="162"/>
        <v>42</v>
      </c>
      <c r="P595" s="81">
        <f t="shared" si="163"/>
        <v>0</v>
      </c>
      <c r="Q595" s="79">
        <f t="shared" si="164"/>
        <v>59.84</v>
      </c>
      <c r="R595" s="80">
        <f t="shared" si="165"/>
        <v>48</v>
      </c>
      <c r="S595" s="81">
        <f t="shared" si="166"/>
        <v>68</v>
      </c>
      <c r="T595" s="92">
        <f t="shared" si="167"/>
        <v>270.2</v>
      </c>
      <c r="U595" s="93">
        <f t="shared" si="176"/>
        <v>216.16</v>
      </c>
    </row>
    <row r="596" spans="1:21" x14ac:dyDescent="0.25">
      <c r="A596" s="71">
        <f t="shared" si="170"/>
        <v>2024</v>
      </c>
      <c r="B596" s="72" t="str">
        <f t="shared" si="168"/>
        <v>JUNHO</v>
      </c>
      <c r="C596" s="73" t="str">
        <f t="shared" si="169"/>
        <v>SÁBADO</v>
      </c>
      <c r="D596" s="74">
        <v>45444</v>
      </c>
      <c r="E596" s="89">
        <f t="shared" si="171"/>
        <v>0</v>
      </c>
      <c r="F596" s="90">
        <f t="shared" si="172"/>
        <v>7</v>
      </c>
      <c r="G596" s="91"/>
      <c r="H596" s="75"/>
      <c r="I596" s="89">
        <f t="shared" si="173"/>
        <v>0</v>
      </c>
      <c r="J596" s="90">
        <f t="shared" si="174"/>
        <v>8</v>
      </c>
      <c r="K596" s="91">
        <f t="shared" si="175"/>
        <v>0</v>
      </c>
      <c r="L596" s="76"/>
      <c r="N596" s="79">
        <f t="shared" si="161"/>
        <v>0</v>
      </c>
      <c r="O596" s="80">
        <f t="shared" si="162"/>
        <v>42</v>
      </c>
      <c r="P596" s="81">
        <f t="shared" si="163"/>
        <v>0</v>
      </c>
      <c r="Q596" s="79">
        <f t="shared" si="164"/>
        <v>0</v>
      </c>
      <c r="R596" s="80">
        <f t="shared" si="165"/>
        <v>48</v>
      </c>
      <c r="S596" s="81">
        <f t="shared" si="166"/>
        <v>0</v>
      </c>
      <c r="T596" s="92">
        <f t="shared" si="167"/>
        <v>90</v>
      </c>
      <c r="U596" s="93">
        <f t="shared" si="176"/>
        <v>72</v>
      </c>
    </row>
    <row r="597" spans="1:21" x14ac:dyDescent="0.25">
      <c r="A597" s="71">
        <f t="shared" si="170"/>
        <v>2024</v>
      </c>
      <c r="B597" s="72" t="str">
        <f t="shared" si="168"/>
        <v>JUNHO</v>
      </c>
      <c r="C597" s="73" t="str">
        <f t="shared" si="169"/>
        <v>DOMINGO</v>
      </c>
      <c r="D597" s="74">
        <v>45445</v>
      </c>
      <c r="E597" s="89">
        <f t="shared" si="171"/>
        <v>0</v>
      </c>
      <c r="F597" s="90">
        <f t="shared" si="172"/>
        <v>0</v>
      </c>
      <c r="G597" s="91"/>
      <c r="H597" s="75"/>
      <c r="I597" s="89">
        <f t="shared" si="173"/>
        <v>0</v>
      </c>
      <c r="J597" s="90">
        <f t="shared" si="174"/>
        <v>0</v>
      </c>
      <c r="K597" s="91">
        <f t="shared" si="175"/>
        <v>0</v>
      </c>
      <c r="L597" s="76"/>
      <c r="N597" s="79">
        <f t="shared" si="161"/>
        <v>0</v>
      </c>
      <c r="O597" s="80">
        <f t="shared" si="162"/>
        <v>0</v>
      </c>
      <c r="P597" s="81">
        <f t="shared" si="163"/>
        <v>0</v>
      </c>
      <c r="Q597" s="79">
        <f t="shared" si="164"/>
        <v>0</v>
      </c>
      <c r="R597" s="80">
        <f t="shared" si="165"/>
        <v>0</v>
      </c>
      <c r="S597" s="81">
        <f t="shared" si="166"/>
        <v>0</v>
      </c>
      <c r="T597" s="92">
        <f t="shared" si="167"/>
        <v>0</v>
      </c>
      <c r="U597" s="93">
        <f t="shared" si="176"/>
        <v>0</v>
      </c>
    </row>
    <row r="598" spans="1:21" x14ac:dyDescent="0.25">
      <c r="A598" s="71">
        <f t="shared" si="170"/>
        <v>2024</v>
      </c>
      <c r="B598" s="72" t="str">
        <f t="shared" si="168"/>
        <v>JUNHO</v>
      </c>
      <c r="C598" s="73" t="str">
        <f t="shared" si="169"/>
        <v>SEGUNDA</v>
      </c>
      <c r="D598" s="74">
        <v>45446</v>
      </c>
      <c r="E598" s="89">
        <f t="shared" si="171"/>
        <v>7</v>
      </c>
      <c r="F598" s="90">
        <f t="shared" si="172"/>
        <v>7</v>
      </c>
      <c r="G598" s="91"/>
      <c r="H598" s="75"/>
      <c r="I598" s="89">
        <f t="shared" si="173"/>
        <v>8</v>
      </c>
      <c r="J598" s="90">
        <f t="shared" si="174"/>
        <v>8</v>
      </c>
      <c r="K598" s="91">
        <f t="shared" si="175"/>
        <v>8</v>
      </c>
      <c r="L598" s="76"/>
      <c r="N598" s="79">
        <f t="shared" si="161"/>
        <v>52.36</v>
      </c>
      <c r="O598" s="80">
        <f t="shared" si="162"/>
        <v>42</v>
      </c>
      <c r="P598" s="81">
        <f t="shared" si="163"/>
        <v>0</v>
      </c>
      <c r="Q598" s="79">
        <f t="shared" si="164"/>
        <v>59.84</v>
      </c>
      <c r="R598" s="80">
        <f t="shared" si="165"/>
        <v>48</v>
      </c>
      <c r="S598" s="81">
        <f t="shared" si="166"/>
        <v>68</v>
      </c>
      <c r="T598" s="92">
        <f t="shared" si="167"/>
        <v>270.2</v>
      </c>
      <c r="U598" s="93">
        <f t="shared" si="176"/>
        <v>216.16</v>
      </c>
    </row>
    <row r="599" spans="1:21" x14ac:dyDescent="0.25">
      <c r="A599" s="71">
        <f t="shared" si="170"/>
        <v>2024</v>
      </c>
      <c r="B599" s="72" t="str">
        <f t="shared" si="168"/>
        <v>JUNHO</v>
      </c>
      <c r="C599" s="73" t="str">
        <f t="shared" si="169"/>
        <v>TERÇA</v>
      </c>
      <c r="D599" s="74">
        <v>45447</v>
      </c>
      <c r="E599" s="89">
        <f t="shared" si="171"/>
        <v>7</v>
      </c>
      <c r="F599" s="90">
        <f t="shared" si="172"/>
        <v>7</v>
      </c>
      <c r="G599" s="91"/>
      <c r="H599" s="75"/>
      <c r="I599" s="89">
        <f t="shared" si="173"/>
        <v>8</v>
      </c>
      <c r="J599" s="90">
        <f t="shared" si="174"/>
        <v>8</v>
      </c>
      <c r="K599" s="91">
        <f t="shared" si="175"/>
        <v>8</v>
      </c>
      <c r="L599" s="76"/>
      <c r="N599" s="79">
        <f t="shared" si="161"/>
        <v>52.36</v>
      </c>
      <c r="O599" s="80">
        <f t="shared" si="162"/>
        <v>42</v>
      </c>
      <c r="P599" s="81">
        <f t="shared" si="163"/>
        <v>0</v>
      </c>
      <c r="Q599" s="79">
        <f t="shared" si="164"/>
        <v>59.84</v>
      </c>
      <c r="R599" s="80">
        <f t="shared" si="165"/>
        <v>48</v>
      </c>
      <c r="S599" s="81">
        <f t="shared" si="166"/>
        <v>68</v>
      </c>
      <c r="T599" s="92">
        <f t="shared" si="167"/>
        <v>270.2</v>
      </c>
      <c r="U599" s="93">
        <f t="shared" si="176"/>
        <v>216.16</v>
      </c>
    </row>
    <row r="600" spans="1:21" x14ac:dyDescent="0.25">
      <c r="A600" s="71">
        <f t="shared" si="170"/>
        <v>2024</v>
      </c>
      <c r="B600" s="72" t="str">
        <f t="shared" si="168"/>
        <v>JUNHO</v>
      </c>
      <c r="C600" s="73" t="str">
        <f t="shared" si="169"/>
        <v>QUARTA</v>
      </c>
      <c r="D600" s="74">
        <v>45448</v>
      </c>
      <c r="E600" s="89">
        <f t="shared" si="171"/>
        <v>7</v>
      </c>
      <c r="F600" s="90">
        <f t="shared" si="172"/>
        <v>7</v>
      </c>
      <c r="G600" s="91"/>
      <c r="H600" s="75"/>
      <c r="I600" s="89">
        <f t="shared" si="173"/>
        <v>8</v>
      </c>
      <c r="J600" s="90">
        <f t="shared" si="174"/>
        <v>8</v>
      </c>
      <c r="K600" s="91">
        <f t="shared" si="175"/>
        <v>8</v>
      </c>
      <c r="L600" s="76"/>
      <c r="N600" s="79">
        <f t="shared" si="161"/>
        <v>52.36</v>
      </c>
      <c r="O600" s="80">
        <f t="shared" si="162"/>
        <v>42</v>
      </c>
      <c r="P600" s="81">
        <f t="shared" si="163"/>
        <v>0</v>
      </c>
      <c r="Q600" s="79">
        <f t="shared" si="164"/>
        <v>59.84</v>
      </c>
      <c r="R600" s="80">
        <f t="shared" si="165"/>
        <v>48</v>
      </c>
      <c r="S600" s="81">
        <f t="shared" si="166"/>
        <v>68</v>
      </c>
      <c r="T600" s="92">
        <f t="shared" si="167"/>
        <v>270.2</v>
      </c>
      <c r="U600" s="93">
        <f t="shared" si="176"/>
        <v>216.16</v>
      </c>
    </row>
    <row r="601" spans="1:21" x14ac:dyDescent="0.25">
      <c r="A601" s="71">
        <f t="shared" si="170"/>
        <v>2024</v>
      </c>
      <c r="B601" s="72" t="str">
        <f t="shared" si="168"/>
        <v>JUNHO</v>
      </c>
      <c r="C601" s="73" t="str">
        <f t="shared" si="169"/>
        <v>QUINTA</v>
      </c>
      <c r="D601" s="74">
        <v>45449</v>
      </c>
      <c r="E601" s="89">
        <f t="shared" si="171"/>
        <v>7</v>
      </c>
      <c r="F601" s="90">
        <f t="shared" si="172"/>
        <v>7</v>
      </c>
      <c r="G601" s="91"/>
      <c r="H601" s="75"/>
      <c r="I601" s="89">
        <f t="shared" si="173"/>
        <v>8</v>
      </c>
      <c r="J601" s="90">
        <f t="shared" si="174"/>
        <v>8</v>
      </c>
      <c r="K601" s="91">
        <f t="shared" si="175"/>
        <v>8</v>
      </c>
      <c r="L601" s="76"/>
      <c r="N601" s="79">
        <f t="shared" si="161"/>
        <v>52.36</v>
      </c>
      <c r="O601" s="80">
        <f t="shared" si="162"/>
        <v>42</v>
      </c>
      <c r="P601" s="81">
        <f t="shared" si="163"/>
        <v>0</v>
      </c>
      <c r="Q601" s="79">
        <f t="shared" si="164"/>
        <v>59.84</v>
      </c>
      <c r="R601" s="80">
        <f t="shared" si="165"/>
        <v>48</v>
      </c>
      <c r="S601" s="81">
        <f t="shared" si="166"/>
        <v>68</v>
      </c>
      <c r="T601" s="92">
        <f t="shared" si="167"/>
        <v>270.2</v>
      </c>
      <c r="U601" s="93">
        <f t="shared" si="176"/>
        <v>216.16</v>
      </c>
    </row>
    <row r="602" spans="1:21" x14ac:dyDescent="0.25">
      <c r="A602" s="71">
        <f t="shared" si="170"/>
        <v>2024</v>
      </c>
      <c r="B602" s="72" t="str">
        <f t="shared" si="168"/>
        <v>JUNHO</v>
      </c>
      <c r="C602" s="73" t="str">
        <f t="shared" si="169"/>
        <v>SEXTA</v>
      </c>
      <c r="D602" s="74">
        <v>45450</v>
      </c>
      <c r="E602" s="89">
        <f t="shared" si="171"/>
        <v>7</v>
      </c>
      <c r="F602" s="90">
        <f t="shared" si="172"/>
        <v>7</v>
      </c>
      <c r="G602" s="91"/>
      <c r="H602" s="75"/>
      <c r="I602" s="89">
        <f t="shared" si="173"/>
        <v>8</v>
      </c>
      <c r="J602" s="90">
        <f t="shared" si="174"/>
        <v>8</v>
      </c>
      <c r="K602" s="91">
        <f t="shared" si="175"/>
        <v>8</v>
      </c>
      <c r="L602" s="76"/>
      <c r="N602" s="79">
        <f t="shared" si="161"/>
        <v>52.36</v>
      </c>
      <c r="O602" s="80">
        <f t="shared" si="162"/>
        <v>42</v>
      </c>
      <c r="P602" s="81">
        <f t="shared" si="163"/>
        <v>0</v>
      </c>
      <c r="Q602" s="79">
        <f t="shared" si="164"/>
        <v>59.84</v>
      </c>
      <c r="R602" s="80">
        <f t="shared" si="165"/>
        <v>48</v>
      </c>
      <c r="S602" s="81">
        <f t="shared" si="166"/>
        <v>68</v>
      </c>
      <c r="T602" s="92">
        <f t="shared" si="167"/>
        <v>270.2</v>
      </c>
      <c r="U602" s="93">
        <f t="shared" si="176"/>
        <v>216.16</v>
      </c>
    </row>
    <row r="603" spans="1:21" x14ac:dyDescent="0.25">
      <c r="A603" s="71">
        <f t="shared" si="170"/>
        <v>2024</v>
      </c>
      <c r="B603" s="72" t="str">
        <f t="shared" si="168"/>
        <v>JUNHO</v>
      </c>
      <c r="C603" s="73" t="str">
        <f t="shared" si="169"/>
        <v>SÁBADO</v>
      </c>
      <c r="D603" s="74">
        <v>45451</v>
      </c>
      <c r="E603" s="89">
        <f t="shared" si="171"/>
        <v>0</v>
      </c>
      <c r="F603" s="90">
        <f t="shared" si="172"/>
        <v>7</v>
      </c>
      <c r="G603" s="91"/>
      <c r="H603" s="75"/>
      <c r="I603" s="89">
        <f t="shared" si="173"/>
        <v>0</v>
      </c>
      <c r="J603" s="90">
        <f t="shared" si="174"/>
        <v>8</v>
      </c>
      <c r="K603" s="91">
        <f t="shared" si="175"/>
        <v>0</v>
      </c>
      <c r="L603" s="76"/>
      <c r="N603" s="79">
        <f t="shared" si="161"/>
        <v>0</v>
      </c>
      <c r="O603" s="80">
        <f t="shared" si="162"/>
        <v>42</v>
      </c>
      <c r="P603" s="81">
        <f t="shared" si="163"/>
        <v>0</v>
      </c>
      <c r="Q603" s="79">
        <f t="shared" si="164"/>
        <v>0</v>
      </c>
      <c r="R603" s="80">
        <f t="shared" si="165"/>
        <v>48</v>
      </c>
      <c r="S603" s="81">
        <f t="shared" si="166"/>
        <v>0</v>
      </c>
      <c r="T603" s="92">
        <f t="shared" si="167"/>
        <v>90</v>
      </c>
      <c r="U603" s="93">
        <f t="shared" si="176"/>
        <v>72</v>
      </c>
    </row>
    <row r="604" spans="1:21" x14ac:dyDescent="0.25">
      <c r="A604" s="71">
        <f t="shared" si="170"/>
        <v>2024</v>
      </c>
      <c r="B604" s="72" t="str">
        <f t="shared" si="168"/>
        <v>JUNHO</v>
      </c>
      <c r="C604" s="73" t="str">
        <f t="shared" si="169"/>
        <v>DOMINGO</v>
      </c>
      <c r="D604" s="74">
        <v>45452</v>
      </c>
      <c r="E604" s="89">
        <f t="shared" si="171"/>
        <v>0</v>
      </c>
      <c r="F604" s="90">
        <f t="shared" si="172"/>
        <v>0</v>
      </c>
      <c r="G604" s="91"/>
      <c r="H604" s="75"/>
      <c r="I604" s="89">
        <f t="shared" si="173"/>
        <v>0</v>
      </c>
      <c r="J604" s="90">
        <f t="shared" si="174"/>
        <v>0</v>
      </c>
      <c r="K604" s="91">
        <f t="shared" si="175"/>
        <v>0</v>
      </c>
      <c r="L604" s="76"/>
      <c r="N604" s="79">
        <f t="shared" ref="N604:N667" si="177">E604*7.48</f>
        <v>0</v>
      </c>
      <c r="O604" s="80">
        <f t="shared" ref="O604:O667" si="178">F604*6</f>
        <v>0</v>
      </c>
      <c r="P604" s="81">
        <f t="shared" ref="P604:P667" si="179">G604*8.5</f>
        <v>0</v>
      </c>
      <c r="Q604" s="79">
        <f t="shared" ref="Q604:Q667" si="180">I604*7.48</f>
        <v>0</v>
      </c>
      <c r="R604" s="80">
        <f t="shared" ref="R604:R667" si="181">J604*6</f>
        <v>0</v>
      </c>
      <c r="S604" s="81">
        <f t="shared" ref="S604:S667" si="182">K604*8.5</f>
        <v>0</v>
      </c>
      <c r="T604" s="92">
        <f t="shared" ref="T604:T667" si="183">SUM(N604:S604)</f>
        <v>0</v>
      </c>
      <c r="U604" s="93">
        <f t="shared" si="176"/>
        <v>0</v>
      </c>
    </row>
    <row r="605" spans="1:21" x14ac:dyDescent="0.25">
      <c r="A605" s="71">
        <f t="shared" si="170"/>
        <v>2024</v>
      </c>
      <c r="B605" s="72" t="str">
        <f t="shared" si="168"/>
        <v>JUNHO</v>
      </c>
      <c r="C605" s="73" t="str">
        <f t="shared" si="169"/>
        <v>SEGUNDA</v>
      </c>
      <c r="D605" s="74">
        <v>45453</v>
      </c>
      <c r="E605" s="89">
        <f t="shared" si="171"/>
        <v>7</v>
      </c>
      <c r="F605" s="90">
        <f t="shared" si="172"/>
        <v>7</v>
      </c>
      <c r="G605" s="91"/>
      <c r="H605" s="75"/>
      <c r="I605" s="89">
        <f t="shared" si="173"/>
        <v>8</v>
      </c>
      <c r="J605" s="90">
        <f t="shared" si="174"/>
        <v>8</v>
      </c>
      <c r="K605" s="91">
        <f t="shared" si="175"/>
        <v>8</v>
      </c>
      <c r="L605" s="76"/>
      <c r="N605" s="79">
        <f t="shared" si="177"/>
        <v>52.36</v>
      </c>
      <c r="O605" s="80">
        <f t="shared" si="178"/>
        <v>42</v>
      </c>
      <c r="P605" s="81">
        <f t="shared" si="179"/>
        <v>0</v>
      </c>
      <c r="Q605" s="79">
        <f t="shared" si="180"/>
        <v>59.84</v>
      </c>
      <c r="R605" s="80">
        <f t="shared" si="181"/>
        <v>48</v>
      </c>
      <c r="S605" s="81">
        <f t="shared" si="182"/>
        <v>68</v>
      </c>
      <c r="T605" s="92">
        <f t="shared" si="183"/>
        <v>270.2</v>
      </c>
      <c r="U605" s="93">
        <f t="shared" si="176"/>
        <v>216.16</v>
      </c>
    </row>
    <row r="606" spans="1:21" x14ac:dyDescent="0.25">
      <c r="A606" s="71">
        <f t="shared" si="170"/>
        <v>2024</v>
      </c>
      <c r="B606" s="72" t="str">
        <f t="shared" si="168"/>
        <v>JUNHO</v>
      </c>
      <c r="C606" s="73" t="str">
        <f t="shared" si="169"/>
        <v>TERÇA</v>
      </c>
      <c r="D606" s="74">
        <v>45454</v>
      </c>
      <c r="E606" s="89">
        <f t="shared" si="171"/>
        <v>7</v>
      </c>
      <c r="F606" s="90">
        <f t="shared" si="172"/>
        <v>7</v>
      </c>
      <c r="G606" s="91"/>
      <c r="H606" s="75"/>
      <c r="I606" s="89">
        <f t="shared" si="173"/>
        <v>8</v>
      </c>
      <c r="J606" s="90">
        <f t="shared" si="174"/>
        <v>8</v>
      </c>
      <c r="K606" s="91">
        <f t="shared" si="175"/>
        <v>8</v>
      </c>
      <c r="L606" s="76"/>
      <c r="N606" s="79">
        <f t="shared" si="177"/>
        <v>52.36</v>
      </c>
      <c r="O606" s="80">
        <f t="shared" si="178"/>
        <v>42</v>
      </c>
      <c r="P606" s="81">
        <f t="shared" si="179"/>
        <v>0</v>
      </c>
      <c r="Q606" s="79">
        <f t="shared" si="180"/>
        <v>59.84</v>
      </c>
      <c r="R606" s="80">
        <f t="shared" si="181"/>
        <v>48</v>
      </c>
      <c r="S606" s="81">
        <f t="shared" si="182"/>
        <v>68</v>
      </c>
      <c r="T606" s="92">
        <f t="shared" si="183"/>
        <v>270.2</v>
      </c>
      <c r="U606" s="93">
        <f t="shared" si="176"/>
        <v>216.16</v>
      </c>
    </row>
    <row r="607" spans="1:21" x14ac:dyDescent="0.25">
      <c r="A607" s="71">
        <f t="shared" si="170"/>
        <v>2024</v>
      </c>
      <c r="B607" s="72" t="str">
        <f t="shared" si="168"/>
        <v>JUNHO</v>
      </c>
      <c r="C607" s="73" t="str">
        <f t="shared" si="169"/>
        <v>QUARTA</v>
      </c>
      <c r="D607" s="74">
        <v>45455</v>
      </c>
      <c r="E607" s="89">
        <f t="shared" si="171"/>
        <v>7</v>
      </c>
      <c r="F607" s="90">
        <f t="shared" si="172"/>
        <v>7</v>
      </c>
      <c r="G607" s="91"/>
      <c r="H607" s="75"/>
      <c r="I607" s="89">
        <f t="shared" si="173"/>
        <v>8</v>
      </c>
      <c r="J607" s="90">
        <f t="shared" si="174"/>
        <v>8</v>
      </c>
      <c r="K607" s="91">
        <f t="shared" si="175"/>
        <v>8</v>
      </c>
      <c r="L607" s="76"/>
      <c r="N607" s="79">
        <f t="shared" si="177"/>
        <v>52.36</v>
      </c>
      <c r="O607" s="80">
        <f t="shared" si="178"/>
        <v>42</v>
      </c>
      <c r="P607" s="81">
        <f t="shared" si="179"/>
        <v>0</v>
      </c>
      <c r="Q607" s="79">
        <f t="shared" si="180"/>
        <v>59.84</v>
      </c>
      <c r="R607" s="80">
        <f t="shared" si="181"/>
        <v>48</v>
      </c>
      <c r="S607" s="81">
        <f t="shared" si="182"/>
        <v>68</v>
      </c>
      <c r="T607" s="92">
        <f t="shared" si="183"/>
        <v>270.2</v>
      </c>
      <c r="U607" s="93">
        <f t="shared" si="176"/>
        <v>216.16</v>
      </c>
    </row>
    <row r="608" spans="1:21" x14ac:dyDescent="0.25">
      <c r="A608" s="71">
        <f t="shared" si="170"/>
        <v>2024</v>
      </c>
      <c r="B608" s="72" t="str">
        <f t="shared" si="168"/>
        <v>JUNHO</v>
      </c>
      <c r="C608" s="73" t="str">
        <f t="shared" si="169"/>
        <v>QUINTA</v>
      </c>
      <c r="D608" s="74">
        <v>45456</v>
      </c>
      <c r="E608" s="89">
        <f t="shared" si="171"/>
        <v>7</v>
      </c>
      <c r="F608" s="90">
        <f t="shared" si="172"/>
        <v>7</v>
      </c>
      <c r="G608" s="91"/>
      <c r="H608" s="75"/>
      <c r="I608" s="89">
        <f t="shared" si="173"/>
        <v>8</v>
      </c>
      <c r="J608" s="90">
        <f t="shared" si="174"/>
        <v>8</v>
      </c>
      <c r="K608" s="91">
        <f t="shared" si="175"/>
        <v>8</v>
      </c>
      <c r="L608" s="76"/>
      <c r="N608" s="79">
        <f t="shared" si="177"/>
        <v>52.36</v>
      </c>
      <c r="O608" s="80">
        <f t="shared" si="178"/>
        <v>42</v>
      </c>
      <c r="P608" s="81">
        <f t="shared" si="179"/>
        <v>0</v>
      </c>
      <c r="Q608" s="79">
        <f t="shared" si="180"/>
        <v>59.84</v>
      </c>
      <c r="R608" s="80">
        <f t="shared" si="181"/>
        <v>48</v>
      </c>
      <c r="S608" s="81">
        <f t="shared" si="182"/>
        <v>68</v>
      </c>
      <c r="T608" s="92">
        <f t="shared" si="183"/>
        <v>270.2</v>
      </c>
      <c r="U608" s="93">
        <f t="shared" si="176"/>
        <v>216.16</v>
      </c>
    </row>
    <row r="609" spans="1:21" x14ac:dyDescent="0.25">
      <c r="A609" s="71">
        <f t="shared" si="170"/>
        <v>2024</v>
      </c>
      <c r="B609" s="72" t="str">
        <f t="shared" si="168"/>
        <v>JUNHO</v>
      </c>
      <c r="C609" s="73" t="str">
        <f t="shared" si="169"/>
        <v>SEXTA</v>
      </c>
      <c r="D609" s="74">
        <v>45457</v>
      </c>
      <c r="E609" s="89">
        <f t="shared" si="171"/>
        <v>7</v>
      </c>
      <c r="F609" s="90">
        <f t="shared" si="172"/>
        <v>7</v>
      </c>
      <c r="G609" s="91"/>
      <c r="H609" s="75"/>
      <c r="I609" s="89">
        <f t="shared" si="173"/>
        <v>8</v>
      </c>
      <c r="J609" s="90">
        <f t="shared" si="174"/>
        <v>8</v>
      </c>
      <c r="K609" s="91">
        <f t="shared" si="175"/>
        <v>8</v>
      </c>
      <c r="L609" s="76"/>
      <c r="N609" s="79">
        <f t="shared" si="177"/>
        <v>52.36</v>
      </c>
      <c r="O609" s="80">
        <f t="shared" si="178"/>
        <v>42</v>
      </c>
      <c r="P609" s="81">
        <f t="shared" si="179"/>
        <v>0</v>
      </c>
      <c r="Q609" s="79">
        <f t="shared" si="180"/>
        <v>59.84</v>
      </c>
      <c r="R609" s="80">
        <f t="shared" si="181"/>
        <v>48</v>
      </c>
      <c r="S609" s="81">
        <f t="shared" si="182"/>
        <v>68</v>
      </c>
      <c r="T609" s="92">
        <f t="shared" si="183"/>
        <v>270.2</v>
      </c>
      <c r="U609" s="93">
        <f t="shared" si="176"/>
        <v>216.16</v>
      </c>
    </row>
    <row r="610" spans="1:21" x14ac:dyDescent="0.25">
      <c r="A610" s="71">
        <f t="shared" si="170"/>
        <v>2024</v>
      </c>
      <c r="B610" s="72" t="str">
        <f t="shared" si="168"/>
        <v>JUNHO</v>
      </c>
      <c r="C610" s="73" t="str">
        <f t="shared" si="169"/>
        <v>SÁBADO</v>
      </c>
      <c r="D610" s="74">
        <v>45458</v>
      </c>
      <c r="E610" s="89">
        <f t="shared" si="171"/>
        <v>0</v>
      </c>
      <c r="F610" s="90">
        <f t="shared" si="172"/>
        <v>7</v>
      </c>
      <c r="G610" s="91"/>
      <c r="H610" s="75"/>
      <c r="I610" s="89">
        <f t="shared" si="173"/>
        <v>0</v>
      </c>
      <c r="J610" s="90">
        <f t="shared" si="174"/>
        <v>8</v>
      </c>
      <c r="K610" s="91">
        <f t="shared" si="175"/>
        <v>0</v>
      </c>
      <c r="L610" s="76"/>
      <c r="N610" s="79">
        <f t="shared" si="177"/>
        <v>0</v>
      </c>
      <c r="O610" s="80">
        <f t="shared" si="178"/>
        <v>42</v>
      </c>
      <c r="P610" s="81">
        <f t="shared" si="179"/>
        <v>0</v>
      </c>
      <c r="Q610" s="79">
        <f t="shared" si="180"/>
        <v>0</v>
      </c>
      <c r="R610" s="80">
        <f t="shared" si="181"/>
        <v>48</v>
      </c>
      <c r="S610" s="81">
        <f t="shared" si="182"/>
        <v>0</v>
      </c>
      <c r="T610" s="92">
        <f t="shared" si="183"/>
        <v>90</v>
      </c>
      <c r="U610" s="93">
        <f t="shared" si="176"/>
        <v>72</v>
      </c>
    </row>
    <row r="611" spans="1:21" x14ac:dyDescent="0.25">
      <c r="A611" s="71">
        <f t="shared" si="170"/>
        <v>2024</v>
      </c>
      <c r="B611" s="72" t="str">
        <f t="shared" si="168"/>
        <v>JUNHO</v>
      </c>
      <c r="C611" s="73" t="str">
        <f t="shared" si="169"/>
        <v>DOMINGO</v>
      </c>
      <c r="D611" s="74">
        <v>45459</v>
      </c>
      <c r="E611" s="89">
        <f t="shared" si="171"/>
        <v>0</v>
      </c>
      <c r="F611" s="90">
        <f t="shared" si="172"/>
        <v>0</v>
      </c>
      <c r="G611" s="91"/>
      <c r="H611" s="75"/>
      <c r="I611" s="89">
        <f t="shared" si="173"/>
        <v>0</v>
      </c>
      <c r="J611" s="90">
        <f t="shared" si="174"/>
        <v>0</v>
      </c>
      <c r="K611" s="91">
        <f t="shared" si="175"/>
        <v>0</v>
      </c>
      <c r="L611" s="76"/>
      <c r="N611" s="79">
        <f t="shared" si="177"/>
        <v>0</v>
      </c>
      <c r="O611" s="80">
        <f t="shared" si="178"/>
        <v>0</v>
      </c>
      <c r="P611" s="81">
        <f t="shared" si="179"/>
        <v>0</v>
      </c>
      <c r="Q611" s="79">
        <f t="shared" si="180"/>
        <v>0</v>
      </c>
      <c r="R611" s="80">
        <f t="shared" si="181"/>
        <v>0</v>
      </c>
      <c r="S611" s="81">
        <f t="shared" si="182"/>
        <v>0</v>
      </c>
      <c r="T611" s="92">
        <f t="shared" si="183"/>
        <v>0</v>
      </c>
      <c r="U611" s="93">
        <f t="shared" si="176"/>
        <v>0</v>
      </c>
    </row>
    <row r="612" spans="1:21" x14ac:dyDescent="0.25">
      <c r="A612" s="71">
        <f t="shared" si="170"/>
        <v>2024</v>
      </c>
      <c r="B612" s="72" t="str">
        <f t="shared" si="168"/>
        <v>JUNHO</v>
      </c>
      <c r="C612" s="73" t="str">
        <f t="shared" si="169"/>
        <v>SEGUNDA</v>
      </c>
      <c r="D612" s="74">
        <v>45460</v>
      </c>
      <c r="E612" s="89">
        <f t="shared" si="171"/>
        <v>7</v>
      </c>
      <c r="F612" s="90">
        <f t="shared" si="172"/>
        <v>7</v>
      </c>
      <c r="G612" s="91"/>
      <c r="H612" s="75"/>
      <c r="I612" s="89">
        <f t="shared" si="173"/>
        <v>8</v>
      </c>
      <c r="J612" s="90">
        <f t="shared" si="174"/>
        <v>8</v>
      </c>
      <c r="K612" s="91">
        <f t="shared" si="175"/>
        <v>8</v>
      </c>
      <c r="L612" s="76"/>
      <c r="N612" s="79">
        <f t="shared" si="177"/>
        <v>52.36</v>
      </c>
      <c r="O612" s="80">
        <f t="shared" si="178"/>
        <v>42</v>
      </c>
      <c r="P612" s="81">
        <f t="shared" si="179"/>
        <v>0</v>
      </c>
      <c r="Q612" s="79">
        <f t="shared" si="180"/>
        <v>59.84</v>
      </c>
      <c r="R612" s="80">
        <f t="shared" si="181"/>
        <v>48</v>
      </c>
      <c r="S612" s="81">
        <f t="shared" si="182"/>
        <v>68</v>
      </c>
      <c r="T612" s="92">
        <f t="shared" si="183"/>
        <v>270.2</v>
      </c>
      <c r="U612" s="93">
        <f t="shared" si="176"/>
        <v>216.16</v>
      </c>
    </row>
    <row r="613" spans="1:21" x14ac:dyDescent="0.25">
      <c r="A613" s="71">
        <f t="shared" si="170"/>
        <v>2024</v>
      </c>
      <c r="B613" s="72" t="str">
        <f t="shared" si="168"/>
        <v>JUNHO</v>
      </c>
      <c r="C613" s="73" t="str">
        <f t="shared" si="169"/>
        <v>TERÇA</v>
      </c>
      <c r="D613" s="74">
        <v>45461</v>
      </c>
      <c r="E613" s="89">
        <f t="shared" si="171"/>
        <v>7</v>
      </c>
      <c r="F613" s="90">
        <f t="shared" si="172"/>
        <v>7</v>
      </c>
      <c r="G613" s="91"/>
      <c r="H613" s="75"/>
      <c r="I613" s="89">
        <f t="shared" si="173"/>
        <v>8</v>
      </c>
      <c r="J613" s="90">
        <f t="shared" si="174"/>
        <v>8</v>
      </c>
      <c r="K613" s="91">
        <f t="shared" si="175"/>
        <v>8</v>
      </c>
      <c r="L613" s="76"/>
      <c r="N613" s="79">
        <f t="shared" si="177"/>
        <v>52.36</v>
      </c>
      <c r="O613" s="80">
        <f t="shared" si="178"/>
        <v>42</v>
      </c>
      <c r="P613" s="81">
        <f t="shared" si="179"/>
        <v>0</v>
      </c>
      <c r="Q613" s="79">
        <f t="shared" si="180"/>
        <v>59.84</v>
      </c>
      <c r="R613" s="80">
        <f t="shared" si="181"/>
        <v>48</v>
      </c>
      <c r="S613" s="81">
        <f t="shared" si="182"/>
        <v>68</v>
      </c>
      <c r="T613" s="92">
        <f t="shared" si="183"/>
        <v>270.2</v>
      </c>
      <c r="U613" s="93">
        <f t="shared" si="176"/>
        <v>216.16</v>
      </c>
    </row>
    <row r="614" spans="1:21" x14ac:dyDescent="0.25">
      <c r="A614" s="71">
        <f t="shared" si="170"/>
        <v>2024</v>
      </c>
      <c r="B614" s="72" t="str">
        <f t="shared" si="168"/>
        <v>JUNHO</v>
      </c>
      <c r="C614" s="73" t="str">
        <f t="shared" si="169"/>
        <v>QUARTA</v>
      </c>
      <c r="D614" s="74">
        <v>45462</v>
      </c>
      <c r="E614" s="89">
        <f t="shared" si="171"/>
        <v>7</v>
      </c>
      <c r="F614" s="90">
        <f t="shared" si="172"/>
        <v>7</v>
      </c>
      <c r="G614" s="91"/>
      <c r="H614" s="75"/>
      <c r="I614" s="89">
        <f t="shared" si="173"/>
        <v>8</v>
      </c>
      <c r="J614" s="90">
        <f t="shared" si="174"/>
        <v>8</v>
      </c>
      <c r="K614" s="91">
        <f t="shared" si="175"/>
        <v>8</v>
      </c>
      <c r="L614" s="76"/>
      <c r="N614" s="79">
        <f t="shared" si="177"/>
        <v>52.36</v>
      </c>
      <c r="O614" s="80">
        <f t="shared" si="178"/>
        <v>42</v>
      </c>
      <c r="P614" s="81">
        <f t="shared" si="179"/>
        <v>0</v>
      </c>
      <c r="Q614" s="79">
        <f t="shared" si="180"/>
        <v>59.84</v>
      </c>
      <c r="R614" s="80">
        <f t="shared" si="181"/>
        <v>48</v>
      </c>
      <c r="S614" s="81">
        <f t="shared" si="182"/>
        <v>68</v>
      </c>
      <c r="T614" s="92">
        <f t="shared" si="183"/>
        <v>270.2</v>
      </c>
      <c r="U614" s="93">
        <f t="shared" si="176"/>
        <v>216.16</v>
      </c>
    </row>
    <row r="615" spans="1:21" x14ac:dyDescent="0.25">
      <c r="A615" s="71">
        <f t="shared" si="170"/>
        <v>2024</v>
      </c>
      <c r="B615" s="72" t="str">
        <f t="shared" si="168"/>
        <v>JUNHO</v>
      </c>
      <c r="C615" s="73" t="str">
        <f t="shared" si="169"/>
        <v>QUINTA</v>
      </c>
      <c r="D615" s="74">
        <v>45463</v>
      </c>
      <c r="E615" s="89">
        <f t="shared" si="171"/>
        <v>7</v>
      </c>
      <c r="F615" s="90">
        <f t="shared" si="172"/>
        <v>7</v>
      </c>
      <c r="G615" s="91"/>
      <c r="H615" s="75"/>
      <c r="I615" s="89">
        <f t="shared" si="173"/>
        <v>8</v>
      </c>
      <c r="J615" s="90">
        <f t="shared" si="174"/>
        <v>8</v>
      </c>
      <c r="K615" s="91">
        <f t="shared" si="175"/>
        <v>8</v>
      </c>
      <c r="L615" s="76"/>
      <c r="N615" s="79">
        <f t="shared" si="177"/>
        <v>52.36</v>
      </c>
      <c r="O615" s="80">
        <f t="shared" si="178"/>
        <v>42</v>
      </c>
      <c r="P615" s="81">
        <f t="shared" si="179"/>
        <v>0</v>
      </c>
      <c r="Q615" s="79">
        <f t="shared" si="180"/>
        <v>59.84</v>
      </c>
      <c r="R615" s="80">
        <f t="shared" si="181"/>
        <v>48</v>
      </c>
      <c r="S615" s="81">
        <f t="shared" si="182"/>
        <v>68</v>
      </c>
      <c r="T615" s="92">
        <f t="shared" si="183"/>
        <v>270.2</v>
      </c>
      <c r="U615" s="93">
        <f t="shared" si="176"/>
        <v>216.16</v>
      </c>
    </row>
    <row r="616" spans="1:21" x14ac:dyDescent="0.25">
      <c r="A616" s="71">
        <f t="shared" si="170"/>
        <v>2024</v>
      </c>
      <c r="B616" s="72" t="str">
        <f t="shared" si="168"/>
        <v>JUNHO</v>
      </c>
      <c r="C616" s="73" t="str">
        <f t="shared" si="169"/>
        <v>SEXTA</v>
      </c>
      <c r="D616" s="74">
        <v>45464</v>
      </c>
      <c r="E616" s="89">
        <f t="shared" si="171"/>
        <v>7</v>
      </c>
      <c r="F616" s="90">
        <f t="shared" si="172"/>
        <v>7</v>
      </c>
      <c r="G616" s="91"/>
      <c r="H616" s="75"/>
      <c r="I616" s="89">
        <f t="shared" si="173"/>
        <v>8</v>
      </c>
      <c r="J616" s="90">
        <f t="shared" si="174"/>
        <v>8</v>
      </c>
      <c r="K616" s="91">
        <f t="shared" si="175"/>
        <v>8</v>
      </c>
      <c r="L616" s="76"/>
      <c r="N616" s="79">
        <f t="shared" si="177"/>
        <v>52.36</v>
      </c>
      <c r="O616" s="80">
        <f t="shared" si="178"/>
        <v>42</v>
      </c>
      <c r="P616" s="81">
        <f t="shared" si="179"/>
        <v>0</v>
      </c>
      <c r="Q616" s="79">
        <f t="shared" si="180"/>
        <v>59.84</v>
      </c>
      <c r="R616" s="80">
        <f t="shared" si="181"/>
        <v>48</v>
      </c>
      <c r="S616" s="81">
        <f t="shared" si="182"/>
        <v>68</v>
      </c>
      <c r="T616" s="92">
        <f t="shared" si="183"/>
        <v>270.2</v>
      </c>
      <c r="U616" s="93">
        <f t="shared" si="176"/>
        <v>216.16</v>
      </c>
    </row>
    <row r="617" spans="1:21" x14ac:dyDescent="0.25">
      <c r="A617" s="71">
        <f t="shared" si="170"/>
        <v>2024</v>
      </c>
      <c r="B617" s="72" t="str">
        <f t="shared" si="168"/>
        <v>JUNHO</v>
      </c>
      <c r="C617" s="73" t="str">
        <f t="shared" si="169"/>
        <v>SÁBADO</v>
      </c>
      <c r="D617" s="74">
        <v>45465</v>
      </c>
      <c r="E617" s="89">
        <f t="shared" si="171"/>
        <v>0</v>
      </c>
      <c r="F617" s="90">
        <f t="shared" si="172"/>
        <v>7</v>
      </c>
      <c r="G617" s="91"/>
      <c r="H617" s="75"/>
      <c r="I617" s="89">
        <f t="shared" si="173"/>
        <v>0</v>
      </c>
      <c r="J617" s="90">
        <f t="shared" si="174"/>
        <v>8</v>
      </c>
      <c r="K617" s="91">
        <f t="shared" si="175"/>
        <v>0</v>
      </c>
      <c r="L617" s="76"/>
      <c r="N617" s="79">
        <f t="shared" si="177"/>
        <v>0</v>
      </c>
      <c r="O617" s="80">
        <f t="shared" si="178"/>
        <v>42</v>
      </c>
      <c r="P617" s="81">
        <f t="shared" si="179"/>
        <v>0</v>
      </c>
      <c r="Q617" s="79">
        <f t="shared" si="180"/>
        <v>0</v>
      </c>
      <c r="R617" s="80">
        <f t="shared" si="181"/>
        <v>48</v>
      </c>
      <c r="S617" s="81">
        <f t="shared" si="182"/>
        <v>0</v>
      </c>
      <c r="T617" s="92">
        <f t="shared" si="183"/>
        <v>90</v>
      </c>
      <c r="U617" s="93">
        <f t="shared" si="176"/>
        <v>72</v>
      </c>
    </row>
    <row r="618" spans="1:21" x14ac:dyDescent="0.25">
      <c r="A618" s="71">
        <f t="shared" si="170"/>
        <v>2024</v>
      </c>
      <c r="B618" s="72" t="str">
        <f t="shared" si="168"/>
        <v>JUNHO</v>
      </c>
      <c r="C618" s="73" t="str">
        <f t="shared" si="169"/>
        <v>DOMINGO</v>
      </c>
      <c r="D618" s="74">
        <v>45466</v>
      </c>
      <c r="E618" s="89">
        <f t="shared" si="171"/>
        <v>0</v>
      </c>
      <c r="F618" s="90">
        <f t="shared" si="172"/>
        <v>0</v>
      </c>
      <c r="G618" s="91"/>
      <c r="H618" s="75"/>
      <c r="I618" s="89">
        <f t="shared" si="173"/>
        <v>0</v>
      </c>
      <c r="J618" s="90">
        <f t="shared" si="174"/>
        <v>0</v>
      </c>
      <c r="K618" s="91">
        <f t="shared" si="175"/>
        <v>0</v>
      </c>
      <c r="L618" s="76"/>
      <c r="N618" s="79">
        <f t="shared" si="177"/>
        <v>0</v>
      </c>
      <c r="O618" s="80">
        <f t="shared" si="178"/>
        <v>0</v>
      </c>
      <c r="P618" s="81">
        <f t="shared" si="179"/>
        <v>0</v>
      </c>
      <c r="Q618" s="79">
        <f t="shared" si="180"/>
        <v>0</v>
      </c>
      <c r="R618" s="80">
        <f t="shared" si="181"/>
        <v>0</v>
      </c>
      <c r="S618" s="81">
        <f t="shared" si="182"/>
        <v>0</v>
      </c>
      <c r="T618" s="92">
        <f t="shared" si="183"/>
        <v>0</v>
      </c>
      <c r="U618" s="93">
        <f t="shared" si="176"/>
        <v>0</v>
      </c>
    </row>
    <row r="619" spans="1:21" x14ac:dyDescent="0.25">
      <c r="A619" s="71">
        <f t="shared" si="170"/>
        <v>2024</v>
      </c>
      <c r="B619" s="72" t="str">
        <f t="shared" si="168"/>
        <v>JUNHO</v>
      </c>
      <c r="C619" s="73" t="str">
        <f t="shared" si="169"/>
        <v>SEGUNDA</v>
      </c>
      <c r="D619" s="74">
        <v>45467</v>
      </c>
      <c r="E619" s="89">
        <f t="shared" si="171"/>
        <v>7</v>
      </c>
      <c r="F619" s="90">
        <f t="shared" si="172"/>
        <v>7</v>
      </c>
      <c r="G619" s="91"/>
      <c r="H619" s="75"/>
      <c r="I619" s="89">
        <f t="shared" si="173"/>
        <v>8</v>
      </c>
      <c r="J619" s="90">
        <f t="shared" si="174"/>
        <v>8</v>
      </c>
      <c r="K619" s="91">
        <f t="shared" si="175"/>
        <v>8</v>
      </c>
      <c r="L619" s="76"/>
      <c r="N619" s="79">
        <f t="shared" si="177"/>
        <v>52.36</v>
      </c>
      <c r="O619" s="80">
        <f t="shared" si="178"/>
        <v>42</v>
      </c>
      <c r="P619" s="81">
        <f t="shared" si="179"/>
        <v>0</v>
      </c>
      <c r="Q619" s="79">
        <f t="shared" si="180"/>
        <v>59.84</v>
      </c>
      <c r="R619" s="80">
        <f t="shared" si="181"/>
        <v>48</v>
      </c>
      <c r="S619" s="81">
        <f t="shared" si="182"/>
        <v>68</v>
      </c>
      <c r="T619" s="92">
        <f t="shared" si="183"/>
        <v>270.2</v>
      </c>
      <c r="U619" s="93">
        <f t="shared" si="176"/>
        <v>216.16</v>
      </c>
    </row>
    <row r="620" spans="1:21" x14ac:dyDescent="0.25">
      <c r="A620" s="71">
        <f t="shared" si="170"/>
        <v>2024</v>
      </c>
      <c r="B620" s="72" t="str">
        <f t="shared" si="168"/>
        <v>JUNHO</v>
      </c>
      <c r="C620" s="73" t="str">
        <f t="shared" si="169"/>
        <v>TERÇA</v>
      </c>
      <c r="D620" s="74">
        <v>45468</v>
      </c>
      <c r="E620" s="89">
        <f t="shared" si="171"/>
        <v>7</v>
      </c>
      <c r="F620" s="90">
        <f t="shared" si="172"/>
        <v>7</v>
      </c>
      <c r="G620" s="91"/>
      <c r="H620" s="75"/>
      <c r="I620" s="89">
        <f t="shared" si="173"/>
        <v>8</v>
      </c>
      <c r="J620" s="90">
        <f t="shared" si="174"/>
        <v>8</v>
      </c>
      <c r="K620" s="91">
        <f t="shared" si="175"/>
        <v>8</v>
      </c>
      <c r="L620" s="76"/>
      <c r="N620" s="79">
        <f t="shared" si="177"/>
        <v>52.36</v>
      </c>
      <c r="O620" s="80">
        <f t="shared" si="178"/>
        <v>42</v>
      </c>
      <c r="P620" s="81">
        <f t="shared" si="179"/>
        <v>0</v>
      </c>
      <c r="Q620" s="79">
        <f t="shared" si="180"/>
        <v>59.84</v>
      </c>
      <c r="R620" s="80">
        <f t="shared" si="181"/>
        <v>48</v>
      </c>
      <c r="S620" s="81">
        <f t="shared" si="182"/>
        <v>68</v>
      </c>
      <c r="T620" s="92">
        <f t="shared" si="183"/>
        <v>270.2</v>
      </c>
      <c r="U620" s="93">
        <f t="shared" si="176"/>
        <v>216.16</v>
      </c>
    </row>
    <row r="621" spans="1:21" x14ac:dyDescent="0.25">
      <c r="A621" s="71">
        <f t="shared" si="170"/>
        <v>2024</v>
      </c>
      <c r="B621" s="72" t="str">
        <f t="shared" si="168"/>
        <v>JUNHO</v>
      </c>
      <c r="C621" s="73" t="str">
        <f t="shared" si="169"/>
        <v>QUARTA</v>
      </c>
      <c r="D621" s="74">
        <v>45469</v>
      </c>
      <c r="E621" s="89">
        <f t="shared" si="171"/>
        <v>7</v>
      </c>
      <c r="F621" s="90">
        <f t="shared" si="172"/>
        <v>7</v>
      </c>
      <c r="G621" s="91"/>
      <c r="H621" s="75"/>
      <c r="I621" s="89">
        <f t="shared" si="173"/>
        <v>8</v>
      </c>
      <c r="J621" s="90">
        <f t="shared" si="174"/>
        <v>8</v>
      </c>
      <c r="K621" s="91">
        <f t="shared" si="175"/>
        <v>8</v>
      </c>
      <c r="L621" s="76"/>
      <c r="N621" s="79">
        <f t="shared" si="177"/>
        <v>52.36</v>
      </c>
      <c r="O621" s="80">
        <f t="shared" si="178"/>
        <v>42</v>
      </c>
      <c r="P621" s="81">
        <f t="shared" si="179"/>
        <v>0</v>
      </c>
      <c r="Q621" s="79">
        <f t="shared" si="180"/>
        <v>59.84</v>
      </c>
      <c r="R621" s="80">
        <f t="shared" si="181"/>
        <v>48</v>
      </c>
      <c r="S621" s="81">
        <f t="shared" si="182"/>
        <v>68</v>
      </c>
      <c r="T621" s="92">
        <f t="shared" si="183"/>
        <v>270.2</v>
      </c>
      <c r="U621" s="93">
        <f t="shared" si="176"/>
        <v>216.16</v>
      </c>
    </row>
    <row r="622" spans="1:21" x14ac:dyDescent="0.25">
      <c r="A622" s="71">
        <f t="shared" si="170"/>
        <v>2024</v>
      </c>
      <c r="B622" s="72" t="str">
        <f t="shared" si="168"/>
        <v>JUNHO</v>
      </c>
      <c r="C622" s="73" t="str">
        <f t="shared" si="169"/>
        <v>QUINTA</v>
      </c>
      <c r="D622" s="74">
        <v>45470</v>
      </c>
      <c r="E622" s="89">
        <f t="shared" si="171"/>
        <v>7</v>
      </c>
      <c r="F622" s="90">
        <f t="shared" si="172"/>
        <v>7</v>
      </c>
      <c r="G622" s="91"/>
      <c r="H622" s="75"/>
      <c r="I622" s="89">
        <f t="shared" si="173"/>
        <v>8</v>
      </c>
      <c r="J622" s="90">
        <f t="shared" si="174"/>
        <v>8</v>
      </c>
      <c r="K622" s="91">
        <f t="shared" si="175"/>
        <v>8</v>
      </c>
      <c r="L622" s="76"/>
      <c r="N622" s="79">
        <f t="shared" si="177"/>
        <v>52.36</v>
      </c>
      <c r="O622" s="80">
        <f t="shared" si="178"/>
        <v>42</v>
      </c>
      <c r="P622" s="81">
        <f t="shared" si="179"/>
        <v>0</v>
      </c>
      <c r="Q622" s="79">
        <f t="shared" si="180"/>
        <v>59.84</v>
      </c>
      <c r="R622" s="80">
        <f t="shared" si="181"/>
        <v>48</v>
      </c>
      <c r="S622" s="81">
        <f t="shared" si="182"/>
        <v>68</v>
      </c>
      <c r="T622" s="92">
        <f t="shared" si="183"/>
        <v>270.2</v>
      </c>
      <c r="U622" s="93">
        <f t="shared" si="176"/>
        <v>216.16</v>
      </c>
    </row>
    <row r="623" spans="1:21" x14ac:dyDescent="0.25">
      <c r="A623" s="71">
        <f t="shared" si="170"/>
        <v>2024</v>
      </c>
      <c r="B623" s="72" t="str">
        <f t="shared" si="168"/>
        <v>JUNHO</v>
      </c>
      <c r="C623" s="73" t="str">
        <f t="shared" si="169"/>
        <v>SEXTA</v>
      </c>
      <c r="D623" s="74">
        <v>45471</v>
      </c>
      <c r="E623" s="89">
        <f t="shared" si="171"/>
        <v>7</v>
      </c>
      <c r="F623" s="90">
        <f t="shared" si="172"/>
        <v>7</v>
      </c>
      <c r="G623" s="91"/>
      <c r="H623" s="75"/>
      <c r="I623" s="89">
        <f t="shared" si="173"/>
        <v>8</v>
      </c>
      <c r="J623" s="90">
        <f t="shared" si="174"/>
        <v>8</v>
      </c>
      <c r="K623" s="91">
        <f t="shared" si="175"/>
        <v>8</v>
      </c>
      <c r="L623" s="76"/>
      <c r="N623" s="79">
        <f t="shared" si="177"/>
        <v>52.36</v>
      </c>
      <c r="O623" s="80">
        <f t="shared" si="178"/>
        <v>42</v>
      </c>
      <c r="P623" s="81">
        <f t="shared" si="179"/>
        <v>0</v>
      </c>
      <c r="Q623" s="79">
        <f t="shared" si="180"/>
        <v>59.84</v>
      </c>
      <c r="R623" s="80">
        <f t="shared" si="181"/>
        <v>48</v>
      </c>
      <c r="S623" s="81">
        <f t="shared" si="182"/>
        <v>68</v>
      </c>
      <c r="T623" s="92">
        <f t="shared" si="183"/>
        <v>270.2</v>
      </c>
      <c r="U623" s="93">
        <f t="shared" si="176"/>
        <v>216.16</v>
      </c>
    </row>
    <row r="624" spans="1:21" x14ac:dyDescent="0.25">
      <c r="A624" s="71">
        <f t="shared" si="170"/>
        <v>2024</v>
      </c>
      <c r="B624" s="72" t="str">
        <f t="shared" si="168"/>
        <v>JUNHO</v>
      </c>
      <c r="C624" s="73" t="str">
        <f t="shared" si="169"/>
        <v>SÁBADO</v>
      </c>
      <c r="D624" s="74">
        <v>45472</v>
      </c>
      <c r="E624" s="89">
        <f t="shared" si="171"/>
        <v>0</v>
      </c>
      <c r="F624" s="90">
        <f t="shared" si="172"/>
        <v>7</v>
      </c>
      <c r="G624" s="91"/>
      <c r="H624" s="75"/>
      <c r="I624" s="89">
        <f t="shared" si="173"/>
        <v>0</v>
      </c>
      <c r="J624" s="90">
        <f t="shared" si="174"/>
        <v>8</v>
      </c>
      <c r="K624" s="91">
        <f t="shared" si="175"/>
        <v>0</v>
      </c>
      <c r="L624" s="76"/>
      <c r="N624" s="79">
        <f t="shared" si="177"/>
        <v>0</v>
      </c>
      <c r="O624" s="80">
        <f t="shared" si="178"/>
        <v>42</v>
      </c>
      <c r="P624" s="81">
        <f t="shared" si="179"/>
        <v>0</v>
      </c>
      <c r="Q624" s="79">
        <f t="shared" si="180"/>
        <v>0</v>
      </c>
      <c r="R624" s="80">
        <f t="shared" si="181"/>
        <v>48</v>
      </c>
      <c r="S624" s="81">
        <f t="shared" si="182"/>
        <v>0</v>
      </c>
      <c r="T624" s="92">
        <f t="shared" si="183"/>
        <v>90</v>
      </c>
      <c r="U624" s="93">
        <f t="shared" si="176"/>
        <v>72</v>
      </c>
    </row>
    <row r="625" spans="1:21" x14ac:dyDescent="0.25">
      <c r="A625" s="71">
        <f t="shared" si="170"/>
        <v>2024</v>
      </c>
      <c r="B625" s="72" t="str">
        <f t="shared" si="168"/>
        <v>JUNHO</v>
      </c>
      <c r="C625" s="73" t="str">
        <f t="shared" si="169"/>
        <v>DOMINGO</v>
      </c>
      <c r="D625" s="74">
        <v>45473</v>
      </c>
      <c r="E625" s="89">
        <f t="shared" si="171"/>
        <v>0</v>
      </c>
      <c r="F625" s="90">
        <f t="shared" si="172"/>
        <v>0</v>
      </c>
      <c r="G625" s="91"/>
      <c r="H625" s="75"/>
      <c r="I625" s="89">
        <f t="shared" si="173"/>
        <v>0</v>
      </c>
      <c r="J625" s="90">
        <f t="shared" si="174"/>
        <v>0</v>
      </c>
      <c r="K625" s="91">
        <f t="shared" si="175"/>
        <v>0</v>
      </c>
      <c r="L625" s="76"/>
      <c r="N625" s="79">
        <f t="shared" si="177"/>
        <v>0</v>
      </c>
      <c r="O625" s="80">
        <f t="shared" si="178"/>
        <v>0</v>
      </c>
      <c r="P625" s="81">
        <f t="shared" si="179"/>
        <v>0</v>
      </c>
      <c r="Q625" s="79">
        <f t="shared" si="180"/>
        <v>0</v>
      </c>
      <c r="R625" s="80">
        <f t="shared" si="181"/>
        <v>0</v>
      </c>
      <c r="S625" s="81">
        <f t="shared" si="182"/>
        <v>0</v>
      </c>
      <c r="T625" s="92">
        <f t="shared" si="183"/>
        <v>0</v>
      </c>
      <c r="U625" s="93">
        <f t="shared" si="176"/>
        <v>0</v>
      </c>
    </row>
    <row r="626" spans="1:21" x14ac:dyDescent="0.25">
      <c r="A626" s="71">
        <f t="shared" si="170"/>
        <v>2024</v>
      </c>
      <c r="B626" s="72" t="str">
        <f t="shared" si="168"/>
        <v>JULHO</v>
      </c>
      <c r="C626" s="73" t="str">
        <f t="shared" si="169"/>
        <v>SEGUNDA</v>
      </c>
      <c r="D626" s="74">
        <v>45474</v>
      </c>
      <c r="E626" s="89">
        <f t="shared" si="171"/>
        <v>7</v>
      </c>
      <c r="F626" s="90">
        <f t="shared" si="172"/>
        <v>7</v>
      </c>
      <c r="G626" s="91"/>
      <c r="H626" s="75"/>
      <c r="I626" s="89">
        <f t="shared" si="173"/>
        <v>8</v>
      </c>
      <c r="J626" s="90">
        <f t="shared" si="174"/>
        <v>8</v>
      </c>
      <c r="K626" s="91">
        <f t="shared" si="175"/>
        <v>8</v>
      </c>
      <c r="L626" s="76"/>
      <c r="N626" s="79">
        <f t="shared" si="177"/>
        <v>52.36</v>
      </c>
      <c r="O626" s="80">
        <f t="shared" si="178"/>
        <v>42</v>
      </c>
      <c r="P626" s="81">
        <f t="shared" si="179"/>
        <v>0</v>
      </c>
      <c r="Q626" s="79">
        <f t="shared" si="180"/>
        <v>59.84</v>
      </c>
      <c r="R626" s="80">
        <f t="shared" si="181"/>
        <v>48</v>
      </c>
      <c r="S626" s="81">
        <f t="shared" si="182"/>
        <v>68</v>
      </c>
      <c r="T626" s="92">
        <f t="shared" si="183"/>
        <v>270.2</v>
      </c>
      <c r="U626" s="93">
        <f t="shared" si="176"/>
        <v>216.16</v>
      </c>
    </row>
    <row r="627" spans="1:21" x14ac:dyDescent="0.25">
      <c r="A627" s="71">
        <f t="shared" si="170"/>
        <v>2024</v>
      </c>
      <c r="B627" s="72" t="str">
        <f t="shared" si="168"/>
        <v>JULHO</v>
      </c>
      <c r="C627" s="73" t="str">
        <f t="shared" si="169"/>
        <v>TERÇA</v>
      </c>
      <c r="D627" s="74">
        <v>45475</v>
      </c>
      <c r="E627" s="89">
        <f t="shared" si="171"/>
        <v>7</v>
      </c>
      <c r="F627" s="90">
        <f t="shared" si="172"/>
        <v>7</v>
      </c>
      <c r="G627" s="91"/>
      <c r="H627" s="75"/>
      <c r="I627" s="89">
        <f t="shared" si="173"/>
        <v>8</v>
      </c>
      <c r="J627" s="90">
        <f t="shared" si="174"/>
        <v>8</v>
      </c>
      <c r="K627" s="91">
        <f t="shared" si="175"/>
        <v>8</v>
      </c>
      <c r="L627" s="76"/>
      <c r="N627" s="79">
        <f t="shared" si="177"/>
        <v>52.36</v>
      </c>
      <c r="O627" s="80">
        <f t="shared" si="178"/>
        <v>42</v>
      </c>
      <c r="P627" s="81">
        <f t="shared" si="179"/>
        <v>0</v>
      </c>
      <c r="Q627" s="79">
        <f t="shared" si="180"/>
        <v>59.84</v>
      </c>
      <c r="R627" s="80">
        <f t="shared" si="181"/>
        <v>48</v>
      </c>
      <c r="S627" s="81">
        <f t="shared" si="182"/>
        <v>68</v>
      </c>
      <c r="T627" s="92">
        <f t="shared" si="183"/>
        <v>270.2</v>
      </c>
      <c r="U627" s="93">
        <f t="shared" si="176"/>
        <v>216.16</v>
      </c>
    </row>
    <row r="628" spans="1:21" x14ac:dyDescent="0.25">
      <c r="A628" s="71">
        <f t="shared" si="170"/>
        <v>2024</v>
      </c>
      <c r="B628" s="72" t="str">
        <f t="shared" si="168"/>
        <v>JULHO</v>
      </c>
      <c r="C628" s="73" t="str">
        <f t="shared" si="169"/>
        <v>QUARTA</v>
      </c>
      <c r="D628" s="74">
        <v>45476</v>
      </c>
      <c r="E628" s="89">
        <f t="shared" si="171"/>
        <v>7</v>
      </c>
      <c r="F628" s="90">
        <f t="shared" si="172"/>
        <v>7</v>
      </c>
      <c r="G628" s="91"/>
      <c r="H628" s="75"/>
      <c r="I628" s="89">
        <f t="shared" si="173"/>
        <v>8</v>
      </c>
      <c r="J628" s="90">
        <f t="shared" si="174"/>
        <v>8</v>
      </c>
      <c r="K628" s="91">
        <f t="shared" si="175"/>
        <v>8</v>
      </c>
      <c r="L628" s="76"/>
      <c r="N628" s="79">
        <f t="shared" si="177"/>
        <v>52.36</v>
      </c>
      <c r="O628" s="80">
        <f t="shared" si="178"/>
        <v>42</v>
      </c>
      <c r="P628" s="81">
        <f t="shared" si="179"/>
        <v>0</v>
      </c>
      <c r="Q628" s="79">
        <f t="shared" si="180"/>
        <v>59.84</v>
      </c>
      <c r="R628" s="80">
        <f t="shared" si="181"/>
        <v>48</v>
      </c>
      <c r="S628" s="81">
        <f t="shared" si="182"/>
        <v>68</v>
      </c>
      <c r="T628" s="92">
        <f t="shared" si="183"/>
        <v>270.2</v>
      </c>
      <c r="U628" s="93">
        <f t="shared" si="176"/>
        <v>216.16</v>
      </c>
    </row>
    <row r="629" spans="1:21" x14ac:dyDescent="0.25">
      <c r="A629" s="71">
        <f t="shared" si="170"/>
        <v>2024</v>
      </c>
      <c r="B629" s="72" t="str">
        <f t="shared" si="168"/>
        <v>JULHO</v>
      </c>
      <c r="C629" s="73" t="str">
        <f t="shared" si="169"/>
        <v>QUINTA</v>
      </c>
      <c r="D629" s="74">
        <v>45477</v>
      </c>
      <c r="E629" s="89">
        <f t="shared" si="171"/>
        <v>7</v>
      </c>
      <c r="F629" s="90">
        <f t="shared" si="172"/>
        <v>7</v>
      </c>
      <c r="G629" s="91"/>
      <c r="H629" s="75"/>
      <c r="I629" s="89">
        <f t="shared" si="173"/>
        <v>8</v>
      </c>
      <c r="J629" s="90">
        <f t="shared" si="174"/>
        <v>8</v>
      </c>
      <c r="K629" s="91">
        <f t="shared" si="175"/>
        <v>8</v>
      </c>
      <c r="L629" s="76"/>
      <c r="N629" s="79">
        <f t="shared" si="177"/>
        <v>52.36</v>
      </c>
      <c r="O629" s="80">
        <f t="shared" si="178"/>
        <v>42</v>
      </c>
      <c r="P629" s="81">
        <f t="shared" si="179"/>
        <v>0</v>
      </c>
      <c r="Q629" s="79">
        <f t="shared" si="180"/>
        <v>59.84</v>
      </c>
      <c r="R629" s="80">
        <f t="shared" si="181"/>
        <v>48</v>
      </c>
      <c r="S629" s="81">
        <f t="shared" si="182"/>
        <v>68</v>
      </c>
      <c r="T629" s="92">
        <f t="shared" si="183"/>
        <v>270.2</v>
      </c>
      <c r="U629" s="93">
        <f t="shared" si="176"/>
        <v>216.16</v>
      </c>
    </row>
    <row r="630" spans="1:21" x14ac:dyDescent="0.25">
      <c r="A630" s="71">
        <f t="shared" si="170"/>
        <v>2024</v>
      </c>
      <c r="B630" s="72" t="str">
        <f t="shared" si="168"/>
        <v>JULHO</v>
      </c>
      <c r="C630" s="73" t="str">
        <f t="shared" si="169"/>
        <v>SEXTA</v>
      </c>
      <c r="D630" s="74">
        <v>45478</v>
      </c>
      <c r="E630" s="89">
        <f t="shared" si="171"/>
        <v>7</v>
      </c>
      <c r="F630" s="90">
        <f t="shared" si="172"/>
        <v>7</v>
      </c>
      <c r="G630" s="91"/>
      <c r="H630" s="75"/>
      <c r="I630" s="89">
        <f t="shared" si="173"/>
        <v>8</v>
      </c>
      <c r="J630" s="90">
        <f t="shared" si="174"/>
        <v>8</v>
      </c>
      <c r="K630" s="91">
        <f t="shared" si="175"/>
        <v>8</v>
      </c>
      <c r="L630" s="76"/>
      <c r="N630" s="79">
        <f t="shared" si="177"/>
        <v>52.36</v>
      </c>
      <c r="O630" s="80">
        <f t="shared" si="178"/>
        <v>42</v>
      </c>
      <c r="P630" s="81">
        <f t="shared" si="179"/>
        <v>0</v>
      </c>
      <c r="Q630" s="79">
        <f t="shared" si="180"/>
        <v>59.84</v>
      </c>
      <c r="R630" s="80">
        <f t="shared" si="181"/>
        <v>48</v>
      </c>
      <c r="S630" s="81">
        <f t="shared" si="182"/>
        <v>68</v>
      </c>
      <c r="T630" s="92">
        <f t="shared" si="183"/>
        <v>270.2</v>
      </c>
      <c r="U630" s="93">
        <f t="shared" si="176"/>
        <v>216.16</v>
      </c>
    </row>
    <row r="631" spans="1:21" x14ac:dyDescent="0.25">
      <c r="A631" s="71">
        <f t="shared" si="170"/>
        <v>2024</v>
      </c>
      <c r="B631" s="72" t="str">
        <f t="shared" si="168"/>
        <v>JULHO</v>
      </c>
      <c r="C631" s="73" t="str">
        <f t="shared" si="169"/>
        <v>SÁBADO</v>
      </c>
      <c r="D631" s="74">
        <v>45479</v>
      </c>
      <c r="E631" s="89">
        <f t="shared" si="171"/>
        <v>0</v>
      </c>
      <c r="F631" s="90">
        <f t="shared" si="172"/>
        <v>7</v>
      </c>
      <c r="G631" s="91"/>
      <c r="H631" s="75"/>
      <c r="I631" s="89">
        <f t="shared" si="173"/>
        <v>0</v>
      </c>
      <c r="J631" s="90">
        <f t="shared" si="174"/>
        <v>8</v>
      </c>
      <c r="K631" s="91">
        <f t="shared" si="175"/>
        <v>0</v>
      </c>
      <c r="L631" s="76"/>
      <c r="N631" s="79">
        <f t="shared" si="177"/>
        <v>0</v>
      </c>
      <c r="O631" s="80">
        <f t="shared" si="178"/>
        <v>42</v>
      </c>
      <c r="P631" s="81">
        <f t="shared" si="179"/>
        <v>0</v>
      </c>
      <c r="Q631" s="79">
        <f t="shared" si="180"/>
        <v>0</v>
      </c>
      <c r="R631" s="80">
        <f t="shared" si="181"/>
        <v>48</v>
      </c>
      <c r="S631" s="81">
        <f t="shared" si="182"/>
        <v>0</v>
      </c>
      <c r="T631" s="92">
        <f t="shared" si="183"/>
        <v>90</v>
      </c>
      <c r="U631" s="93">
        <f t="shared" si="176"/>
        <v>72</v>
      </c>
    </row>
    <row r="632" spans="1:21" x14ac:dyDescent="0.25">
      <c r="A632" s="71">
        <f t="shared" si="170"/>
        <v>2024</v>
      </c>
      <c r="B632" s="72" t="str">
        <f t="shared" si="168"/>
        <v>JULHO</v>
      </c>
      <c r="C632" s="73" t="str">
        <f t="shared" si="169"/>
        <v>DOMINGO</v>
      </c>
      <c r="D632" s="74">
        <v>45480</v>
      </c>
      <c r="E632" s="89">
        <f t="shared" si="171"/>
        <v>0</v>
      </c>
      <c r="F632" s="90">
        <f t="shared" si="172"/>
        <v>0</v>
      </c>
      <c r="G632" s="91"/>
      <c r="H632" s="75"/>
      <c r="I632" s="89">
        <f t="shared" si="173"/>
        <v>0</v>
      </c>
      <c r="J632" s="90">
        <f t="shared" si="174"/>
        <v>0</v>
      </c>
      <c r="K632" s="91">
        <f t="shared" si="175"/>
        <v>0</v>
      </c>
      <c r="L632" s="76"/>
      <c r="N632" s="79">
        <f t="shared" si="177"/>
        <v>0</v>
      </c>
      <c r="O632" s="80">
        <f t="shared" si="178"/>
        <v>0</v>
      </c>
      <c r="P632" s="81">
        <f t="shared" si="179"/>
        <v>0</v>
      </c>
      <c r="Q632" s="79">
        <f t="shared" si="180"/>
        <v>0</v>
      </c>
      <c r="R632" s="80">
        <f t="shared" si="181"/>
        <v>0</v>
      </c>
      <c r="S632" s="81">
        <f t="shared" si="182"/>
        <v>0</v>
      </c>
      <c r="T632" s="92">
        <f t="shared" si="183"/>
        <v>0</v>
      </c>
      <c r="U632" s="93">
        <f t="shared" si="176"/>
        <v>0</v>
      </c>
    </row>
    <row r="633" spans="1:21" x14ac:dyDescent="0.25">
      <c r="A633" s="71">
        <f t="shared" si="170"/>
        <v>2024</v>
      </c>
      <c r="B633" s="72" t="str">
        <f t="shared" si="168"/>
        <v>JULHO</v>
      </c>
      <c r="C633" s="73" t="str">
        <f t="shared" si="169"/>
        <v>SEGUNDA</v>
      </c>
      <c r="D633" s="74">
        <v>45481</v>
      </c>
      <c r="E633" s="89">
        <f t="shared" si="171"/>
        <v>7</v>
      </c>
      <c r="F633" s="90">
        <f t="shared" si="172"/>
        <v>7</v>
      </c>
      <c r="G633" s="91"/>
      <c r="H633" s="75"/>
      <c r="I633" s="89">
        <f t="shared" si="173"/>
        <v>8</v>
      </c>
      <c r="J633" s="90">
        <f t="shared" si="174"/>
        <v>8</v>
      </c>
      <c r="K633" s="91">
        <f t="shared" si="175"/>
        <v>8</v>
      </c>
      <c r="L633" s="76"/>
      <c r="N633" s="79">
        <f t="shared" si="177"/>
        <v>52.36</v>
      </c>
      <c r="O633" s="80">
        <f t="shared" si="178"/>
        <v>42</v>
      </c>
      <c r="P633" s="81">
        <f t="shared" si="179"/>
        <v>0</v>
      </c>
      <c r="Q633" s="79">
        <f t="shared" si="180"/>
        <v>59.84</v>
      </c>
      <c r="R633" s="80">
        <f t="shared" si="181"/>
        <v>48</v>
      </c>
      <c r="S633" s="81">
        <f t="shared" si="182"/>
        <v>68</v>
      </c>
      <c r="T633" s="92">
        <f t="shared" si="183"/>
        <v>270.2</v>
      </c>
      <c r="U633" s="93">
        <f t="shared" si="176"/>
        <v>216.16</v>
      </c>
    </row>
    <row r="634" spans="1:21" x14ac:dyDescent="0.25">
      <c r="A634" s="71">
        <f t="shared" si="170"/>
        <v>2024</v>
      </c>
      <c r="B634" s="72" t="str">
        <f t="shared" si="168"/>
        <v>JULHO</v>
      </c>
      <c r="C634" s="73" t="str">
        <f t="shared" si="169"/>
        <v>TERÇA</v>
      </c>
      <c r="D634" s="74">
        <v>45482</v>
      </c>
      <c r="E634" s="89">
        <f t="shared" si="171"/>
        <v>7</v>
      </c>
      <c r="F634" s="90">
        <f t="shared" si="172"/>
        <v>7</v>
      </c>
      <c r="G634" s="91"/>
      <c r="H634" s="75"/>
      <c r="I634" s="89">
        <f t="shared" si="173"/>
        <v>8</v>
      </c>
      <c r="J634" s="90">
        <f t="shared" si="174"/>
        <v>8</v>
      </c>
      <c r="K634" s="91">
        <f t="shared" si="175"/>
        <v>8</v>
      </c>
      <c r="L634" s="76"/>
      <c r="N634" s="79">
        <f t="shared" si="177"/>
        <v>52.36</v>
      </c>
      <c r="O634" s="80">
        <f t="shared" si="178"/>
        <v>42</v>
      </c>
      <c r="P634" s="81">
        <f t="shared" si="179"/>
        <v>0</v>
      </c>
      <c r="Q634" s="79">
        <f t="shared" si="180"/>
        <v>59.84</v>
      </c>
      <c r="R634" s="80">
        <f t="shared" si="181"/>
        <v>48</v>
      </c>
      <c r="S634" s="81">
        <f t="shared" si="182"/>
        <v>68</v>
      </c>
      <c r="T634" s="92">
        <f t="shared" si="183"/>
        <v>270.2</v>
      </c>
      <c r="U634" s="93">
        <f t="shared" si="176"/>
        <v>216.16</v>
      </c>
    </row>
    <row r="635" spans="1:21" x14ac:dyDescent="0.25">
      <c r="A635" s="71">
        <f t="shared" si="170"/>
        <v>2024</v>
      </c>
      <c r="B635" s="72" t="str">
        <f t="shared" si="168"/>
        <v>JULHO</v>
      </c>
      <c r="C635" s="73" t="str">
        <f t="shared" si="169"/>
        <v>QUARTA</v>
      </c>
      <c r="D635" s="74">
        <v>45483</v>
      </c>
      <c r="E635" s="89">
        <f t="shared" si="171"/>
        <v>7</v>
      </c>
      <c r="F635" s="90">
        <f t="shared" si="172"/>
        <v>7</v>
      </c>
      <c r="G635" s="91"/>
      <c r="H635" s="75"/>
      <c r="I635" s="89">
        <f t="shared" si="173"/>
        <v>8</v>
      </c>
      <c r="J635" s="90">
        <f t="shared" si="174"/>
        <v>8</v>
      </c>
      <c r="K635" s="91">
        <f t="shared" si="175"/>
        <v>8</v>
      </c>
      <c r="L635" s="76"/>
      <c r="N635" s="79">
        <f t="shared" si="177"/>
        <v>52.36</v>
      </c>
      <c r="O635" s="80">
        <f t="shared" si="178"/>
        <v>42</v>
      </c>
      <c r="P635" s="81">
        <f t="shared" si="179"/>
        <v>0</v>
      </c>
      <c r="Q635" s="79">
        <f t="shared" si="180"/>
        <v>59.84</v>
      </c>
      <c r="R635" s="80">
        <f t="shared" si="181"/>
        <v>48</v>
      </c>
      <c r="S635" s="81">
        <f t="shared" si="182"/>
        <v>68</v>
      </c>
      <c r="T635" s="92">
        <f t="shared" si="183"/>
        <v>270.2</v>
      </c>
      <c r="U635" s="93">
        <f t="shared" si="176"/>
        <v>216.16</v>
      </c>
    </row>
    <row r="636" spans="1:21" x14ac:dyDescent="0.25">
      <c r="A636" s="71">
        <f t="shared" si="170"/>
        <v>2024</v>
      </c>
      <c r="B636" s="72" t="str">
        <f t="shared" si="168"/>
        <v>JULHO</v>
      </c>
      <c r="C636" s="73" t="str">
        <f t="shared" si="169"/>
        <v>QUINTA</v>
      </c>
      <c r="D636" s="74">
        <v>45484</v>
      </c>
      <c r="E636" s="89">
        <f t="shared" si="171"/>
        <v>7</v>
      </c>
      <c r="F636" s="90">
        <f t="shared" si="172"/>
        <v>7</v>
      </c>
      <c r="G636" s="91"/>
      <c r="H636" s="75"/>
      <c r="I636" s="89">
        <f t="shared" si="173"/>
        <v>8</v>
      </c>
      <c r="J636" s="90">
        <f t="shared" si="174"/>
        <v>8</v>
      </c>
      <c r="K636" s="91">
        <f t="shared" si="175"/>
        <v>8</v>
      </c>
      <c r="L636" s="76"/>
      <c r="N636" s="79">
        <f t="shared" si="177"/>
        <v>52.36</v>
      </c>
      <c r="O636" s="80">
        <f t="shared" si="178"/>
        <v>42</v>
      </c>
      <c r="P636" s="81">
        <f t="shared" si="179"/>
        <v>0</v>
      </c>
      <c r="Q636" s="79">
        <f t="shared" si="180"/>
        <v>59.84</v>
      </c>
      <c r="R636" s="80">
        <f t="shared" si="181"/>
        <v>48</v>
      </c>
      <c r="S636" s="81">
        <f t="shared" si="182"/>
        <v>68</v>
      </c>
      <c r="T636" s="92">
        <f t="shared" si="183"/>
        <v>270.2</v>
      </c>
      <c r="U636" s="93">
        <f t="shared" si="176"/>
        <v>216.16</v>
      </c>
    </row>
    <row r="637" spans="1:21" x14ac:dyDescent="0.25">
      <c r="A637" s="71">
        <f t="shared" si="170"/>
        <v>2024</v>
      </c>
      <c r="B637" s="72" t="str">
        <f t="shared" si="168"/>
        <v>JULHO</v>
      </c>
      <c r="C637" s="73" t="str">
        <f t="shared" si="169"/>
        <v>SEXTA</v>
      </c>
      <c r="D637" s="74">
        <v>45485</v>
      </c>
      <c r="E637" s="89">
        <f t="shared" si="171"/>
        <v>7</v>
      </c>
      <c r="F637" s="90">
        <f t="shared" si="172"/>
        <v>7</v>
      </c>
      <c r="G637" s="91"/>
      <c r="H637" s="75"/>
      <c r="I637" s="89">
        <f t="shared" si="173"/>
        <v>8</v>
      </c>
      <c r="J637" s="90">
        <f t="shared" si="174"/>
        <v>8</v>
      </c>
      <c r="K637" s="91">
        <f t="shared" si="175"/>
        <v>8</v>
      </c>
      <c r="L637" s="76"/>
      <c r="N637" s="79">
        <f t="shared" si="177"/>
        <v>52.36</v>
      </c>
      <c r="O637" s="80">
        <f t="shared" si="178"/>
        <v>42</v>
      </c>
      <c r="P637" s="81">
        <f t="shared" si="179"/>
        <v>0</v>
      </c>
      <c r="Q637" s="79">
        <f t="shared" si="180"/>
        <v>59.84</v>
      </c>
      <c r="R637" s="80">
        <f t="shared" si="181"/>
        <v>48</v>
      </c>
      <c r="S637" s="81">
        <f t="shared" si="182"/>
        <v>68</v>
      </c>
      <c r="T637" s="92">
        <f t="shared" si="183"/>
        <v>270.2</v>
      </c>
      <c r="U637" s="93">
        <f t="shared" si="176"/>
        <v>216.16</v>
      </c>
    </row>
    <row r="638" spans="1:21" x14ac:dyDescent="0.25">
      <c r="A638" s="71">
        <f t="shared" si="170"/>
        <v>2024</v>
      </c>
      <c r="B638" s="72" t="str">
        <f t="shared" si="168"/>
        <v>JULHO</v>
      </c>
      <c r="C638" s="73" t="str">
        <f t="shared" si="169"/>
        <v>SÁBADO</v>
      </c>
      <c r="D638" s="74">
        <v>45486</v>
      </c>
      <c r="E638" s="89">
        <f t="shared" si="171"/>
        <v>0</v>
      </c>
      <c r="F638" s="90">
        <f t="shared" si="172"/>
        <v>7</v>
      </c>
      <c r="G638" s="91"/>
      <c r="H638" s="75"/>
      <c r="I638" s="89">
        <f t="shared" si="173"/>
        <v>0</v>
      </c>
      <c r="J638" s="90">
        <f t="shared" si="174"/>
        <v>8</v>
      </c>
      <c r="K638" s="91">
        <f t="shared" si="175"/>
        <v>0</v>
      </c>
      <c r="L638" s="76"/>
      <c r="N638" s="79">
        <f t="shared" si="177"/>
        <v>0</v>
      </c>
      <c r="O638" s="80">
        <f t="shared" si="178"/>
        <v>42</v>
      </c>
      <c r="P638" s="81">
        <f t="shared" si="179"/>
        <v>0</v>
      </c>
      <c r="Q638" s="79">
        <f t="shared" si="180"/>
        <v>0</v>
      </c>
      <c r="R638" s="80">
        <f t="shared" si="181"/>
        <v>48</v>
      </c>
      <c r="S638" s="81">
        <f t="shared" si="182"/>
        <v>0</v>
      </c>
      <c r="T638" s="92">
        <f t="shared" si="183"/>
        <v>90</v>
      </c>
      <c r="U638" s="93">
        <f t="shared" si="176"/>
        <v>72</v>
      </c>
    </row>
    <row r="639" spans="1:21" x14ac:dyDescent="0.25">
      <c r="A639" s="71">
        <f t="shared" si="170"/>
        <v>2024</v>
      </c>
      <c r="B639" s="72" t="str">
        <f t="shared" ref="B639:B702" si="184">VLOOKUP(MONTH(D639),$AG$2:$AH$14,2,0)</f>
        <v>JULHO</v>
      </c>
      <c r="C639" s="73" t="str">
        <f t="shared" si="169"/>
        <v>DOMINGO</v>
      </c>
      <c r="D639" s="74">
        <v>45487</v>
      </c>
      <c r="E639" s="89">
        <f t="shared" si="171"/>
        <v>0</v>
      </c>
      <c r="F639" s="90">
        <f t="shared" si="172"/>
        <v>0</v>
      </c>
      <c r="G639" s="91"/>
      <c r="H639" s="75"/>
      <c r="I639" s="89">
        <f t="shared" si="173"/>
        <v>0</v>
      </c>
      <c r="J639" s="90">
        <f t="shared" si="174"/>
        <v>0</v>
      </c>
      <c r="K639" s="91">
        <f t="shared" si="175"/>
        <v>0</v>
      </c>
      <c r="L639" s="76"/>
      <c r="N639" s="79">
        <f t="shared" si="177"/>
        <v>0</v>
      </c>
      <c r="O639" s="80">
        <f t="shared" si="178"/>
        <v>0</v>
      </c>
      <c r="P639" s="81">
        <f t="shared" si="179"/>
        <v>0</v>
      </c>
      <c r="Q639" s="79">
        <f t="shared" si="180"/>
        <v>0</v>
      </c>
      <c r="R639" s="80">
        <f t="shared" si="181"/>
        <v>0</v>
      </c>
      <c r="S639" s="81">
        <f t="shared" si="182"/>
        <v>0</v>
      </c>
      <c r="T639" s="92">
        <f t="shared" si="183"/>
        <v>0</v>
      </c>
      <c r="U639" s="93">
        <f t="shared" si="176"/>
        <v>0</v>
      </c>
    </row>
    <row r="640" spans="1:21" x14ac:dyDescent="0.25">
      <c r="A640" s="71">
        <f t="shared" si="170"/>
        <v>2024</v>
      </c>
      <c r="B640" s="72" t="str">
        <f t="shared" si="184"/>
        <v>JULHO</v>
      </c>
      <c r="C640" s="73" t="str">
        <f t="shared" si="169"/>
        <v>SEGUNDA</v>
      </c>
      <c r="D640" s="74">
        <v>45488</v>
      </c>
      <c r="E640" s="89">
        <f t="shared" si="171"/>
        <v>7</v>
      </c>
      <c r="F640" s="90">
        <f t="shared" si="172"/>
        <v>7</v>
      </c>
      <c r="G640" s="91"/>
      <c r="H640" s="75"/>
      <c r="I640" s="89">
        <f t="shared" si="173"/>
        <v>8</v>
      </c>
      <c r="J640" s="90">
        <f t="shared" si="174"/>
        <v>8</v>
      </c>
      <c r="K640" s="91">
        <f t="shared" si="175"/>
        <v>8</v>
      </c>
      <c r="L640" s="76"/>
      <c r="N640" s="79">
        <f t="shared" si="177"/>
        <v>52.36</v>
      </c>
      <c r="O640" s="80">
        <f t="shared" si="178"/>
        <v>42</v>
      </c>
      <c r="P640" s="81">
        <f t="shared" si="179"/>
        <v>0</v>
      </c>
      <c r="Q640" s="79">
        <f t="shared" si="180"/>
        <v>59.84</v>
      </c>
      <c r="R640" s="80">
        <f t="shared" si="181"/>
        <v>48</v>
      </c>
      <c r="S640" s="81">
        <f t="shared" si="182"/>
        <v>68</v>
      </c>
      <c r="T640" s="92">
        <f t="shared" si="183"/>
        <v>270.2</v>
      </c>
      <c r="U640" s="93">
        <f t="shared" si="176"/>
        <v>216.16</v>
      </c>
    </row>
    <row r="641" spans="1:21" x14ac:dyDescent="0.25">
      <c r="A641" s="71">
        <f t="shared" si="170"/>
        <v>2024</v>
      </c>
      <c r="B641" s="72" t="str">
        <f t="shared" si="184"/>
        <v>JULHO</v>
      </c>
      <c r="C641" s="73" t="str">
        <f t="shared" si="169"/>
        <v>TERÇA</v>
      </c>
      <c r="D641" s="74">
        <v>45489</v>
      </c>
      <c r="E641" s="89">
        <f t="shared" si="171"/>
        <v>7</v>
      </c>
      <c r="F641" s="90">
        <f t="shared" si="172"/>
        <v>7</v>
      </c>
      <c r="G641" s="91"/>
      <c r="H641" s="75"/>
      <c r="I641" s="89">
        <f t="shared" si="173"/>
        <v>8</v>
      </c>
      <c r="J641" s="90">
        <f t="shared" si="174"/>
        <v>8</v>
      </c>
      <c r="K641" s="91">
        <f t="shared" si="175"/>
        <v>8</v>
      </c>
      <c r="L641" s="76"/>
      <c r="N641" s="79">
        <f t="shared" si="177"/>
        <v>52.36</v>
      </c>
      <c r="O641" s="80">
        <f t="shared" si="178"/>
        <v>42</v>
      </c>
      <c r="P641" s="81">
        <f t="shared" si="179"/>
        <v>0</v>
      </c>
      <c r="Q641" s="79">
        <f t="shared" si="180"/>
        <v>59.84</v>
      </c>
      <c r="R641" s="80">
        <f t="shared" si="181"/>
        <v>48</v>
      </c>
      <c r="S641" s="81">
        <f t="shared" si="182"/>
        <v>68</v>
      </c>
      <c r="T641" s="92">
        <f t="shared" si="183"/>
        <v>270.2</v>
      </c>
      <c r="U641" s="93">
        <f t="shared" si="176"/>
        <v>216.16</v>
      </c>
    </row>
    <row r="642" spans="1:21" x14ac:dyDescent="0.25">
      <c r="A642" s="71">
        <f t="shared" si="170"/>
        <v>2024</v>
      </c>
      <c r="B642" s="72" t="str">
        <f t="shared" si="184"/>
        <v>JULHO</v>
      </c>
      <c r="C642" s="73" t="str">
        <f t="shared" si="169"/>
        <v>QUARTA</v>
      </c>
      <c r="D642" s="74">
        <v>45490</v>
      </c>
      <c r="E642" s="89">
        <f t="shared" si="171"/>
        <v>7</v>
      </c>
      <c r="F642" s="90">
        <f t="shared" si="172"/>
        <v>7</v>
      </c>
      <c r="G642" s="91"/>
      <c r="H642" s="75"/>
      <c r="I642" s="89">
        <f t="shared" si="173"/>
        <v>8</v>
      </c>
      <c r="J642" s="90">
        <f t="shared" si="174"/>
        <v>8</v>
      </c>
      <c r="K642" s="91">
        <f t="shared" si="175"/>
        <v>8</v>
      </c>
      <c r="L642" s="76"/>
      <c r="N642" s="79">
        <f t="shared" si="177"/>
        <v>52.36</v>
      </c>
      <c r="O642" s="80">
        <f t="shared" si="178"/>
        <v>42</v>
      </c>
      <c r="P642" s="81">
        <f t="shared" si="179"/>
        <v>0</v>
      </c>
      <c r="Q642" s="79">
        <f t="shared" si="180"/>
        <v>59.84</v>
      </c>
      <c r="R642" s="80">
        <f t="shared" si="181"/>
        <v>48</v>
      </c>
      <c r="S642" s="81">
        <f t="shared" si="182"/>
        <v>68</v>
      </c>
      <c r="T642" s="92">
        <f t="shared" si="183"/>
        <v>270.2</v>
      </c>
      <c r="U642" s="93">
        <f t="shared" si="176"/>
        <v>216.16</v>
      </c>
    </row>
    <row r="643" spans="1:21" x14ac:dyDescent="0.25">
      <c r="A643" s="71">
        <f t="shared" si="170"/>
        <v>2024</v>
      </c>
      <c r="B643" s="72" t="str">
        <f t="shared" si="184"/>
        <v>JULHO</v>
      </c>
      <c r="C643" s="73" t="str">
        <f t="shared" si="169"/>
        <v>QUINTA</v>
      </c>
      <c r="D643" s="74">
        <v>45491</v>
      </c>
      <c r="E643" s="89">
        <f t="shared" si="171"/>
        <v>7</v>
      </c>
      <c r="F643" s="90">
        <f t="shared" si="172"/>
        <v>7</v>
      </c>
      <c r="G643" s="91"/>
      <c r="H643" s="75"/>
      <c r="I643" s="89">
        <f t="shared" si="173"/>
        <v>8</v>
      </c>
      <c r="J643" s="90">
        <f t="shared" si="174"/>
        <v>8</v>
      </c>
      <c r="K643" s="91">
        <f t="shared" si="175"/>
        <v>8</v>
      </c>
      <c r="L643" s="76"/>
      <c r="N643" s="79">
        <f t="shared" si="177"/>
        <v>52.36</v>
      </c>
      <c r="O643" s="80">
        <f t="shared" si="178"/>
        <v>42</v>
      </c>
      <c r="P643" s="81">
        <f t="shared" si="179"/>
        <v>0</v>
      </c>
      <c r="Q643" s="79">
        <f t="shared" si="180"/>
        <v>59.84</v>
      </c>
      <c r="R643" s="80">
        <f t="shared" si="181"/>
        <v>48</v>
      </c>
      <c r="S643" s="81">
        <f t="shared" si="182"/>
        <v>68</v>
      </c>
      <c r="T643" s="92">
        <f t="shared" si="183"/>
        <v>270.2</v>
      </c>
      <c r="U643" s="93">
        <f t="shared" si="176"/>
        <v>216.16</v>
      </c>
    </row>
    <row r="644" spans="1:21" x14ac:dyDescent="0.25">
      <c r="A644" s="71">
        <f t="shared" si="170"/>
        <v>2024</v>
      </c>
      <c r="B644" s="72" t="str">
        <f t="shared" si="184"/>
        <v>JULHO</v>
      </c>
      <c r="C644" s="73" t="str">
        <f t="shared" si="169"/>
        <v>SEXTA</v>
      </c>
      <c r="D644" s="74">
        <v>45492</v>
      </c>
      <c r="E644" s="89">
        <f t="shared" si="171"/>
        <v>7</v>
      </c>
      <c r="F644" s="90">
        <f t="shared" si="172"/>
        <v>7</v>
      </c>
      <c r="G644" s="91"/>
      <c r="H644" s="75"/>
      <c r="I644" s="89">
        <f t="shared" si="173"/>
        <v>8</v>
      </c>
      <c r="J644" s="90">
        <f t="shared" si="174"/>
        <v>8</v>
      </c>
      <c r="K644" s="91">
        <f t="shared" si="175"/>
        <v>8</v>
      </c>
      <c r="L644" s="76"/>
      <c r="N644" s="79">
        <f t="shared" si="177"/>
        <v>52.36</v>
      </c>
      <c r="O644" s="80">
        <f t="shared" si="178"/>
        <v>42</v>
      </c>
      <c r="P644" s="81">
        <f t="shared" si="179"/>
        <v>0</v>
      </c>
      <c r="Q644" s="79">
        <f t="shared" si="180"/>
        <v>59.84</v>
      </c>
      <c r="R644" s="80">
        <f t="shared" si="181"/>
        <v>48</v>
      </c>
      <c r="S644" s="81">
        <f t="shared" si="182"/>
        <v>68</v>
      </c>
      <c r="T644" s="92">
        <f t="shared" si="183"/>
        <v>270.2</v>
      </c>
      <c r="U644" s="93">
        <f t="shared" si="176"/>
        <v>216.16</v>
      </c>
    </row>
    <row r="645" spans="1:21" x14ac:dyDescent="0.25">
      <c r="A645" s="71">
        <f t="shared" si="170"/>
        <v>2024</v>
      </c>
      <c r="B645" s="72" t="str">
        <f t="shared" si="184"/>
        <v>JULHO</v>
      </c>
      <c r="C645" s="73" t="str">
        <f t="shared" ref="C645:C708" si="185">VLOOKUP(WEEKDAY(D645),$AE$2:$AF$9,2,0)</f>
        <v>SÁBADO</v>
      </c>
      <c r="D645" s="74">
        <v>45493</v>
      </c>
      <c r="E645" s="89">
        <f t="shared" si="171"/>
        <v>0</v>
      </c>
      <c r="F645" s="90">
        <f t="shared" si="172"/>
        <v>7</v>
      </c>
      <c r="G645" s="91"/>
      <c r="H645" s="75"/>
      <c r="I645" s="89">
        <f t="shared" si="173"/>
        <v>0</v>
      </c>
      <c r="J645" s="90">
        <f t="shared" si="174"/>
        <v>8</v>
      </c>
      <c r="K645" s="91">
        <f t="shared" si="175"/>
        <v>0</v>
      </c>
      <c r="L645" s="76"/>
      <c r="N645" s="79">
        <f t="shared" si="177"/>
        <v>0</v>
      </c>
      <c r="O645" s="80">
        <f t="shared" si="178"/>
        <v>42</v>
      </c>
      <c r="P645" s="81">
        <f t="shared" si="179"/>
        <v>0</v>
      </c>
      <c r="Q645" s="79">
        <f t="shared" si="180"/>
        <v>0</v>
      </c>
      <c r="R645" s="80">
        <f t="shared" si="181"/>
        <v>48</v>
      </c>
      <c r="S645" s="81">
        <f t="shared" si="182"/>
        <v>0</v>
      </c>
      <c r="T645" s="92">
        <f t="shared" si="183"/>
        <v>90</v>
      </c>
      <c r="U645" s="93">
        <f t="shared" si="176"/>
        <v>72</v>
      </c>
    </row>
    <row r="646" spans="1:21" x14ac:dyDescent="0.25">
      <c r="A646" s="71">
        <f t="shared" ref="A646:A709" si="186">YEAR(D646)</f>
        <v>2024</v>
      </c>
      <c r="B646" s="72" t="str">
        <f t="shared" si="184"/>
        <v>JULHO</v>
      </c>
      <c r="C646" s="73" t="str">
        <f t="shared" si="185"/>
        <v>DOMINGO</v>
      </c>
      <c r="D646" s="74">
        <v>45494</v>
      </c>
      <c r="E646" s="89">
        <f t="shared" ref="E646:E709" si="187">IF(WEEKDAY($D646)&lt;2,0,IF(WEEKDAY($D646)&gt;6,0,7))</f>
        <v>0</v>
      </c>
      <c r="F646" s="90">
        <f t="shared" ref="F646:F709" si="188">IF(WEEKDAY($D646)&lt;2,0,IF(WEEKDAY($D646)&gt;7,0,7))</f>
        <v>0</v>
      </c>
      <c r="G646" s="91"/>
      <c r="H646" s="75"/>
      <c r="I646" s="89">
        <f t="shared" si="173"/>
        <v>0</v>
      </c>
      <c r="J646" s="90">
        <f t="shared" si="174"/>
        <v>0</v>
      </c>
      <c r="K646" s="91">
        <f t="shared" si="175"/>
        <v>0</v>
      </c>
      <c r="L646" s="76"/>
      <c r="N646" s="79">
        <f t="shared" si="177"/>
        <v>0</v>
      </c>
      <c r="O646" s="80">
        <f t="shared" si="178"/>
        <v>0</v>
      </c>
      <c r="P646" s="81">
        <f t="shared" si="179"/>
        <v>0</v>
      </c>
      <c r="Q646" s="79">
        <f t="shared" si="180"/>
        <v>0</v>
      </c>
      <c r="R646" s="80">
        <f t="shared" si="181"/>
        <v>0</v>
      </c>
      <c r="S646" s="81">
        <f t="shared" si="182"/>
        <v>0</v>
      </c>
      <c r="T646" s="92">
        <f t="shared" si="183"/>
        <v>0</v>
      </c>
      <c r="U646" s="93">
        <f t="shared" si="176"/>
        <v>0</v>
      </c>
    </row>
    <row r="647" spans="1:21" x14ac:dyDescent="0.25">
      <c r="A647" s="71">
        <f t="shared" si="186"/>
        <v>2024</v>
      </c>
      <c r="B647" s="72" t="str">
        <f t="shared" si="184"/>
        <v>JULHO</v>
      </c>
      <c r="C647" s="73" t="str">
        <f t="shared" si="185"/>
        <v>SEGUNDA</v>
      </c>
      <c r="D647" s="74">
        <v>45495</v>
      </c>
      <c r="E647" s="89">
        <f t="shared" si="187"/>
        <v>7</v>
      </c>
      <c r="F647" s="90">
        <f t="shared" si="188"/>
        <v>7</v>
      </c>
      <c r="G647" s="91"/>
      <c r="H647" s="75"/>
      <c r="I647" s="89">
        <f t="shared" ref="I647:I710" si="189">IF(WEEKDAY($D647)&lt;2,0,IF(WEEKDAY($D647)&gt;6,0,8))</f>
        <v>8</v>
      </c>
      <c r="J647" s="90">
        <f t="shared" ref="J647:J710" si="190">IF(WEEKDAY($D647)&lt;2,0,IF(WEEKDAY($D647)&gt;7,0,8))</f>
        <v>8</v>
      </c>
      <c r="K647" s="91">
        <f t="shared" ref="K647:K710" si="191">IF(WEEKDAY($D647)&lt;2,0,IF(WEEKDAY($D647)&gt;6,0,8))</f>
        <v>8</v>
      </c>
      <c r="L647" s="76"/>
      <c r="N647" s="79">
        <f t="shared" si="177"/>
        <v>52.36</v>
      </c>
      <c r="O647" s="80">
        <f t="shared" si="178"/>
        <v>42</v>
      </c>
      <c r="P647" s="81">
        <f t="shared" si="179"/>
        <v>0</v>
      </c>
      <c r="Q647" s="79">
        <f t="shared" si="180"/>
        <v>59.84</v>
      </c>
      <c r="R647" s="80">
        <f t="shared" si="181"/>
        <v>48</v>
      </c>
      <c r="S647" s="81">
        <f t="shared" si="182"/>
        <v>68</v>
      </c>
      <c r="T647" s="92">
        <f t="shared" si="183"/>
        <v>270.2</v>
      </c>
      <c r="U647" s="93">
        <f t="shared" ref="U647:U710" si="192">T647*0.8</f>
        <v>216.16</v>
      </c>
    </row>
    <row r="648" spans="1:21" x14ac:dyDescent="0.25">
      <c r="A648" s="71">
        <f t="shared" si="186"/>
        <v>2024</v>
      </c>
      <c r="B648" s="72" t="str">
        <f t="shared" si="184"/>
        <v>JULHO</v>
      </c>
      <c r="C648" s="73" t="str">
        <f t="shared" si="185"/>
        <v>TERÇA</v>
      </c>
      <c r="D648" s="74">
        <v>45496</v>
      </c>
      <c r="E648" s="89">
        <f t="shared" si="187"/>
        <v>7</v>
      </c>
      <c r="F648" s="90">
        <f t="shared" si="188"/>
        <v>7</v>
      </c>
      <c r="G648" s="91"/>
      <c r="H648" s="75"/>
      <c r="I648" s="89">
        <f t="shared" si="189"/>
        <v>8</v>
      </c>
      <c r="J648" s="90">
        <f t="shared" si="190"/>
        <v>8</v>
      </c>
      <c r="K648" s="91">
        <f t="shared" si="191"/>
        <v>8</v>
      </c>
      <c r="L648" s="76"/>
      <c r="N648" s="79">
        <f t="shared" si="177"/>
        <v>52.36</v>
      </c>
      <c r="O648" s="80">
        <f t="shared" si="178"/>
        <v>42</v>
      </c>
      <c r="P648" s="81">
        <f t="shared" si="179"/>
        <v>0</v>
      </c>
      <c r="Q648" s="79">
        <f t="shared" si="180"/>
        <v>59.84</v>
      </c>
      <c r="R648" s="80">
        <f t="shared" si="181"/>
        <v>48</v>
      </c>
      <c r="S648" s="81">
        <f t="shared" si="182"/>
        <v>68</v>
      </c>
      <c r="T648" s="92">
        <f t="shared" si="183"/>
        <v>270.2</v>
      </c>
      <c r="U648" s="93">
        <f t="shared" si="192"/>
        <v>216.16</v>
      </c>
    </row>
    <row r="649" spans="1:21" x14ac:dyDescent="0.25">
      <c r="A649" s="71">
        <f t="shared" si="186"/>
        <v>2024</v>
      </c>
      <c r="B649" s="72" t="str">
        <f t="shared" si="184"/>
        <v>JULHO</v>
      </c>
      <c r="C649" s="73" t="str">
        <f t="shared" si="185"/>
        <v>QUARTA</v>
      </c>
      <c r="D649" s="74">
        <v>45497</v>
      </c>
      <c r="E649" s="89">
        <f t="shared" si="187"/>
        <v>7</v>
      </c>
      <c r="F649" s="90">
        <f t="shared" si="188"/>
        <v>7</v>
      </c>
      <c r="G649" s="91"/>
      <c r="H649" s="75"/>
      <c r="I649" s="89">
        <f t="shared" si="189"/>
        <v>8</v>
      </c>
      <c r="J649" s="90">
        <f t="shared" si="190"/>
        <v>8</v>
      </c>
      <c r="K649" s="91">
        <f t="shared" si="191"/>
        <v>8</v>
      </c>
      <c r="L649" s="76"/>
      <c r="N649" s="79">
        <f t="shared" si="177"/>
        <v>52.36</v>
      </c>
      <c r="O649" s="80">
        <f t="shared" si="178"/>
        <v>42</v>
      </c>
      <c r="P649" s="81">
        <f t="shared" si="179"/>
        <v>0</v>
      </c>
      <c r="Q649" s="79">
        <f t="shared" si="180"/>
        <v>59.84</v>
      </c>
      <c r="R649" s="80">
        <f t="shared" si="181"/>
        <v>48</v>
      </c>
      <c r="S649" s="81">
        <f t="shared" si="182"/>
        <v>68</v>
      </c>
      <c r="T649" s="92">
        <f t="shared" si="183"/>
        <v>270.2</v>
      </c>
      <c r="U649" s="93">
        <f t="shared" si="192"/>
        <v>216.16</v>
      </c>
    </row>
    <row r="650" spans="1:21" x14ac:dyDescent="0.25">
      <c r="A650" s="71">
        <f t="shared" si="186"/>
        <v>2024</v>
      </c>
      <c r="B650" s="72" t="str">
        <f t="shared" si="184"/>
        <v>JULHO</v>
      </c>
      <c r="C650" s="73" t="str">
        <f t="shared" si="185"/>
        <v>QUINTA</v>
      </c>
      <c r="D650" s="74">
        <v>45498</v>
      </c>
      <c r="E650" s="89">
        <f t="shared" si="187"/>
        <v>7</v>
      </c>
      <c r="F650" s="90">
        <f t="shared" si="188"/>
        <v>7</v>
      </c>
      <c r="G650" s="91"/>
      <c r="H650" s="75"/>
      <c r="I650" s="89">
        <f t="shared" si="189"/>
        <v>8</v>
      </c>
      <c r="J650" s="90">
        <f t="shared" si="190"/>
        <v>8</v>
      </c>
      <c r="K650" s="91">
        <f t="shared" si="191"/>
        <v>8</v>
      </c>
      <c r="L650" s="76"/>
      <c r="N650" s="79">
        <f t="shared" si="177"/>
        <v>52.36</v>
      </c>
      <c r="O650" s="80">
        <f t="shared" si="178"/>
        <v>42</v>
      </c>
      <c r="P650" s="81">
        <f t="shared" si="179"/>
        <v>0</v>
      </c>
      <c r="Q650" s="79">
        <f t="shared" si="180"/>
        <v>59.84</v>
      </c>
      <c r="R650" s="80">
        <f t="shared" si="181"/>
        <v>48</v>
      </c>
      <c r="S650" s="81">
        <f t="shared" si="182"/>
        <v>68</v>
      </c>
      <c r="T650" s="92">
        <f t="shared" si="183"/>
        <v>270.2</v>
      </c>
      <c r="U650" s="93">
        <f t="shared" si="192"/>
        <v>216.16</v>
      </c>
    </row>
    <row r="651" spans="1:21" x14ac:dyDescent="0.25">
      <c r="A651" s="71">
        <f t="shared" si="186"/>
        <v>2024</v>
      </c>
      <c r="B651" s="72" t="str">
        <f t="shared" si="184"/>
        <v>JULHO</v>
      </c>
      <c r="C651" s="73" t="str">
        <f t="shared" si="185"/>
        <v>SEXTA</v>
      </c>
      <c r="D651" s="74">
        <v>45499</v>
      </c>
      <c r="E651" s="89">
        <f t="shared" si="187"/>
        <v>7</v>
      </c>
      <c r="F651" s="90">
        <f t="shared" si="188"/>
        <v>7</v>
      </c>
      <c r="G651" s="91"/>
      <c r="H651" s="75"/>
      <c r="I651" s="89">
        <f t="shared" si="189"/>
        <v>8</v>
      </c>
      <c r="J651" s="90">
        <f t="shared" si="190"/>
        <v>8</v>
      </c>
      <c r="K651" s="91">
        <f t="shared" si="191"/>
        <v>8</v>
      </c>
      <c r="L651" s="76"/>
      <c r="N651" s="79">
        <f t="shared" si="177"/>
        <v>52.36</v>
      </c>
      <c r="O651" s="80">
        <f t="shared" si="178"/>
        <v>42</v>
      </c>
      <c r="P651" s="81">
        <f t="shared" si="179"/>
        <v>0</v>
      </c>
      <c r="Q651" s="79">
        <f t="shared" si="180"/>
        <v>59.84</v>
      </c>
      <c r="R651" s="80">
        <f t="shared" si="181"/>
        <v>48</v>
      </c>
      <c r="S651" s="81">
        <f t="shared" si="182"/>
        <v>68</v>
      </c>
      <c r="T651" s="92">
        <f t="shared" si="183"/>
        <v>270.2</v>
      </c>
      <c r="U651" s="93">
        <f t="shared" si="192"/>
        <v>216.16</v>
      </c>
    </row>
    <row r="652" spans="1:21" x14ac:dyDescent="0.25">
      <c r="A652" s="71">
        <f t="shared" si="186"/>
        <v>2024</v>
      </c>
      <c r="B652" s="72" t="str">
        <f t="shared" si="184"/>
        <v>JULHO</v>
      </c>
      <c r="C652" s="73" t="str">
        <f t="shared" si="185"/>
        <v>SÁBADO</v>
      </c>
      <c r="D652" s="74">
        <v>45500</v>
      </c>
      <c r="E652" s="89">
        <f t="shared" si="187"/>
        <v>0</v>
      </c>
      <c r="F652" s="90">
        <f t="shared" si="188"/>
        <v>7</v>
      </c>
      <c r="G652" s="91"/>
      <c r="H652" s="75"/>
      <c r="I652" s="89">
        <f t="shared" si="189"/>
        <v>0</v>
      </c>
      <c r="J652" s="90">
        <f t="shared" si="190"/>
        <v>8</v>
      </c>
      <c r="K652" s="91">
        <f t="shared" si="191"/>
        <v>0</v>
      </c>
      <c r="L652" s="76"/>
      <c r="N652" s="79">
        <f t="shared" si="177"/>
        <v>0</v>
      </c>
      <c r="O652" s="80">
        <f t="shared" si="178"/>
        <v>42</v>
      </c>
      <c r="P652" s="81">
        <f t="shared" si="179"/>
        <v>0</v>
      </c>
      <c r="Q652" s="79">
        <f t="shared" si="180"/>
        <v>0</v>
      </c>
      <c r="R652" s="80">
        <f t="shared" si="181"/>
        <v>48</v>
      </c>
      <c r="S652" s="81">
        <f t="shared" si="182"/>
        <v>0</v>
      </c>
      <c r="T652" s="92">
        <f t="shared" si="183"/>
        <v>90</v>
      </c>
      <c r="U652" s="93">
        <f t="shared" si="192"/>
        <v>72</v>
      </c>
    </row>
    <row r="653" spans="1:21" x14ac:dyDescent="0.25">
      <c r="A653" s="71">
        <f t="shared" si="186"/>
        <v>2024</v>
      </c>
      <c r="B653" s="72" t="str">
        <f t="shared" si="184"/>
        <v>JULHO</v>
      </c>
      <c r="C653" s="73" t="str">
        <f t="shared" si="185"/>
        <v>DOMINGO</v>
      </c>
      <c r="D653" s="74">
        <v>45501</v>
      </c>
      <c r="E653" s="89">
        <f t="shared" si="187"/>
        <v>0</v>
      </c>
      <c r="F653" s="90">
        <f t="shared" si="188"/>
        <v>0</v>
      </c>
      <c r="G653" s="91"/>
      <c r="H653" s="75"/>
      <c r="I653" s="89">
        <f t="shared" si="189"/>
        <v>0</v>
      </c>
      <c r="J653" s="90">
        <f t="shared" si="190"/>
        <v>0</v>
      </c>
      <c r="K653" s="91">
        <f t="shared" si="191"/>
        <v>0</v>
      </c>
      <c r="L653" s="76"/>
      <c r="N653" s="79">
        <f t="shared" si="177"/>
        <v>0</v>
      </c>
      <c r="O653" s="80">
        <f t="shared" si="178"/>
        <v>0</v>
      </c>
      <c r="P653" s="81">
        <f t="shared" si="179"/>
        <v>0</v>
      </c>
      <c r="Q653" s="79">
        <f t="shared" si="180"/>
        <v>0</v>
      </c>
      <c r="R653" s="80">
        <f t="shared" si="181"/>
        <v>0</v>
      </c>
      <c r="S653" s="81">
        <f t="shared" si="182"/>
        <v>0</v>
      </c>
      <c r="T653" s="92">
        <f t="shared" si="183"/>
        <v>0</v>
      </c>
      <c r="U653" s="93">
        <f t="shared" si="192"/>
        <v>0</v>
      </c>
    </row>
    <row r="654" spans="1:21" x14ac:dyDescent="0.25">
      <c r="A654" s="71">
        <f t="shared" si="186"/>
        <v>2024</v>
      </c>
      <c r="B654" s="72" t="str">
        <f t="shared" si="184"/>
        <v>JULHO</v>
      </c>
      <c r="C654" s="73" t="str">
        <f t="shared" si="185"/>
        <v>SEGUNDA</v>
      </c>
      <c r="D654" s="74">
        <v>45502</v>
      </c>
      <c r="E654" s="89">
        <f t="shared" si="187"/>
        <v>7</v>
      </c>
      <c r="F654" s="90">
        <f t="shared" si="188"/>
        <v>7</v>
      </c>
      <c r="G654" s="91"/>
      <c r="H654" s="75"/>
      <c r="I654" s="89">
        <f t="shared" si="189"/>
        <v>8</v>
      </c>
      <c r="J654" s="90">
        <f t="shared" si="190"/>
        <v>8</v>
      </c>
      <c r="K654" s="91">
        <f t="shared" si="191"/>
        <v>8</v>
      </c>
      <c r="L654" s="76"/>
      <c r="N654" s="79">
        <f t="shared" si="177"/>
        <v>52.36</v>
      </c>
      <c r="O654" s="80">
        <f t="shared" si="178"/>
        <v>42</v>
      </c>
      <c r="P654" s="81">
        <f t="shared" si="179"/>
        <v>0</v>
      </c>
      <c r="Q654" s="79">
        <f t="shared" si="180"/>
        <v>59.84</v>
      </c>
      <c r="R654" s="80">
        <f t="shared" si="181"/>
        <v>48</v>
      </c>
      <c r="S654" s="81">
        <f t="shared" si="182"/>
        <v>68</v>
      </c>
      <c r="T654" s="92">
        <f t="shared" si="183"/>
        <v>270.2</v>
      </c>
      <c r="U654" s="93">
        <f t="shared" si="192"/>
        <v>216.16</v>
      </c>
    </row>
    <row r="655" spans="1:21" x14ac:dyDescent="0.25">
      <c r="A655" s="71">
        <f t="shared" si="186"/>
        <v>2024</v>
      </c>
      <c r="B655" s="72" t="str">
        <f t="shared" si="184"/>
        <v>JULHO</v>
      </c>
      <c r="C655" s="73" t="str">
        <f t="shared" si="185"/>
        <v>TERÇA</v>
      </c>
      <c r="D655" s="74">
        <v>45503</v>
      </c>
      <c r="E655" s="89">
        <f t="shared" si="187"/>
        <v>7</v>
      </c>
      <c r="F655" s="90">
        <f t="shared" si="188"/>
        <v>7</v>
      </c>
      <c r="G655" s="91"/>
      <c r="H655" s="75"/>
      <c r="I655" s="89">
        <f t="shared" si="189"/>
        <v>8</v>
      </c>
      <c r="J655" s="90">
        <f t="shared" si="190"/>
        <v>8</v>
      </c>
      <c r="K655" s="91">
        <f t="shared" si="191"/>
        <v>8</v>
      </c>
      <c r="L655" s="76"/>
      <c r="N655" s="79">
        <f t="shared" si="177"/>
        <v>52.36</v>
      </c>
      <c r="O655" s="80">
        <f t="shared" si="178"/>
        <v>42</v>
      </c>
      <c r="P655" s="81">
        <f t="shared" si="179"/>
        <v>0</v>
      </c>
      <c r="Q655" s="79">
        <f t="shared" si="180"/>
        <v>59.84</v>
      </c>
      <c r="R655" s="80">
        <f t="shared" si="181"/>
        <v>48</v>
      </c>
      <c r="S655" s="81">
        <f t="shared" si="182"/>
        <v>68</v>
      </c>
      <c r="T655" s="92">
        <f t="shared" si="183"/>
        <v>270.2</v>
      </c>
      <c r="U655" s="93">
        <f t="shared" si="192"/>
        <v>216.16</v>
      </c>
    </row>
    <row r="656" spans="1:21" x14ac:dyDescent="0.25">
      <c r="A656" s="71">
        <f t="shared" si="186"/>
        <v>2024</v>
      </c>
      <c r="B656" s="72" t="str">
        <f t="shared" si="184"/>
        <v>JULHO</v>
      </c>
      <c r="C656" s="73" t="str">
        <f t="shared" si="185"/>
        <v>QUARTA</v>
      </c>
      <c r="D656" s="74">
        <v>45504</v>
      </c>
      <c r="E656" s="89">
        <f t="shared" si="187"/>
        <v>7</v>
      </c>
      <c r="F656" s="90">
        <f t="shared" si="188"/>
        <v>7</v>
      </c>
      <c r="G656" s="91"/>
      <c r="H656" s="75"/>
      <c r="I656" s="89">
        <f t="shared" si="189"/>
        <v>8</v>
      </c>
      <c r="J656" s="90">
        <f t="shared" si="190"/>
        <v>8</v>
      </c>
      <c r="K656" s="91">
        <f t="shared" si="191"/>
        <v>8</v>
      </c>
      <c r="L656" s="76"/>
      <c r="N656" s="79">
        <f t="shared" si="177"/>
        <v>52.36</v>
      </c>
      <c r="O656" s="80">
        <f t="shared" si="178"/>
        <v>42</v>
      </c>
      <c r="P656" s="81">
        <f t="shared" si="179"/>
        <v>0</v>
      </c>
      <c r="Q656" s="79">
        <f t="shared" si="180"/>
        <v>59.84</v>
      </c>
      <c r="R656" s="80">
        <f t="shared" si="181"/>
        <v>48</v>
      </c>
      <c r="S656" s="81">
        <f t="shared" si="182"/>
        <v>68</v>
      </c>
      <c r="T656" s="92">
        <f t="shared" si="183"/>
        <v>270.2</v>
      </c>
      <c r="U656" s="93">
        <f t="shared" si="192"/>
        <v>216.16</v>
      </c>
    </row>
    <row r="657" spans="1:21" x14ac:dyDescent="0.25">
      <c r="A657" s="71">
        <f t="shared" si="186"/>
        <v>2024</v>
      </c>
      <c r="B657" s="72" t="str">
        <f t="shared" si="184"/>
        <v>AGOSTO</v>
      </c>
      <c r="C657" s="73" t="str">
        <f t="shared" si="185"/>
        <v>QUINTA</v>
      </c>
      <c r="D657" s="74">
        <v>45505</v>
      </c>
      <c r="E657" s="89">
        <f t="shared" si="187"/>
        <v>7</v>
      </c>
      <c r="F657" s="90">
        <f t="shared" si="188"/>
        <v>7</v>
      </c>
      <c r="G657" s="91"/>
      <c r="H657" s="75"/>
      <c r="I657" s="89">
        <f t="shared" si="189"/>
        <v>8</v>
      </c>
      <c r="J657" s="90">
        <f t="shared" si="190"/>
        <v>8</v>
      </c>
      <c r="K657" s="91">
        <f t="shared" si="191"/>
        <v>8</v>
      </c>
      <c r="L657" s="76"/>
      <c r="N657" s="79">
        <f t="shared" si="177"/>
        <v>52.36</v>
      </c>
      <c r="O657" s="80">
        <f t="shared" si="178"/>
        <v>42</v>
      </c>
      <c r="P657" s="81">
        <f t="shared" si="179"/>
        <v>0</v>
      </c>
      <c r="Q657" s="79">
        <f t="shared" si="180"/>
        <v>59.84</v>
      </c>
      <c r="R657" s="80">
        <f t="shared" si="181"/>
        <v>48</v>
      </c>
      <c r="S657" s="81">
        <f t="shared" si="182"/>
        <v>68</v>
      </c>
      <c r="T657" s="92">
        <f t="shared" si="183"/>
        <v>270.2</v>
      </c>
      <c r="U657" s="93">
        <f t="shared" si="192"/>
        <v>216.16</v>
      </c>
    </row>
    <row r="658" spans="1:21" x14ac:dyDescent="0.25">
      <c r="A658" s="71">
        <f t="shared" si="186"/>
        <v>2024</v>
      </c>
      <c r="B658" s="72" t="str">
        <f t="shared" si="184"/>
        <v>AGOSTO</v>
      </c>
      <c r="C658" s="73" t="str">
        <f t="shared" si="185"/>
        <v>SEXTA</v>
      </c>
      <c r="D658" s="74">
        <v>45506</v>
      </c>
      <c r="E658" s="89">
        <f t="shared" si="187"/>
        <v>7</v>
      </c>
      <c r="F658" s="90">
        <f t="shared" si="188"/>
        <v>7</v>
      </c>
      <c r="G658" s="91"/>
      <c r="H658" s="75"/>
      <c r="I658" s="89">
        <f t="shared" si="189"/>
        <v>8</v>
      </c>
      <c r="J658" s="90">
        <f t="shared" si="190"/>
        <v>8</v>
      </c>
      <c r="K658" s="91">
        <f t="shared" si="191"/>
        <v>8</v>
      </c>
      <c r="L658" s="76"/>
      <c r="N658" s="79">
        <f t="shared" si="177"/>
        <v>52.36</v>
      </c>
      <c r="O658" s="80">
        <f t="shared" si="178"/>
        <v>42</v>
      </c>
      <c r="P658" s="81">
        <f t="shared" si="179"/>
        <v>0</v>
      </c>
      <c r="Q658" s="79">
        <f t="shared" si="180"/>
        <v>59.84</v>
      </c>
      <c r="R658" s="80">
        <f t="shared" si="181"/>
        <v>48</v>
      </c>
      <c r="S658" s="81">
        <f t="shared" si="182"/>
        <v>68</v>
      </c>
      <c r="T658" s="92">
        <f t="shared" si="183"/>
        <v>270.2</v>
      </c>
      <c r="U658" s="93">
        <f t="shared" si="192"/>
        <v>216.16</v>
      </c>
    </row>
    <row r="659" spans="1:21" x14ac:dyDescent="0.25">
      <c r="A659" s="71">
        <f t="shared" si="186"/>
        <v>2024</v>
      </c>
      <c r="B659" s="72" t="str">
        <f t="shared" si="184"/>
        <v>AGOSTO</v>
      </c>
      <c r="C659" s="73" t="str">
        <f t="shared" si="185"/>
        <v>SÁBADO</v>
      </c>
      <c r="D659" s="74">
        <v>45507</v>
      </c>
      <c r="E659" s="89">
        <f t="shared" si="187"/>
        <v>0</v>
      </c>
      <c r="F659" s="90">
        <f t="shared" si="188"/>
        <v>7</v>
      </c>
      <c r="G659" s="91"/>
      <c r="H659" s="75"/>
      <c r="I659" s="89">
        <f t="shared" si="189"/>
        <v>0</v>
      </c>
      <c r="J659" s="90">
        <f t="shared" si="190"/>
        <v>8</v>
      </c>
      <c r="K659" s="91">
        <f t="shared" si="191"/>
        <v>0</v>
      </c>
      <c r="L659" s="76"/>
      <c r="N659" s="79">
        <f t="shared" si="177"/>
        <v>0</v>
      </c>
      <c r="O659" s="80">
        <f t="shared" si="178"/>
        <v>42</v>
      </c>
      <c r="P659" s="81">
        <f t="shared" si="179"/>
        <v>0</v>
      </c>
      <c r="Q659" s="79">
        <f t="shared" si="180"/>
        <v>0</v>
      </c>
      <c r="R659" s="80">
        <f t="shared" si="181"/>
        <v>48</v>
      </c>
      <c r="S659" s="81">
        <f t="shared" si="182"/>
        <v>0</v>
      </c>
      <c r="T659" s="92">
        <f t="shared" si="183"/>
        <v>90</v>
      </c>
      <c r="U659" s="93">
        <f t="shared" si="192"/>
        <v>72</v>
      </c>
    </row>
    <row r="660" spans="1:21" x14ac:dyDescent="0.25">
      <c r="A660" s="71">
        <f t="shared" si="186"/>
        <v>2024</v>
      </c>
      <c r="B660" s="72" t="str">
        <f t="shared" si="184"/>
        <v>AGOSTO</v>
      </c>
      <c r="C660" s="73" t="str">
        <f t="shared" si="185"/>
        <v>DOMINGO</v>
      </c>
      <c r="D660" s="74">
        <v>45508</v>
      </c>
      <c r="E660" s="89">
        <f t="shared" si="187"/>
        <v>0</v>
      </c>
      <c r="F660" s="90">
        <f t="shared" si="188"/>
        <v>0</v>
      </c>
      <c r="G660" s="91"/>
      <c r="H660" s="75"/>
      <c r="I660" s="89">
        <f t="shared" si="189"/>
        <v>0</v>
      </c>
      <c r="J660" s="90">
        <f t="shared" si="190"/>
        <v>0</v>
      </c>
      <c r="K660" s="91">
        <f t="shared" si="191"/>
        <v>0</v>
      </c>
      <c r="L660" s="76"/>
      <c r="N660" s="79">
        <f t="shared" si="177"/>
        <v>0</v>
      </c>
      <c r="O660" s="80">
        <f t="shared" si="178"/>
        <v>0</v>
      </c>
      <c r="P660" s="81">
        <f t="shared" si="179"/>
        <v>0</v>
      </c>
      <c r="Q660" s="79">
        <f t="shared" si="180"/>
        <v>0</v>
      </c>
      <c r="R660" s="80">
        <f t="shared" si="181"/>
        <v>0</v>
      </c>
      <c r="S660" s="81">
        <f t="shared" si="182"/>
        <v>0</v>
      </c>
      <c r="T660" s="92">
        <f t="shared" si="183"/>
        <v>0</v>
      </c>
      <c r="U660" s="93">
        <f t="shared" si="192"/>
        <v>0</v>
      </c>
    </row>
    <row r="661" spans="1:21" x14ac:dyDescent="0.25">
      <c r="A661" s="71">
        <f t="shared" si="186"/>
        <v>2024</v>
      </c>
      <c r="B661" s="72" t="str">
        <f t="shared" si="184"/>
        <v>AGOSTO</v>
      </c>
      <c r="C661" s="73" t="str">
        <f t="shared" si="185"/>
        <v>SEGUNDA</v>
      </c>
      <c r="D661" s="74">
        <v>45509</v>
      </c>
      <c r="E661" s="89">
        <f t="shared" si="187"/>
        <v>7</v>
      </c>
      <c r="F661" s="90">
        <f t="shared" si="188"/>
        <v>7</v>
      </c>
      <c r="G661" s="91"/>
      <c r="H661" s="75"/>
      <c r="I661" s="89">
        <f t="shared" si="189"/>
        <v>8</v>
      </c>
      <c r="J661" s="90">
        <f t="shared" si="190"/>
        <v>8</v>
      </c>
      <c r="K661" s="91">
        <f t="shared" si="191"/>
        <v>8</v>
      </c>
      <c r="L661" s="76"/>
      <c r="N661" s="79">
        <f t="shared" si="177"/>
        <v>52.36</v>
      </c>
      <c r="O661" s="80">
        <f t="shared" si="178"/>
        <v>42</v>
      </c>
      <c r="P661" s="81">
        <f t="shared" si="179"/>
        <v>0</v>
      </c>
      <c r="Q661" s="79">
        <f t="shared" si="180"/>
        <v>59.84</v>
      </c>
      <c r="R661" s="80">
        <f t="shared" si="181"/>
        <v>48</v>
      </c>
      <c r="S661" s="81">
        <f t="shared" si="182"/>
        <v>68</v>
      </c>
      <c r="T661" s="92">
        <f t="shared" si="183"/>
        <v>270.2</v>
      </c>
      <c r="U661" s="93">
        <f t="shared" si="192"/>
        <v>216.16</v>
      </c>
    </row>
    <row r="662" spans="1:21" x14ac:dyDescent="0.25">
      <c r="A662" s="71">
        <f t="shared" si="186"/>
        <v>2024</v>
      </c>
      <c r="B662" s="72" t="str">
        <f t="shared" si="184"/>
        <v>AGOSTO</v>
      </c>
      <c r="C662" s="73" t="str">
        <f t="shared" si="185"/>
        <v>TERÇA</v>
      </c>
      <c r="D662" s="74">
        <v>45510</v>
      </c>
      <c r="E662" s="89">
        <f t="shared" si="187"/>
        <v>7</v>
      </c>
      <c r="F662" s="90">
        <f t="shared" si="188"/>
        <v>7</v>
      </c>
      <c r="G662" s="91"/>
      <c r="H662" s="75"/>
      <c r="I662" s="89">
        <f t="shared" si="189"/>
        <v>8</v>
      </c>
      <c r="J662" s="90">
        <f t="shared" si="190"/>
        <v>8</v>
      </c>
      <c r="K662" s="91">
        <f t="shared" si="191"/>
        <v>8</v>
      </c>
      <c r="L662" s="76"/>
      <c r="N662" s="79">
        <f t="shared" si="177"/>
        <v>52.36</v>
      </c>
      <c r="O662" s="80">
        <f t="shared" si="178"/>
        <v>42</v>
      </c>
      <c r="P662" s="81">
        <f t="shared" si="179"/>
        <v>0</v>
      </c>
      <c r="Q662" s="79">
        <f t="shared" si="180"/>
        <v>59.84</v>
      </c>
      <c r="R662" s="80">
        <f t="shared" si="181"/>
        <v>48</v>
      </c>
      <c r="S662" s="81">
        <f t="shared" si="182"/>
        <v>68</v>
      </c>
      <c r="T662" s="92">
        <f t="shared" si="183"/>
        <v>270.2</v>
      </c>
      <c r="U662" s="93">
        <f t="shared" si="192"/>
        <v>216.16</v>
      </c>
    </row>
    <row r="663" spans="1:21" x14ac:dyDescent="0.25">
      <c r="A663" s="71">
        <f t="shared" si="186"/>
        <v>2024</v>
      </c>
      <c r="B663" s="72" t="str">
        <f t="shared" si="184"/>
        <v>AGOSTO</v>
      </c>
      <c r="C663" s="73" t="str">
        <f t="shared" si="185"/>
        <v>QUARTA</v>
      </c>
      <c r="D663" s="74">
        <v>45511</v>
      </c>
      <c r="E663" s="89">
        <f t="shared" si="187"/>
        <v>7</v>
      </c>
      <c r="F663" s="90">
        <f t="shared" si="188"/>
        <v>7</v>
      </c>
      <c r="G663" s="91"/>
      <c r="H663" s="75"/>
      <c r="I663" s="89">
        <f t="shared" si="189"/>
        <v>8</v>
      </c>
      <c r="J663" s="90">
        <f t="shared" si="190"/>
        <v>8</v>
      </c>
      <c r="K663" s="91">
        <f t="shared" si="191"/>
        <v>8</v>
      </c>
      <c r="L663" s="76"/>
      <c r="N663" s="79">
        <f t="shared" si="177"/>
        <v>52.36</v>
      </c>
      <c r="O663" s="80">
        <f t="shared" si="178"/>
        <v>42</v>
      </c>
      <c r="P663" s="81">
        <f t="shared" si="179"/>
        <v>0</v>
      </c>
      <c r="Q663" s="79">
        <f t="shared" si="180"/>
        <v>59.84</v>
      </c>
      <c r="R663" s="80">
        <f t="shared" si="181"/>
        <v>48</v>
      </c>
      <c r="S663" s="81">
        <f t="shared" si="182"/>
        <v>68</v>
      </c>
      <c r="T663" s="92">
        <f t="shared" si="183"/>
        <v>270.2</v>
      </c>
      <c r="U663" s="93">
        <f t="shared" si="192"/>
        <v>216.16</v>
      </c>
    </row>
    <row r="664" spans="1:21" x14ac:dyDescent="0.25">
      <c r="A664" s="71">
        <f t="shared" si="186"/>
        <v>2024</v>
      </c>
      <c r="B664" s="72" t="str">
        <f t="shared" si="184"/>
        <v>AGOSTO</v>
      </c>
      <c r="C664" s="73" t="str">
        <f t="shared" si="185"/>
        <v>QUINTA</v>
      </c>
      <c r="D664" s="74">
        <v>45512</v>
      </c>
      <c r="E664" s="89">
        <f t="shared" si="187"/>
        <v>7</v>
      </c>
      <c r="F664" s="90">
        <f t="shared" si="188"/>
        <v>7</v>
      </c>
      <c r="G664" s="91"/>
      <c r="H664" s="75"/>
      <c r="I664" s="89">
        <f t="shared" si="189"/>
        <v>8</v>
      </c>
      <c r="J664" s="90">
        <f t="shared" si="190"/>
        <v>8</v>
      </c>
      <c r="K664" s="91">
        <f t="shared" si="191"/>
        <v>8</v>
      </c>
      <c r="L664" s="76"/>
      <c r="N664" s="79">
        <f t="shared" si="177"/>
        <v>52.36</v>
      </c>
      <c r="O664" s="80">
        <f t="shared" si="178"/>
        <v>42</v>
      </c>
      <c r="P664" s="81">
        <f t="shared" si="179"/>
        <v>0</v>
      </c>
      <c r="Q664" s="79">
        <f t="shared" si="180"/>
        <v>59.84</v>
      </c>
      <c r="R664" s="80">
        <f t="shared" si="181"/>
        <v>48</v>
      </c>
      <c r="S664" s="81">
        <f t="shared" si="182"/>
        <v>68</v>
      </c>
      <c r="T664" s="92">
        <f t="shared" si="183"/>
        <v>270.2</v>
      </c>
      <c r="U664" s="93">
        <f t="shared" si="192"/>
        <v>216.16</v>
      </c>
    </row>
    <row r="665" spans="1:21" x14ac:dyDescent="0.25">
      <c r="A665" s="71">
        <f t="shared" si="186"/>
        <v>2024</v>
      </c>
      <c r="B665" s="72" t="str">
        <f t="shared" si="184"/>
        <v>AGOSTO</v>
      </c>
      <c r="C665" s="73" t="str">
        <f t="shared" si="185"/>
        <v>SEXTA</v>
      </c>
      <c r="D665" s="74">
        <v>45513</v>
      </c>
      <c r="E665" s="89">
        <f t="shared" si="187"/>
        <v>7</v>
      </c>
      <c r="F665" s="90">
        <f t="shared" si="188"/>
        <v>7</v>
      </c>
      <c r="G665" s="91"/>
      <c r="H665" s="75"/>
      <c r="I665" s="89">
        <f t="shared" si="189"/>
        <v>8</v>
      </c>
      <c r="J665" s="90">
        <f t="shared" si="190"/>
        <v>8</v>
      </c>
      <c r="K665" s="91">
        <f t="shared" si="191"/>
        <v>8</v>
      </c>
      <c r="L665" s="76"/>
      <c r="N665" s="79">
        <f t="shared" si="177"/>
        <v>52.36</v>
      </c>
      <c r="O665" s="80">
        <f t="shared" si="178"/>
        <v>42</v>
      </c>
      <c r="P665" s="81">
        <f t="shared" si="179"/>
        <v>0</v>
      </c>
      <c r="Q665" s="79">
        <f t="shared" si="180"/>
        <v>59.84</v>
      </c>
      <c r="R665" s="80">
        <f t="shared" si="181"/>
        <v>48</v>
      </c>
      <c r="S665" s="81">
        <f t="shared" si="182"/>
        <v>68</v>
      </c>
      <c r="T665" s="92">
        <f t="shared" si="183"/>
        <v>270.2</v>
      </c>
      <c r="U665" s="93">
        <f t="shared" si="192"/>
        <v>216.16</v>
      </c>
    </row>
    <row r="666" spans="1:21" x14ac:dyDescent="0.25">
      <c r="A666" s="71">
        <f t="shared" si="186"/>
        <v>2024</v>
      </c>
      <c r="B666" s="72" t="str">
        <f t="shared" si="184"/>
        <v>AGOSTO</v>
      </c>
      <c r="C666" s="73" t="str">
        <f t="shared" si="185"/>
        <v>SÁBADO</v>
      </c>
      <c r="D666" s="74">
        <v>45514</v>
      </c>
      <c r="E666" s="89">
        <f t="shared" si="187"/>
        <v>0</v>
      </c>
      <c r="F666" s="90">
        <f t="shared" si="188"/>
        <v>7</v>
      </c>
      <c r="G666" s="91"/>
      <c r="H666" s="75"/>
      <c r="I666" s="89">
        <f t="shared" si="189"/>
        <v>0</v>
      </c>
      <c r="J666" s="90">
        <f t="shared" si="190"/>
        <v>8</v>
      </c>
      <c r="K666" s="91">
        <f t="shared" si="191"/>
        <v>0</v>
      </c>
      <c r="L666" s="76"/>
      <c r="N666" s="79">
        <f t="shared" si="177"/>
        <v>0</v>
      </c>
      <c r="O666" s="80">
        <f t="shared" si="178"/>
        <v>42</v>
      </c>
      <c r="P666" s="81">
        <f t="shared" si="179"/>
        <v>0</v>
      </c>
      <c r="Q666" s="79">
        <f t="shared" si="180"/>
        <v>0</v>
      </c>
      <c r="R666" s="80">
        <f t="shared" si="181"/>
        <v>48</v>
      </c>
      <c r="S666" s="81">
        <f t="shared" si="182"/>
        <v>0</v>
      </c>
      <c r="T666" s="92">
        <f t="shared" si="183"/>
        <v>90</v>
      </c>
      <c r="U666" s="93">
        <f t="shared" si="192"/>
        <v>72</v>
      </c>
    </row>
    <row r="667" spans="1:21" x14ac:dyDescent="0.25">
      <c r="A667" s="71">
        <f t="shared" si="186"/>
        <v>2024</v>
      </c>
      <c r="B667" s="72" t="str">
        <f t="shared" si="184"/>
        <v>AGOSTO</v>
      </c>
      <c r="C667" s="73" t="str">
        <f t="shared" si="185"/>
        <v>DOMINGO</v>
      </c>
      <c r="D667" s="74">
        <v>45515</v>
      </c>
      <c r="E667" s="89">
        <f t="shared" si="187"/>
        <v>0</v>
      </c>
      <c r="F667" s="90">
        <f t="shared" si="188"/>
        <v>0</v>
      </c>
      <c r="G667" s="91"/>
      <c r="H667" s="75"/>
      <c r="I667" s="89">
        <f t="shared" si="189"/>
        <v>0</v>
      </c>
      <c r="J667" s="90">
        <f t="shared" si="190"/>
        <v>0</v>
      </c>
      <c r="K667" s="91">
        <f t="shared" si="191"/>
        <v>0</v>
      </c>
      <c r="L667" s="76"/>
      <c r="N667" s="79">
        <f t="shared" si="177"/>
        <v>0</v>
      </c>
      <c r="O667" s="80">
        <f t="shared" si="178"/>
        <v>0</v>
      </c>
      <c r="P667" s="81">
        <f t="shared" si="179"/>
        <v>0</v>
      </c>
      <c r="Q667" s="79">
        <f t="shared" si="180"/>
        <v>0</v>
      </c>
      <c r="R667" s="80">
        <f t="shared" si="181"/>
        <v>0</v>
      </c>
      <c r="S667" s="81">
        <f t="shared" si="182"/>
        <v>0</v>
      </c>
      <c r="T667" s="92">
        <f t="shared" si="183"/>
        <v>0</v>
      </c>
      <c r="U667" s="93">
        <f t="shared" si="192"/>
        <v>0</v>
      </c>
    </row>
    <row r="668" spans="1:21" x14ac:dyDescent="0.25">
      <c r="A668" s="71">
        <f t="shared" si="186"/>
        <v>2024</v>
      </c>
      <c r="B668" s="72" t="str">
        <f t="shared" si="184"/>
        <v>AGOSTO</v>
      </c>
      <c r="C668" s="73" t="str">
        <f t="shared" si="185"/>
        <v>SEGUNDA</v>
      </c>
      <c r="D668" s="74">
        <v>45516</v>
      </c>
      <c r="E668" s="89">
        <f t="shared" si="187"/>
        <v>7</v>
      </c>
      <c r="F668" s="90">
        <f t="shared" si="188"/>
        <v>7</v>
      </c>
      <c r="G668" s="91"/>
      <c r="H668" s="75"/>
      <c r="I668" s="89">
        <f t="shared" si="189"/>
        <v>8</v>
      </c>
      <c r="J668" s="90">
        <f t="shared" si="190"/>
        <v>8</v>
      </c>
      <c r="K668" s="91">
        <f t="shared" si="191"/>
        <v>8</v>
      </c>
      <c r="L668" s="76"/>
      <c r="N668" s="79">
        <f t="shared" ref="N668:N718" si="193">E668*7.48</f>
        <v>52.36</v>
      </c>
      <c r="O668" s="80">
        <f t="shared" ref="O668:O718" si="194">F668*6</f>
        <v>42</v>
      </c>
      <c r="P668" s="81">
        <f t="shared" ref="P668:P718" si="195">G668*8.5</f>
        <v>0</v>
      </c>
      <c r="Q668" s="79">
        <f t="shared" ref="Q668:Q718" si="196">I668*7.48</f>
        <v>59.84</v>
      </c>
      <c r="R668" s="80">
        <f t="shared" ref="R668:R718" si="197">J668*6</f>
        <v>48</v>
      </c>
      <c r="S668" s="81">
        <f t="shared" ref="S668:S718" si="198">K668*8.5</f>
        <v>68</v>
      </c>
      <c r="T668" s="92">
        <f t="shared" ref="T668:T718" si="199">SUM(N668:S668)</f>
        <v>270.2</v>
      </c>
      <c r="U668" s="93">
        <f t="shared" si="192"/>
        <v>216.16</v>
      </c>
    </row>
    <row r="669" spans="1:21" x14ac:dyDescent="0.25">
      <c r="A669" s="71">
        <f t="shared" si="186"/>
        <v>2024</v>
      </c>
      <c r="B669" s="72" t="str">
        <f t="shared" si="184"/>
        <v>AGOSTO</v>
      </c>
      <c r="C669" s="73" t="str">
        <f t="shared" si="185"/>
        <v>TERÇA</v>
      </c>
      <c r="D669" s="74">
        <v>45517</v>
      </c>
      <c r="E669" s="89">
        <f t="shared" si="187"/>
        <v>7</v>
      </c>
      <c r="F669" s="90">
        <f t="shared" si="188"/>
        <v>7</v>
      </c>
      <c r="G669" s="91"/>
      <c r="H669" s="75"/>
      <c r="I669" s="89">
        <f t="shared" si="189"/>
        <v>8</v>
      </c>
      <c r="J669" s="90">
        <f t="shared" si="190"/>
        <v>8</v>
      </c>
      <c r="K669" s="91">
        <f t="shared" si="191"/>
        <v>8</v>
      </c>
      <c r="L669" s="76"/>
      <c r="N669" s="79">
        <f t="shared" si="193"/>
        <v>52.36</v>
      </c>
      <c r="O669" s="80">
        <f t="shared" si="194"/>
        <v>42</v>
      </c>
      <c r="P669" s="81">
        <f t="shared" si="195"/>
        <v>0</v>
      </c>
      <c r="Q669" s="79">
        <f t="shared" si="196"/>
        <v>59.84</v>
      </c>
      <c r="R669" s="80">
        <f t="shared" si="197"/>
        <v>48</v>
      </c>
      <c r="S669" s="81">
        <f t="shared" si="198"/>
        <v>68</v>
      </c>
      <c r="T669" s="92">
        <f t="shared" si="199"/>
        <v>270.2</v>
      </c>
      <c r="U669" s="93">
        <f t="shared" si="192"/>
        <v>216.16</v>
      </c>
    </row>
    <row r="670" spans="1:21" x14ac:dyDescent="0.25">
      <c r="A670" s="71">
        <f t="shared" si="186"/>
        <v>2024</v>
      </c>
      <c r="B670" s="72" t="str">
        <f t="shared" si="184"/>
        <v>AGOSTO</v>
      </c>
      <c r="C670" s="73" t="str">
        <f t="shared" si="185"/>
        <v>QUARTA</v>
      </c>
      <c r="D670" s="74">
        <v>45518</v>
      </c>
      <c r="E670" s="89">
        <f t="shared" si="187"/>
        <v>7</v>
      </c>
      <c r="F670" s="90">
        <f t="shared" si="188"/>
        <v>7</v>
      </c>
      <c r="G670" s="91"/>
      <c r="H670" s="75"/>
      <c r="I670" s="89">
        <f t="shared" si="189"/>
        <v>8</v>
      </c>
      <c r="J670" s="90">
        <f t="shared" si="190"/>
        <v>8</v>
      </c>
      <c r="K670" s="91">
        <f t="shared" si="191"/>
        <v>8</v>
      </c>
      <c r="L670" s="76"/>
      <c r="N670" s="79">
        <f t="shared" si="193"/>
        <v>52.36</v>
      </c>
      <c r="O670" s="80">
        <f t="shared" si="194"/>
        <v>42</v>
      </c>
      <c r="P670" s="81">
        <f t="shared" si="195"/>
        <v>0</v>
      </c>
      <c r="Q670" s="79">
        <f t="shared" si="196"/>
        <v>59.84</v>
      </c>
      <c r="R670" s="80">
        <f t="shared" si="197"/>
        <v>48</v>
      </c>
      <c r="S670" s="81">
        <f t="shared" si="198"/>
        <v>68</v>
      </c>
      <c r="T670" s="92">
        <f t="shared" si="199"/>
        <v>270.2</v>
      </c>
      <c r="U670" s="93">
        <f t="shared" si="192"/>
        <v>216.16</v>
      </c>
    </row>
    <row r="671" spans="1:21" x14ac:dyDescent="0.25">
      <c r="A671" s="71">
        <f t="shared" si="186"/>
        <v>2024</v>
      </c>
      <c r="B671" s="72" t="str">
        <f t="shared" si="184"/>
        <v>AGOSTO</v>
      </c>
      <c r="C671" s="73" t="str">
        <f t="shared" si="185"/>
        <v>QUINTA</v>
      </c>
      <c r="D671" s="74">
        <v>45519</v>
      </c>
      <c r="E671" s="89">
        <f t="shared" si="187"/>
        <v>7</v>
      </c>
      <c r="F671" s="90">
        <f t="shared" si="188"/>
        <v>7</v>
      </c>
      <c r="G671" s="91"/>
      <c r="H671" s="75"/>
      <c r="I671" s="89">
        <f t="shared" si="189"/>
        <v>8</v>
      </c>
      <c r="J671" s="90">
        <f t="shared" si="190"/>
        <v>8</v>
      </c>
      <c r="K671" s="91">
        <f t="shared" si="191"/>
        <v>8</v>
      </c>
      <c r="L671" s="76"/>
      <c r="N671" s="79">
        <f t="shared" si="193"/>
        <v>52.36</v>
      </c>
      <c r="O671" s="80">
        <f t="shared" si="194"/>
        <v>42</v>
      </c>
      <c r="P671" s="81">
        <f t="shared" si="195"/>
        <v>0</v>
      </c>
      <c r="Q671" s="79">
        <f t="shared" si="196"/>
        <v>59.84</v>
      </c>
      <c r="R671" s="80">
        <f t="shared" si="197"/>
        <v>48</v>
      </c>
      <c r="S671" s="81">
        <f t="shared" si="198"/>
        <v>68</v>
      </c>
      <c r="T671" s="92">
        <f t="shared" si="199"/>
        <v>270.2</v>
      </c>
      <c r="U671" s="93">
        <f t="shared" si="192"/>
        <v>216.16</v>
      </c>
    </row>
    <row r="672" spans="1:21" x14ac:dyDescent="0.25">
      <c r="A672" s="71">
        <f t="shared" si="186"/>
        <v>2024</v>
      </c>
      <c r="B672" s="72" t="str">
        <f t="shared" si="184"/>
        <v>AGOSTO</v>
      </c>
      <c r="C672" s="73" t="str">
        <f t="shared" si="185"/>
        <v>SEXTA</v>
      </c>
      <c r="D672" s="74">
        <v>45520</v>
      </c>
      <c r="E672" s="89">
        <f t="shared" si="187"/>
        <v>7</v>
      </c>
      <c r="F672" s="90">
        <f t="shared" si="188"/>
        <v>7</v>
      </c>
      <c r="G672" s="91"/>
      <c r="H672" s="75"/>
      <c r="I672" s="89">
        <f t="shared" si="189"/>
        <v>8</v>
      </c>
      <c r="J672" s="90">
        <f t="shared" si="190"/>
        <v>8</v>
      </c>
      <c r="K672" s="91">
        <f t="shared" si="191"/>
        <v>8</v>
      </c>
      <c r="L672" s="76"/>
      <c r="N672" s="79">
        <f t="shared" si="193"/>
        <v>52.36</v>
      </c>
      <c r="O672" s="80">
        <f t="shared" si="194"/>
        <v>42</v>
      </c>
      <c r="P672" s="81">
        <f t="shared" si="195"/>
        <v>0</v>
      </c>
      <c r="Q672" s="79">
        <f t="shared" si="196"/>
        <v>59.84</v>
      </c>
      <c r="R672" s="80">
        <f t="shared" si="197"/>
        <v>48</v>
      </c>
      <c r="S672" s="81">
        <f t="shared" si="198"/>
        <v>68</v>
      </c>
      <c r="T672" s="92">
        <f t="shared" si="199"/>
        <v>270.2</v>
      </c>
      <c r="U672" s="93">
        <f t="shared" si="192"/>
        <v>216.16</v>
      </c>
    </row>
    <row r="673" spans="1:21" x14ac:dyDescent="0.25">
      <c r="A673" s="71">
        <f t="shared" si="186"/>
        <v>2024</v>
      </c>
      <c r="B673" s="72" t="str">
        <f t="shared" si="184"/>
        <v>AGOSTO</v>
      </c>
      <c r="C673" s="73" t="str">
        <f t="shared" si="185"/>
        <v>SÁBADO</v>
      </c>
      <c r="D673" s="74">
        <v>45521</v>
      </c>
      <c r="E673" s="89">
        <f t="shared" si="187"/>
        <v>0</v>
      </c>
      <c r="F673" s="90">
        <f t="shared" si="188"/>
        <v>7</v>
      </c>
      <c r="G673" s="91"/>
      <c r="H673" s="75"/>
      <c r="I673" s="89">
        <f t="shared" si="189"/>
        <v>0</v>
      </c>
      <c r="J673" s="90">
        <f t="shared" si="190"/>
        <v>8</v>
      </c>
      <c r="K673" s="91">
        <f t="shared" si="191"/>
        <v>0</v>
      </c>
      <c r="L673" s="76"/>
      <c r="N673" s="79">
        <f t="shared" si="193"/>
        <v>0</v>
      </c>
      <c r="O673" s="80">
        <f t="shared" si="194"/>
        <v>42</v>
      </c>
      <c r="P673" s="81">
        <f t="shared" si="195"/>
        <v>0</v>
      </c>
      <c r="Q673" s="79">
        <f t="shared" si="196"/>
        <v>0</v>
      </c>
      <c r="R673" s="80">
        <f t="shared" si="197"/>
        <v>48</v>
      </c>
      <c r="S673" s="81">
        <f t="shared" si="198"/>
        <v>0</v>
      </c>
      <c r="T673" s="92">
        <f t="shared" si="199"/>
        <v>90</v>
      </c>
      <c r="U673" s="93">
        <f t="shared" si="192"/>
        <v>72</v>
      </c>
    </row>
    <row r="674" spans="1:21" x14ac:dyDescent="0.25">
      <c r="A674" s="71">
        <f t="shared" si="186"/>
        <v>2024</v>
      </c>
      <c r="B674" s="72" t="str">
        <f t="shared" si="184"/>
        <v>AGOSTO</v>
      </c>
      <c r="C674" s="73" t="str">
        <f t="shared" si="185"/>
        <v>DOMINGO</v>
      </c>
      <c r="D674" s="74">
        <v>45522</v>
      </c>
      <c r="E674" s="89">
        <f t="shared" si="187"/>
        <v>0</v>
      </c>
      <c r="F674" s="90">
        <f t="shared" si="188"/>
        <v>0</v>
      </c>
      <c r="G674" s="91"/>
      <c r="H674" s="75"/>
      <c r="I674" s="89">
        <f t="shared" si="189"/>
        <v>0</v>
      </c>
      <c r="J674" s="90">
        <f t="shared" si="190"/>
        <v>0</v>
      </c>
      <c r="K674" s="91">
        <f t="shared" si="191"/>
        <v>0</v>
      </c>
      <c r="L674" s="76"/>
      <c r="N674" s="79">
        <f t="shared" si="193"/>
        <v>0</v>
      </c>
      <c r="O674" s="80">
        <f t="shared" si="194"/>
        <v>0</v>
      </c>
      <c r="P674" s="81">
        <f t="shared" si="195"/>
        <v>0</v>
      </c>
      <c r="Q674" s="79">
        <f t="shared" si="196"/>
        <v>0</v>
      </c>
      <c r="R674" s="80">
        <f t="shared" si="197"/>
        <v>0</v>
      </c>
      <c r="S674" s="81">
        <f t="shared" si="198"/>
        <v>0</v>
      </c>
      <c r="T674" s="92">
        <f t="shared" si="199"/>
        <v>0</v>
      </c>
      <c r="U674" s="93">
        <f t="shared" si="192"/>
        <v>0</v>
      </c>
    </row>
    <row r="675" spans="1:21" x14ac:dyDescent="0.25">
      <c r="A675" s="71">
        <f t="shared" si="186"/>
        <v>2024</v>
      </c>
      <c r="B675" s="72" t="str">
        <f t="shared" si="184"/>
        <v>AGOSTO</v>
      </c>
      <c r="C675" s="73" t="str">
        <f t="shared" si="185"/>
        <v>SEGUNDA</v>
      </c>
      <c r="D675" s="74">
        <v>45523</v>
      </c>
      <c r="E675" s="89">
        <f t="shared" si="187"/>
        <v>7</v>
      </c>
      <c r="F675" s="90">
        <f t="shared" si="188"/>
        <v>7</v>
      </c>
      <c r="G675" s="91"/>
      <c r="H675" s="75"/>
      <c r="I675" s="89">
        <f t="shared" si="189"/>
        <v>8</v>
      </c>
      <c r="J675" s="90">
        <f t="shared" si="190"/>
        <v>8</v>
      </c>
      <c r="K675" s="91">
        <f t="shared" si="191"/>
        <v>8</v>
      </c>
      <c r="L675" s="76"/>
      <c r="N675" s="79">
        <f t="shared" si="193"/>
        <v>52.36</v>
      </c>
      <c r="O675" s="80">
        <f t="shared" si="194"/>
        <v>42</v>
      </c>
      <c r="P675" s="81">
        <f t="shared" si="195"/>
        <v>0</v>
      </c>
      <c r="Q675" s="79">
        <f t="shared" si="196"/>
        <v>59.84</v>
      </c>
      <c r="R675" s="80">
        <f t="shared" si="197"/>
        <v>48</v>
      </c>
      <c r="S675" s="81">
        <f t="shared" si="198"/>
        <v>68</v>
      </c>
      <c r="T675" s="92">
        <f t="shared" si="199"/>
        <v>270.2</v>
      </c>
      <c r="U675" s="93">
        <f t="shared" si="192"/>
        <v>216.16</v>
      </c>
    </row>
    <row r="676" spans="1:21" x14ac:dyDescent="0.25">
      <c r="A676" s="71">
        <f t="shared" si="186"/>
        <v>2024</v>
      </c>
      <c r="B676" s="72" t="str">
        <f t="shared" si="184"/>
        <v>AGOSTO</v>
      </c>
      <c r="C676" s="73" t="str">
        <f t="shared" si="185"/>
        <v>TERÇA</v>
      </c>
      <c r="D676" s="74">
        <v>45524</v>
      </c>
      <c r="E676" s="89">
        <f t="shared" si="187"/>
        <v>7</v>
      </c>
      <c r="F676" s="90">
        <f t="shared" si="188"/>
        <v>7</v>
      </c>
      <c r="G676" s="91"/>
      <c r="H676" s="75"/>
      <c r="I676" s="89">
        <f t="shared" si="189"/>
        <v>8</v>
      </c>
      <c r="J676" s="90">
        <f t="shared" si="190"/>
        <v>8</v>
      </c>
      <c r="K676" s="91">
        <f t="shared" si="191"/>
        <v>8</v>
      </c>
      <c r="L676" s="76"/>
      <c r="N676" s="79">
        <f t="shared" si="193"/>
        <v>52.36</v>
      </c>
      <c r="O676" s="80">
        <f t="shared" si="194"/>
        <v>42</v>
      </c>
      <c r="P676" s="81">
        <f t="shared" si="195"/>
        <v>0</v>
      </c>
      <c r="Q676" s="79">
        <f t="shared" si="196"/>
        <v>59.84</v>
      </c>
      <c r="R676" s="80">
        <f t="shared" si="197"/>
        <v>48</v>
      </c>
      <c r="S676" s="81">
        <f t="shared" si="198"/>
        <v>68</v>
      </c>
      <c r="T676" s="92">
        <f t="shared" si="199"/>
        <v>270.2</v>
      </c>
      <c r="U676" s="93">
        <f t="shared" si="192"/>
        <v>216.16</v>
      </c>
    </row>
    <row r="677" spans="1:21" x14ac:dyDescent="0.25">
      <c r="A677" s="71">
        <f t="shared" si="186"/>
        <v>2024</v>
      </c>
      <c r="B677" s="72" t="str">
        <f t="shared" si="184"/>
        <v>AGOSTO</v>
      </c>
      <c r="C677" s="73" t="str">
        <f t="shared" si="185"/>
        <v>QUARTA</v>
      </c>
      <c r="D677" s="74">
        <v>45525</v>
      </c>
      <c r="E677" s="89">
        <f t="shared" si="187"/>
        <v>7</v>
      </c>
      <c r="F677" s="90">
        <f t="shared" si="188"/>
        <v>7</v>
      </c>
      <c r="G677" s="91"/>
      <c r="H677" s="75"/>
      <c r="I677" s="89">
        <f t="shared" si="189"/>
        <v>8</v>
      </c>
      <c r="J677" s="90">
        <f t="shared" si="190"/>
        <v>8</v>
      </c>
      <c r="K677" s="91">
        <f t="shared" si="191"/>
        <v>8</v>
      </c>
      <c r="L677" s="76"/>
      <c r="N677" s="79">
        <f t="shared" si="193"/>
        <v>52.36</v>
      </c>
      <c r="O677" s="80">
        <f t="shared" si="194"/>
        <v>42</v>
      </c>
      <c r="P677" s="81">
        <f t="shared" si="195"/>
        <v>0</v>
      </c>
      <c r="Q677" s="79">
        <f t="shared" si="196"/>
        <v>59.84</v>
      </c>
      <c r="R677" s="80">
        <f t="shared" si="197"/>
        <v>48</v>
      </c>
      <c r="S677" s="81">
        <f t="shared" si="198"/>
        <v>68</v>
      </c>
      <c r="T677" s="92">
        <f t="shared" si="199"/>
        <v>270.2</v>
      </c>
      <c r="U677" s="93">
        <f t="shared" si="192"/>
        <v>216.16</v>
      </c>
    </row>
    <row r="678" spans="1:21" x14ac:dyDescent="0.25">
      <c r="A678" s="71">
        <f t="shared" si="186"/>
        <v>2024</v>
      </c>
      <c r="B678" s="72" t="str">
        <f t="shared" si="184"/>
        <v>AGOSTO</v>
      </c>
      <c r="C678" s="73" t="str">
        <f t="shared" si="185"/>
        <v>QUINTA</v>
      </c>
      <c r="D678" s="74">
        <v>45526</v>
      </c>
      <c r="E678" s="89">
        <f t="shared" si="187"/>
        <v>7</v>
      </c>
      <c r="F678" s="90">
        <f t="shared" si="188"/>
        <v>7</v>
      </c>
      <c r="G678" s="91"/>
      <c r="H678" s="75"/>
      <c r="I678" s="89">
        <f t="shared" si="189"/>
        <v>8</v>
      </c>
      <c r="J678" s="90">
        <f t="shared" si="190"/>
        <v>8</v>
      </c>
      <c r="K678" s="91">
        <f t="shared" si="191"/>
        <v>8</v>
      </c>
      <c r="L678" s="76"/>
      <c r="N678" s="79">
        <f t="shared" si="193"/>
        <v>52.36</v>
      </c>
      <c r="O678" s="80">
        <f t="shared" si="194"/>
        <v>42</v>
      </c>
      <c r="P678" s="81">
        <f t="shared" si="195"/>
        <v>0</v>
      </c>
      <c r="Q678" s="79">
        <f t="shared" si="196"/>
        <v>59.84</v>
      </c>
      <c r="R678" s="80">
        <f t="shared" si="197"/>
        <v>48</v>
      </c>
      <c r="S678" s="81">
        <f t="shared" si="198"/>
        <v>68</v>
      </c>
      <c r="T678" s="92">
        <f t="shared" si="199"/>
        <v>270.2</v>
      </c>
      <c r="U678" s="93">
        <f t="shared" si="192"/>
        <v>216.16</v>
      </c>
    </row>
    <row r="679" spans="1:21" x14ac:dyDescent="0.25">
      <c r="A679" s="71">
        <f t="shared" si="186"/>
        <v>2024</v>
      </c>
      <c r="B679" s="72" t="str">
        <f t="shared" si="184"/>
        <v>AGOSTO</v>
      </c>
      <c r="C679" s="73" t="str">
        <f t="shared" si="185"/>
        <v>SEXTA</v>
      </c>
      <c r="D679" s="74">
        <v>45527</v>
      </c>
      <c r="E679" s="89">
        <f t="shared" si="187"/>
        <v>7</v>
      </c>
      <c r="F679" s="90">
        <f t="shared" si="188"/>
        <v>7</v>
      </c>
      <c r="G679" s="91"/>
      <c r="H679" s="75"/>
      <c r="I679" s="89">
        <f t="shared" si="189"/>
        <v>8</v>
      </c>
      <c r="J679" s="90">
        <f t="shared" si="190"/>
        <v>8</v>
      </c>
      <c r="K679" s="91">
        <f t="shared" si="191"/>
        <v>8</v>
      </c>
      <c r="L679" s="76"/>
      <c r="N679" s="79">
        <f t="shared" si="193"/>
        <v>52.36</v>
      </c>
      <c r="O679" s="80">
        <f t="shared" si="194"/>
        <v>42</v>
      </c>
      <c r="P679" s="81">
        <f t="shared" si="195"/>
        <v>0</v>
      </c>
      <c r="Q679" s="79">
        <f t="shared" si="196"/>
        <v>59.84</v>
      </c>
      <c r="R679" s="80">
        <f t="shared" si="197"/>
        <v>48</v>
      </c>
      <c r="S679" s="81">
        <f t="shared" si="198"/>
        <v>68</v>
      </c>
      <c r="T679" s="92">
        <f t="shared" si="199"/>
        <v>270.2</v>
      </c>
      <c r="U679" s="93">
        <f t="shared" si="192"/>
        <v>216.16</v>
      </c>
    </row>
    <row r="680" spans="1:21" x14ac:dyDescent="0.25">
      <c r="A680" s="71">
        <f t="shared" si="186"/>
        <v>2024</v>
      </c>
      <c r="B680" s="72" t="str">
        <f t="shared" si="184"/>
        <v>AGOSTO</v>
      </c>
      <c r="C680" s="73" t="str">
        <f t="shared" si="185"/>
        <v>SÁBADO</v>
      </c>
      <c r="D680" s="74">
        <v>45528</v>
      </c>
      <c r="E680" s="89">
        <f t="shared" si="187"/>
        <v>0</v>
      </c>
      <c r="F680" s="90">
        <f t="shared" si="188"/>
        <v>7</v>
      </c>
      <c r="G680" s="91"/>
      <c r="H680" s="75"/>
      <c r="I680" s="89">
        <f t="shared" si="189"/>
        <v>0</v>
      </c>
      <c r="J680" s="90">
        <f t="shared" si="190"/>
        <v>8</v>
      </c>
      <c r="K680" s="91">
        <f t="shared" si="191"/>
        <v>0</v>
      </c>
      <c r="L680" s="76"/>
      <c r="N680" s="79">
        <f t="shared" si="193"/>
        <v>0</v>
      </c>
      <c r="O680" s="80">
        <f t="shared" si="194"/>
        <v>42</v>
      </c>
      <c r="P680" s="81">
        <f t="shared" si="195"/>
        <v>0</v>
      </c>
      <c r="Q680" s="79">
        <f t="shared" si="196"/>
        <v>0</v>
      </c>
      <c r="R680" s="80">
        <f t="shared" si="197"/>
        <v>48</v>
      </c>
      <c r="S680" s="81">
        <f t="shared" si="198"/>
        <v>0</v>
      </c>
      <c r="T680" s="92">
        <f t="shared" si="199"/>
        <v>90</v>
      </c>
      <c r="U680" s="93">
        <f t="shared" si="192"/>
        <v>72</v>
      </c>
    </row>
    <row r="681" spans="1:21" x14ac:dyDescent="0.25">
      <c r="A681" s="71">
        <f t="shared" si="186"/>
        <v>2024</v>
      </c>
      <c r="B681" s="72" t="str">
        <f t="shared" si="184"/>
        <v>AGOSTO</v>
      </c>
      <c r="C681" s="73" t="str">
        <f t="shared" si="185"/>
        <v>DOMINGO</v>
      </c>
      <c r="D681" s="74">
        <v>45529</v>
      </c>
      <c r="E681" s="89">
        <f t="shared" si="187"/>
        <v>0</v>
      </c>
      <c r="F681" s="90">
        <f t="shared" si="188"/>
        <v>0</v>
      </c>
      <c r="G681" s="91"/>
      <c r="H681" s="75"/>
      <c r="I681" s="89">
        <f t="shared" si="189"/>
        <v>0</v>
      </c>
      <c r="J681" s="90">
        <f t="shared" si="190"/>
        <v>0</v>
      </c>
      <c r="K681" s="91">
        <f t="shared" si="191"/>
        <v>0</v>
      </c>
      <c r="L681" s="76"/>
      <c r="N681" s="79">
        <f t="shared" si="193"/>
        <v>0</v>
      </c>
      <c r="O681" s="80">
        <f t="shared" si="194"/>
        <v>0</v>
      </c>
      <c r="P681" s="81">
        <f t="shared" si="195"/>
        <v>0</v>
      </c>
      <c r="Q681" s="79">
        <f t="shared" si="196"/>
        <v>0</v>
      </c>
      <c r="R681" s="80">
        <f t="shared" si="197"/>
        <v>0</v>
      </c>
      <c r="S681" s="81">
        <f t="shared" si="198"/>
        <v>0</v>
      </c>
      <c r="T681" s="92">
        <f t="shared" si="199"/>
        <v>0</v>
      </c>
      <c r="U681" s="93">
        <f t="shared" si="192"/>
        <v>0</v>
      </c>
    </row>
    <row r="682" spans="1:21" x14ac:dyDescent="0.25">
      <c r="A682" s="71">
        <f t="shared" si="186"/>
        <v>2024</v>
      </c>
      <c r="B682" s="72" t="str">
        <f t="shared" si="184"/>
        <v>AGOSTO</v>
      </c>
      <c r="C682" s="73" t="str">
        <f t="shared" si="185"/>
        <v>SEGUNDA</v>
      </c>
      <c r="D682" s="74">
        <v>45530</v>
      </c>
      <c r="E682" s="89">
        <f t="shared" si="187"/>
        <v>7</v>
      </c>
      <c r="F682" s="90">
        <f t="shared" si="188"/>
        <v>7</v>
      </c>
      <c r="G682" s="91"/>
      <c r="H682" s="75"/>
      <c r="I682" s="89">
        <f t="shared" si="189"/>
        <v>8</v>
      </c>
      <c r="J682" s="90">
        <f t="shared" si="190"/>
        <v>8</v>
      </c>
      <c r="K682" s="91">
        <f t="shared" si="191"/>
        <v>8</v>
      </c>
      <c r="L682" s="76"/>
      <c r="N682" s="79">
        <f t="shared" si="193"/>
        <v>52.36</v>
      </c>
      <c r="O682" s="80">
        <f t="shared" si="194"/>
        <v>42</v>
      </c>
      <c r="P682" s="81">
        <f t="shared" si="195"/>
        <v>0</v>
      </c>
      <c r="Q682" s="79">
        <f t="shared" si="196"/>
        <v>59.84</v>
      </c>
      <c r="R682" s="80">
        <f t="shared" si="197"/>
        <v>48</v>
      </c>
      <c r="S682" s="81">
        <f t="shared" si="198"/>
        <v>68</v>
      </c>
      <c r="T682" s="92">
        <f t="shared" si="199"/>
        <v>270.2</v>
      </c>
      <c r="U682" s="93">
        <f t="shared" si="192"/>
        <v>216.16</v>
      </c>
    </row>
    <row r="683" spans="1:21" x14ac:dyDescent="0.25">
      <c r="A683" s="71">
        <f t="shared" si="186"/>
        <v>2024</v>
      </c>
      <c r="B683" s="72" t="str">
        <f t="shared" si="184"/>
        <v>AGOSTO</v>
      </c>
      <c r="C683" s="73" t="str">
        <f t="shared" si="185"/>
        <v>TERÇA</v>
      </c>
      <c r="D683" s="74">
        <v>45531</v>
      </c>
      <c r="E683" s="89">
        <f t="shared" si="187"/>
        <v>7</v>
      </c>
      <c r="F683" s="90">
        <f t="shared" si="188"/>
        <v>7</v>
      </c>
      <c r="G683" s="91"/>
      <c r="H683" s="75"/>
      <c r="I683" s="89">
        <f t="shared" si="189"/>
        <v>8</v>
      </c>
      <c r="J683" s="90">
        <f t="shared" si="190"/>
        <v>8</v>
      </c>
      <c r="K683" s="91">
        <f t="shared" si="191"/>
        <v>8</v>
      </c>
      <c r="L683" s="76"/>
      <c r="N683" s="79">
        <f t="shared" si="193"/>
        <v>52.36</v>
      </c>
      <c r="O683" s="80">
        <f t="shared" si="194"/>
        <v>42</v>
      </c>
      <c r="P683" s="81">
        <f t="shared" si="195"/>
        <v>0</v>
      </c>
      <c r="Q683" s="79">
        <f t="shared" si="196"/>
        <v>59.84</v>
      </c>
      <c r="R683" s="80">
        <f t="shared" si="197"/>
        <v>48</v>
      </c>
      <c r="S683" s="81">
        <f t="shared" si="198"/>
        <v>68</v>
      </c>
      <c r="T683" s="92">
        <f t="shared" si="199"/>
        <v>270.2</v>
      </c>
      <c r="U683" s="93">
        <f t="shared" si="192"/>
        <v>216.16</v>
      </c>
    </row>
    <row r="684" spans="1:21" x14ac:dyDescent="0.25">
      <c r="A684" s="71">
        <f t="shared" si="186"/>
        <v>2024</v>
      </c>
      <c r="B684" s="72" t="str">
        <f t="shared" si="184"/>
        <v>AGOSTO</v>
      </c>
      <c r="C684" s="73" t="str">
        <f t="shared" si="185"/>
        <v>QUARTA</v>
      </c>
      <c r="D684" s="74">
        <v>45532</v>
      </c>
      <c r="E684" s="89">
        <f t="shared" si="187"/>
        <v>7</v>
      </c>
      <c r="F684" s="90">
        <f t="shared" si="188"/>
        <v>7</v>
      </c>
      <c r="G684" s="91"/>
      <c r="H684" s="75"/>
      <c r="I684" s="89">
        <f t="shared" si="189"/>
        <v>8</v>
      </c>
      <c r="J684" s="90">
        <f t="shared" si="190"/>
        <v>8</v>
      </c>
      <c r="K684" s="91">
        <f t="shared" si="191"/>
        <v>8</v>
      </c>
      <c r="L684" s="76"/>
      <c r="N684" s="79">
        <f t="shared" si="193"/>
        <v>52.36</v>
      </c>
      <c r="O684" s="80">
        <f t="shared" si="194"/>
        <v>42</v>
      </c>
      <c r="P684" s="81">
        <f t="shared" si="195"/>
        <v>0</v>
      </c>
      <c r="Q684" s="79">
        <f t="shared" si="196"/>
        <v>59.84</v>
      </c>
      <c r="R684" s="80">
        <f t="shared" si="197"/>
        <v>48</v>
      </c>
      <c r="S684" s="81">
        <f t="shared" si="198"/>
        <v>68</v>
      </c>
      <c r="T684" s="92">
        <f t="shared" si="199"/>
        <v>270.2</v>
      </c>
      <c r="U684" s="93">
        <f t="shared" si="192"/>
        <v>216.16</v>
      </c>
    </row>
    <row r="685" spans="1:21" x14ac:dyDescent="0.25">
      <c r="A685" s="71">
        <f t="shared" si="186"/>
        <v>2024</v>
      </c>
      <c r="B685" s="72" t="str">
        <f t="shared" si="184"/>
        <v>AGOSTO</v>
      </c>
      <c r="C685" s="73" t="str">
        <f t="shared" si="185"/>
        <v>QUINTA</v>
      </c>
      <c r="D685" s="74">
        <v>45533</v>
      </c>
      <c r="E685" s="89">
        <f t="shared" si="187"/>
        <v>7</v>
      </c>
      <c r="F685" s="90">
        <f t="shared" si="188"/>
        <v>7</v>
      </c>
      <c r="G685" s="91"/>
      <c r="H685" s="75"/>
      <c r="I685" s="89">
        <f t="shared" si="189"/>
        <v>8</v>
      </c>
      <c r="J685" s="90">
        <f t="shared" si="190"/>
        <v>8</v>
      </c>
      <c r="K685" s="91">
        <f t="shared" si="191"/>
        <v>8</v>
      </c>
      <c r="L685" s="76"/>
      <c r="N685" s="79">
        <f t="shared" si="193"/>
        <v>52.36</v>
      </c>
      <c r="O685" s="80">
        <f t="shared" si="194"/>
        <v>42</v>
      </c>
      <c r="P685" s="81">
        <f t="shared" si="195"/>
        <v>0</v>
      </c>
      <c r="Q685" s="79">
        <f t="shared" si="196"/>
        <v>59.84</v>
      </c>
      <c r="R685" s="80">
        <f t="shared" si="197"/>
        <v>48</v>
      </c>
      <c r="S685" s="81">
        <f t="shared" si="198"/>
        <v>68</v>
      </c>
      <c r="T685" s="92">
        <f t="shared" si="199"/>
        <v>270.2</v>
      </c>
      <c r="U685" s="93">
        <f t="shared" si="192"/>
        <v>216.16</v>
      </c>
    </row>
    <row r="686" spans="1:21" x14ac:dyDescent="0.25">
      <c r="A686" s="71">
        <f t="shared" si="186"/>
        <v>2024</v>
      </c>
      <c r="B686" s="72" t="str">
        <f t="shared" si="184"/>
        <v>AGOSTO</v>
      </c>
      <c r="C686" s="73" t="str">
        <f t="shared" si="185"/>
        <v>SEXTA</v>
      </c>
      <c r="D686" s="74">
        <v>45534</v>
      </c>
      <c r="E686" s="89">
        <f t="shared" si="187"/>
        <v>7</v>
      </c>
      <c r="F686" s="90">
        <f t="shared" si="188"/>
        <v>7</v>
      </c>
      <c r="G686" s="91"/>
      <c r="H686" s="75"/>
      <c r="I686" s="89">
        <f t="shared" si="189"/>
        <v>8</v>
      </c>
      <c r="J686" s="90">
        <f t="shared" si="190"/>
        <v>8</v>
      </c>
      <c r="K686" s="91">
        <f t="shared" si="191"/>
        <v>8</v>
      </c>
      <c r="L686" s="76"/>
      <c r="N686" s="79">
        <f t="shared" si="193"/>
        <v>52.36</v>
      </c>
      <c r="O686" s="80">
        <f t="shared" si="194"/>
        <v>42</v>
      </c>
      <c r="P686" s="81">
        <f t="shared" si="195"/>
        <v>0</v>
      </c>
      <c r="Q686" s="79">
        <f t="shared" si="196"/>
        <v>59.84</v>
      </c>
      <c r="R686" s="80">
        <f t="shared" si="197"/>
        <v>48</v>
      </c>
      <c r="S686" s="81">
        <f t="shared" si="198"/>
        <v>68</v>
      </c>
      <c r="T686" s="92">
        <f t="shared" si="199"/>
        <v>270.2</v>
      </c>
      <c r="U686" s="93">
        <f t="shared" si="192"/>
        <v>216.16</v>
      </c>
    </row>
    <row r="687" spans="1:21" x14ac:dyDescent="0.25">
      <c r="A687" s="71">
        <f t="shared" si="186"/>
        <v>2024</v>
      </c>
      <c r="B687" s="72" t="str">
        <f t="shared" si="184"/>
        <v>AGOSTO</v>
      </c>
      <c r="C687" s="73" t="str">
        <f t="shared" si="185"/>
        <v>SÁBADO</v>
      </c>
      <c r="D687" s="74">
        <v>45535</v>
      </c>
      <c r="E687" s="89">
        <f t="shared" si="187"/>
        <v>0</v>
      </c>
      <c r="F687" s="90">
        <f t="shared" si="188"/>
        <v>7</v>
      </c>
      <c r="G687" s="91"/>
      <c r="H687" s="75"/>
      <c r="I687" s="89">
        <f t="shared" si="189"/>
        <v>0</v>
      </c>
      <c r="J687" s="90">
        <f t="shared" si="190"/>
        <v>8</v>
      </c>
      <c r="K687" s="91">
        <f t="shared" si="191"/>
        <v>0</v>
      </c>
      <c r="L687" s="76"/>
      <c r="N687" s="79">
        <f t="shared" si="193"/>
        <v>0</v>
      </c>
      <c r="O687" s="80">
        <f t="shared" si="194"/>
        <v>42</v>
      </c>
      <c r="P687" s="81">
        <f t="shared" si="195"/>
        <v>0</v>
      </c>
      <c r="Q687" s="79">
        <f t="shared" si="196"/>
        <v>0</v>
      </c>
      <c r="R687" s="80">
        <f t="shared" si="197"/>
        <v>48</v>
      </c>
      <c r="S687" s="81">
        <f t="shared" si="198"/>
        <v>0</v>
      </c>
      <c r="T687" s="92">
        <f t="shared" si="199"/>
        <v>90</v>
      </c>
      <c r="U687" s="93">
        <f t="shared" si="192"/>
        <v>72</v>
      </c>
    </row>
    <row r="688" spans="1:21" x14ac:dyDescent="0.25">
      <c r="A688" s="71">
        <f t="shared" si="186"/>
        <v>2024</v>
      </c>
      <c r="B688" s="72" t="str">
        <f t="shared" si="184"/>
        <v>SETEMBRO</v>
      </c>
      <c r="C688" s="73" t="str">
        <f t="shared" si="185"/>
        <v>DOMINGO</v>
      </c>
      <c r="D688" s="74">
        <v>45536</v>
      </c>
      <c r="E688" s="89">
        <f t="shared" si="187"/>
        <v>0</v>
      </c>
      <c r="F688" s="90">
        <f t="shared" si="188"/>
        <v>0</v>
      </c>
      <c r="G688" s="91"/>
      <c r="H688" s="75"/>
      <c r="I688" s="89">
        <f t="shared" si="189"/>
        <v>0</v>
      </c>
      <c r="J688" s="90">
        <f t="shared" si="190"/>
        <v>0</v>
      </c>
      <c r="K688" s="91">
        <f t="shared" si="191"/>
        <v>0</v>
      </c>
      <c r="L688" s="76"/>
      <c r="N688" s="79">
        <f t="shared" si="193"/>
        <v>0</v>
      </c>
      <c r="O688" s="80">
        <f t="shared" si="194"/>
        <v>0</v>
      </c>
      <c r="P688" s="81">
        <f t="shared" si="195"/>
        <v>0</v>
      </c>
      <c r="Q688" s="79">
        <f t="shared" si="196"/>
        <v>0</v>
      </c>
      <c r="R688" s="80">
        <f t="shared" si="197"/>
        <v>0</v>
      </c>
      <c r="S688" s="81">
        <f t="shared" si="198"/>
        <v>0</v>
      </c>
      <c r="T688" s="92">
        <f t="shared" si="199"/>
        <v>0</v>
      </c>
      <c r="U688" s="93">
        <f t="shared" si="192"/>
        <v>0</v>
      </c>
    </row>
    <row r="689" spans="1:21" x14ac:dyDescent="0.25">
      <c r="A689" s="71">
        <f t="shared" si="186"/>
        <v>2024</v>
      </c>
      <c r="B689" s="72" t="str">
        <f t="shared" si="184"/>
        <v>SETEMBRO</v>
      </c>
      <c r="C689" s="73" t="str">
        <f t="shared" si="185"/>
        <v>SEGUNDA</v>
      </c>
      <c r="D689" s="74">
        <v>45537</v>
      </c>
      <c r="E689" s="89">
        <f t="shared" si="187"/>
        <v>7</v>
      </c>
      <c r="F689" s="90">
        <f t="shared" si="188"/>
        <v>7</v>
      </c>
      <c r="G689" s="91"/>
      <c r="H689" s="75"/>
      <c r="I689" s="89">
        <f t="shared" si="189"/>
        <v>8</v>
      </c>
      <c r="J689" s="90">
        <f t="shared" si="190"/>
        <v>8</v>
      </c>
      <c r="K689" s="91">
        <f t="shared" si="191"/>
        <v>8</v>
      </c>
      <c r="L689" s="76"/>
      <c r="N689" s="79">
        <f t="shared" si="193"/>
        <v>52.36</v>
      </c>
      <c r="O689" s="80">
        <f t="shared" si="194"/>
        <v>42</v>
      </c>
      <c r="P689" s="81">
        <f t="shared" si="195"/>
        <v>0</v>
      </c>
      <c r="Q689" s="79">
        <f t="shared" si="196"/>
        <v>59.84</v>
      </c>
      <c r="R689" s="80">
        <f t="shared" si="197"/>
        <v>48</v>
      </c>
      <c r="S689" s="81">
        <f t="shared" si="198"/>
        <v>68</v>
      </c>
      <c r="T689" s="92">
        <f t="shared" si="199"/>
        <v>270.2</v>
      </c>
      <c r="U689" s="93">
        <f t="shared" si="192"/>
        <v>216.16</v>
      </c>
    </row>
    <row r="690" spans="1:21" x14ac:dyDescent="0.25">
      <c r="A690" s="71">
        <f t="shared" si="186"/>
        <v>2024</v>
      </c>
      <c r="B690" s="72" t="str">
        <f t="shared" si="184"/>
        <v>SETEMBRO</v>
      </c>
      <c r="C690" s="73" t="str">
        <f t="shared" si="185"/>
        <v>TERÇA</v>
      </c>
      <c r="D690" s="74">
        <v>45538</v>
      </c>
      <c r="E690" s="89">
        <f t="shared" si="187"/>
        <v>7</v>
      </c>
      <c r="F690" s="90">
        <f t="shared" si="188"/>
        <v>7</v>
      </c>
      <c r="G690" s="91"/>
      <c r="H690" s="75"/>
      <c r="I690" s="89">
        <f t="shared" si="189"/>
        <v>8</v>
      </c>
      <c r="J690" s="90">
        <f t="shared" si="190"/>
        <v>8</v>
      </c>
      <c r="K690" s="91">
        <f t="shared" si="191"/>
        <v>8</v>
      </c>
      <c r="L690" s="76"/>
      <c r="N690" s="79">
        <f t="shared" si="193"/>
        <v>52.36</v>
      </c>
      <c r="O690" s="80">
        <f t="shared" si="194"/>
        <v>42</v>
      </c>
      <c r="P690" s="81">
        <f t="shared" si="195"/>
        <v>0</v>
      </c>
      <c r="Q690" s="79">
        <f t="shared" si="196"/>
        <v>59.84</v>
      </c>
      <c r="R690" s="80">
        <f t="shared" si="197"/>
        <v>48</v>
      </c>
      <c r="S690" s="81">
        <f t="shared" si="198"/>
        <v>68</v>
      </c>
      <c r="T690" s="92">
        <f t="shared" si="199"/>
        <v>270.2</v>
      </c>
      <c r="U690" s="93">
        <f t="shared" si="192"/>
        <v>216.16</v>
      </c>
    </row>
    <row r="691" spans="1:21" x14ac:dyDescent="0.25">
      <c r="A691" s="71">
        <f t="shared" si="186"/>
        <v>2024</v>
      </c>
      <c r="B691" s="72" t="str">
        <f t="shared" si="184"/>
        <v>SETEMBRO</v>
      </c>
      <c r="C691" s="73" t="str">
        <f t="shared" si="185"/>
        <v>QUARTA</v>
      </c>
      <c r="D691" s="74">
        <v>45539</v>
      </c>
      <c r="E691" s="89">
        <f t="shared" si="187"/>
        <v>7</v>
      </c>
      <c r="F691" s="90">
        <f t="shared" si="188"/>
        <v>7</v>
      </c>
      <c r="G691" s="91"/>
      <c r="H691" s="75"/>
      <c r="I691" s="89">
        <f t="shared" si="189"/>
        <v>8</v>
      </c>
      <c r="J691" s="90">
        <f t="shared" si="190"/>
        <v>8</v>
      </c>
      <c r="K691" s="91">
        <f t="shared" si="191"/>
        <v>8</v>
      </c>
      <c r="L691" s="76"/>
      <c r="N691" s="79">
        <f t="shared" si="193"/>
        <v>52.36</v>
      </c>
      <c r="O691" s="80">
        <f t="shared" si="194"/>
        <v>42</v>
      </c>
      <c r="P691" s="81">
        <f t="shared" si="195"/>
        <v>0</v>
      </c>
      <c r="Q691" s="79">
        <f t="shared" si="196"/>
        <v>59.84</v>
      </c>
      <c r="R691" s="80">
        <f t="shared" si="197"/>
        <v>48</v>
      </c>
      <c r="S691" s="81">
        <f t="shared" si="198"/>
        <v>68</v>
      </c>
      <c r="T691" s="92">
        <f t="shared" si="199"/>
        <v>270.2</v>
      </c>
      <c r="U691" s="93">
        <f t="shared" si="192"/>
        <v>216.16</v>
      </c>
    </row>
    <row r="692" spans="1:21" x14ac:dyDescent="0.25">
      <c r="A692" s="71">
        <f t="shared" si="186"/>
        <v>2024</v>
      </c>
      <c r="B692" s="72" t="str">
        <f t="shared" si="184"/>
        <v>SETEMBRO</v>
      </c>
      <c r="C692" s="73" t="str">
        <f t="shared" si="185"/>
        <v>QUINTA</v>
      </c>
      <c r="D692" s="74">
        <v>45540</v>
      </c>
      <c r="E692" s="89">
        <f t="shared" si="187"/>
        <v>7</v>
      </c>
      <c r="F692" s="90">
        <f t="shared" si="188"/>
        <v>7</v>
      </c>
      <c r="G692" s="91"/>
      <c r="H692" s="75"/>
      <c r="I692" s="89">
        <f t="shared" si="189"/>
        <v>8</v>
      </c>
      <c r="J692" s="90">
        <f t="shared" si="190"/>
        <v>8</v>
      </c>
      <c r="K692" s="91">
        <f t="shared" si="191"/>
        <v>8</v>
      </c>
      <c r="L692" s="76"/>
      <c r="N692" s="79">
        <f t="shared" si="193"/>
        <v>52.36</v>
      </c>
      <c r="O692" s="80">
        <f t="shared" si="194"/>
        <v>42</v>
      </c>
      <c r="P692" s="81">
        <f t="shared" si="195"/>
        <v>0</v>
      </c>
      <c r="Q692" s="79">
        <f t="shared" si="196"/>
        <v>59.84</v>
      </c>
      <c r="R692" s="80">
        <f t="shared" si="197"/>
        <v>48</v>
      </c>
      <c r="S692" s="81">
        <f t="shared" si="198"/>
        <v>68</v>
      </c>
      <c r="T692" s="92">
        <f t="shared" si="199"/>
        <v>270.2</v>
      </c>
      <c r="U692" s="93">
        <f t="shared" si="192"/>
        <v>216.16</v>
      </c>
    </row>
    <row r="693" spans="1:21" x14ac:dyDescent="0.25">
      <c r="A693" s="71">
        <f t="shared" si="186"/>
        <v>2024</v>
      </c>
      <c r="B693" s="72" t="str">
        <f t="shared" si="184"/>
        <v>SETEMBRO</v>
      </c>
      <c r="C693" s="73" t="str">
        <f t="shared" si="185"/>
        <v>SEXTA</v>
      </c>
      <c r="D693" s="74">
        <v>45541</v>
      </c>
      <c r="E693" s="89">
        <f t="shared" si="187"/>
        <v>7</v>
      </c>
      <c r="F693" s="90">
        <f t="shared" si="188"/>
        <v>7</v>
      </c>
      <c r="G693" s="91"/>
      <c r="H693" s="75"/>
      <c r="I693" s="89">
        <f t="shared" si="189"/>
        <v>8</v>
      </c>
      <c r="J693" s="90">
        <f t="shared" si="190"/>
        <v>8</v>
      </c>
      <c r="K693" s="91">
        <f t="shared" si="191"/>
        <v>8</v>
      </c>
      <c r="L693" s="76"/>
      <c r="N693" s="79">
        <f t="shared" si="193"/>
        <v>52.36</v>
      </c>
      <c r="O693" s="80">
        <f t="shared" si="194"/>
        <v>42</v>
      </c>
      <c r="P693" s="81">
        <f t="shared" si="195"/>
        <v>0</v>
      </c>
      <c r="Q693" s="79">
        <f t="shared" si="196"/>
        <v>59.84</v>
      </c>
      <c r="R693" s="80">
        <f t="shared" si="197"/>
        <v>48</v>
      </c>
      <c r="S693" s="81">
        <f t="shared" si="198"/>
        <v>68</v>
      </c>
      <c r="T693" s="92">
        <f t="shared" si="199"/>
        <v>270.2</v>
      </c>
      <c r="U693" s="93">
        <f t="shared" si="192"/>
        <v>216.16</v>
      </c>
    </row>
    <row r="694" spans="1:21" x14ac:dyDescent="0.25">
      <c r="A694" s="71">
        <f t="shared" si="186"/>
        <v>2024</v>
      </c>
      <c r="B694" s="72" t="str">
        <f t="shared" si="184"/>
        <v>SETEMBRO</v>
      </c>
      <c r="C694" s="73" t="str">
        <f t="shared" si="185"/>
        <v>SÁBADO</v>
      </c>
      <c r="D694" s="74">
        <v>45542</v>
      </c>
      <c r="E694" s="89">
        <f t="shared" si="187"/>
        <v>0</v>
      </c>
      <c r="F694" s="90">
        <f t="shared" si="188"/>
        <v>7</v>
      </c>
      <c r="G694" s="91"/>
      <c r="H694" s="75"/>
      <c r="I694" s="89">
        <f t="shared" si="189"/>
        <v>0</v>
      </c>
      <c r="J694" s="90">
        <f t="shared" si="190"/>
        <v>8</v>
      </c>
      <c r="K694" s="91">
        <f t="shared" si="191"/>
        <v>0</v>
      </c>
      <c r="L694" s="76"/>
      <c r="N694" s="79">
        <f t="shared" si="193"/>
        <v>0</v>
      </c>
      <c r="O694" s="80">
        <f t="shared" si="194"/>
        <v>42</v>
      </c>
      <c r="P694" s="81">
        <f t="shared" si="195"/>
        <v>0</v>
      </c>
      <c r="Q694" s="79">
        <f t="shared" si="196"/>
        <v>0</v>
      </c>
      <c r="R694" s="80">
        <f t="shared" si="197"/>
        <v>48</v>
      </c>
      <c r="S694" s="81">
        <f t="shared" si="198"/>
        <v>0</v>
      </c>
      <c r="T694" s="92">
        <f t="shared" si="199"/>
        <v>90</v>
      </c>
      <c r="U694" s="93">
        <f t="shared" si="192"/>
        <v>72</v>
      </c>
    </row>
    <row r="695" spans="1:21" x14ac:dyDescent="0.25">
      <c r="A695" s="71">
        <f t="shared" si="186"/>
        <v>2024</v>
      </c>
      <c r="B695" s="72" t="str">
        <f t="shared" si="184"/>
        <v>SETEMBRO</v>
      </c>
      <c r="C695" s="73" t="str">
        <f t="shared" si="185"/>
        <v>DOMINGO</v>
      </c>
      <c r="D695" s="74">
        <v>45543</v>
      </c>
      <c r="E695" s="89">
        <f t="shared" si="187"/>
        <v>0</v>
      </c>
      <c r="F695" s="90">
        <f t="shared" si="188"/>
        <v>0</v>
      </c>
      <c r="G695" s="91"/>
      <c r="H695" s="75"/>
      <c r="I695" s="89">
        <f t="shared" si="189"/>
        <v>0</v>
      </c>
      <c r="J695" s="90">
        <f t="shared" si="190"/>
        <v>0</v>
      </c>
      <c r="K695" s="91">
        <f t="shared" si="191"/>
        <v>0</v>
      </c>
      <c r="L695" s="76"/>
      <c r="N695" s="79">
        <f t="shared" si="193"/>
        <v>0</v>
      </c>
      <c r="O695" s="80">
        <f t="shared" si="194"/>
        <v>0</v>
      </c>
      <c r="P695" s="81">
        <f t="shared" si="195"/>
        <v>0</v>
      </c>
      <c r="Q695" s="79">
        <f t="shared" si="196"/>
        <v>0</v>
      </c>
      <c r="R695" s="80">
        <f t="shared" si="197"/>
        <v>0</v>
      </c>
      <c r="S695" s="81">
        <f t="shared" si="198"/>
        <v>0</v>
      </c>
      <c r="T695" s="92">
        <f t="shared" si="199"/>
        <v>0</v>
      </c>
      <c r="U695" s="93">
        <f t="shared" si="192"/>
        <v>0</v>
      </c>
    </row>
    <row r="696" spans="1:21" x14ac:dyDescent="0.25">
      <c r="A696" s="71">
        <f t="shared" si="186"/>
        <v>2024</v>
      </c>
      <c r="B696" s="72" t="str">
        <f t="shared" si="184"/>
        <v>SETEMBRO</v>
      </c>
      <c r="C696" s="73" t="str">
        <f t="shared" si="185"/>
        <v>SEGUNDA</v>
      </c>
      <c r="D696" s="74">
        <v>45544</v>
      </c>
      <c r="E696" s="89">
        <f t="shared" si="187"/>
        <v>7</v>
      </c>
      <c r="F696" s="90">
        <f t="shared" si="188"/>
        <v>7</v>
      </c>
      <c r="G696" s="91"/>
      <c r="H696" s="75"/>
      <c r="I696" s="89">
        <f t="shared" si="189"/>
        <v>8</v>
      </c>
      <c r="J696" s="90">
        <f t="shared" si="190"/>
        <v>8</v>
      </c>
      <c r="K696" s="91">
        <f t="shared" si="191"/>
        <v>8</v>
      </c>
      <c r="L696" s="76"/>
      <c r="N696" s="79">
        <f t="shared" si="193"/>
        <v>52.36</v>
      </c>
      <c r="O696" s="80">
        <f t="shared" si="194"/>
        <v>42</v>
      </c>
      <c r="P696" s="81">
        <f t="shared" si="195"/>
        <v>0</v>
      </c>
      <c r="Q696" s="79">
        <f t="shared" si="196"/>
        <v>59.84</v>
      </c>
      <c r="R696" s="80">
        <f t="shared" si="197"/>
        <v>48</v>
      </c>
      <c r="S696" s="81">
        <f t="shared" si="198"/>
        <v>68</v>
      </c>
      <c r="T696" s="92">
        <f t="shared" si="199"/>
        <v>270.2</v>
      </c>
      <c r="U696" s="93">
        <f t="shared" si="192"/>
        <v>216.16</v>
      </c>
    </row>
    <row r="697" spans="1:21" x14ac:dyDescent="0.25">
      <c r="A697" s="71">
        <f t="shared" si="186"/>
        <v>2024</v>
      </c>
      <c r="B697" s="72" t="str">
        <f t="shared" si="184"/>
        <v>SETEMBRO</v>
      </c>
      <c r="C697" s="73" t="str">
        <f t="shared" si="185"/>
        <v>TERÇA</v>
      </c>
      <c r="D697" s="74">
        <v>45545</v>
      </c>
      <c r="E697" s="89">
        <f t="shared" si="187"/>
        <v>7</v>
      </c>
      <c r="F697" s="90">
        <f t="shared" si="188"/>
        <v>7</v>
      </c>
      <c r="G697" s="91"/>
      <c r="H697" s="75"/>
      <c r="I697" s="89">
        <f t="shared" si="189"/>
        <v>8</v>
      </c>
      <c r="J697" s="90">
        <f t="shared" si="190"/>
        <v>8</v>
      </c>
      <c r="K697" s="91">
        <f t="shared" si="191"/>
        <v>8</v>
      </c>
      <c r="L697" s="76"/>
      <c r="N697" s="79">
        <f t="shared" si="193"/>
        <v>52.36</v>
      </c>
      <c r="O697" s="80">
        <f t="shared" si="194"/>
        <v>42</v>
      </c>
      <c r="P697" s="81">
        <f t="shared" si="195"/>
        <v>0</v>
      </c>
      <c r="Q697" s="79">
        <f t="shared" si="196"/>
        <v>59.84</v>
      </c>
      <c r="R697" s="80">
        <f t="shared" si="197"/>
        <v>48</v>
      </c>
      <c r="S697" s="81">
        <f t="shared" si="198"/>
        <v>68</v>
      </c>
      <c r="T697" s="92">
        <f t="shared" si="199"/>
        <v>270.2</v>
      </c>
      <c r="U697" s="93">
        <f t="shared" si="192"/>
        <v>216.16</v>
      </c>
    </row>
    <row r="698" spans="1:21" x14ac:dyDescent="0.25">
      <c r="A698" s="71">
        <f t="shared" si="186"/>
        <v>2024</v>
      </c>
      <c r="B698" s="72" t="str">
        <f t="shared" si="184"/>
        <v>SETEMBRO</v>
      </c>
      <c r="C698" s="73" t="str">
        <f t="shared" si="185"/>
        <v>QUARTA</v>
      </c>
      <c r="D698" s="74">
        <v>45546</v>
      </c>
      <c r="E698" s="89">
        <f t="shared" si="187"/>
        <v>7</v>
      </c>
      <c r="F698" s="90">
        <f t="shared" si="188"/>
        <v>7</v>
      </c>
      <c r="G698" s="91"/>
      <c r="H698" s="75"/>
      <c r="I698" s="89">
        <f t="shared" si="189"/>
        <v>8</v>
      </c>
      <c r="J698" s="90">
        <f t="shared" si="190"/>
        <v>8</v>
      </c>
      <c r="K698" s="91">
        <f t="shared" si="191"/>
        <v>8</v>
      </c>
      <c r="L698" s="76"/>
      <c r="N698" s="79">
        <f t="shared" si="193"/>
        <v>52.36</v>
      </c>
      <c r="O698" s="80">
        <f t="shared" si="194"/>
        <v>42</v>
      </c>
      <c r="P698" s="81">
        <f t="shared" si="195"/>
        <v>0</v>
      </c>
      <c r="Q698" s="79">
        <f t="shared" si="196"/>
        <v>59.84</v>
      </c>
      <c r="R698" s="80">
        <f t="shared" si="197"/>
        <v>48</v>
      </c>
      <c r="S698" s="81">
        <f t="shared" si="198"/>
        <v>68</v>
      </c>
      <c r="T698" s="92">
        <f t="shared" si="199"/>
        <v>270.2</v>
      </c>
      <c r="U698" s="93">
        <f t="shared" si="192"/>
        <v>216.16</v>
      </c>
    </row>
    <row r="699" spans="1:21" x14ac:dyDescent="0.25">
      <c r="A699" s="71">
        <f t="shared" si="186"/>
        <v>2024</v>
      </c>
      <c r="B699" s="72" t="str">
        <f t="shared" si="184"/>
        <v>SETEMBRO</v>
      </c>
      <c r="C699" s="73" t="str">
        <f t="shared" si="185"/>
        <v>QUINTA</v>
      </c>
      <c r="D699" s="74">
        <v>45547</v>
      </c>
      <c r="E699" s="89">
        <f t="shared" si="187"/>
        <v>7</v>
      </c>
      <c r="F699" s="90">
        <f t="shared" si="188"/>
        <v>7</v>
      </c>
      <c r="G699" s="91"/>
      <c r="H699" s="75"/>
      <c r="I699" s="89">
        <f t="shared" si="189"/>
        <v>8</v>
      </c>
      <c r="J699" s="90">
        <f t="shared" si="190"/>
        <v>8</v>
      </c>
      <c r="K699" s="91">
        <f t="shared" si="191"/>
        <v>8</v>
      </c>
      <c r="L699" s="76"/>
      <c r="N699" s="79">
        <f t="shared" si="193"/>
        <v>52.36</v>
      </c>
      <c r="O699" s="80">
        <f t="shared" si="194"/>
        <v>42</v>
      </c>
      <c r="P699" s="81">
        <f t="shared" si="195"/>
        <v>0</v>
      </c>
      <c r="Q699" s="79">
        <f t="shared" si="196"/>
        <v>59.84</v>
      </c>
      <c r="R699" s="80">
        <f t="shared" si="197"/>
        <v>48</v>
      </c>
      <c r="S699" s="81">
        <f t="shared" si="198"/>
        <v>68</v>
      </c>
      <c r="T699" s="92">
        <f t="shared" si="199"/>
        <v>270.2</v>
      </c>
      <c r="U699" s="93">
        <f t="shared" si="192"/>
        <v>216.16</v>
      </c>
    </row>
    <row r="700" spans="1:21" x14ac:dyDescent="0.25">
      <c r="A700" s="71">
        <f t="shared" si="186"/>
        <v>2024</v>
      </c>
      <c r="B700" s="72" t="str">
        <f t="shared" si="184"/>
        <v>SETEMBRO</v>
      </c>
      <c r="C700" s="73" t="str">
        <f t="shared" si="185"/>
        <v>SEXTA</v>
      </c>
      <c r="D700" s="74">
        <v>45548</v>
      </c>
      <c r="E700" s="89">
        <f t="shared" si="187"/>
        <v>7</v>
      </c>
      <c r="F700" s="90">
        <f t="shared" si="188"/>
        <v>7</v>
      </c>
      <c r="G700" s="91"/>
      <c r="H700" s="75"/>
      <c r="I700" s="89">
        <f t="shared" si="189"/>
        <v>8</v>
      </c>
      <c r="J700" s="90">
        <f t="shared" si="190"/>
        <v>8</v>
      </c>
      <c r="K700" s="91">
        <f t="shared" si="191"/>
        <v>8</v>
      </c>
      <c r="L700" s="76"/>
      <c r="N700" s="79">
        <f t="shared" si="193"/>
        <v>52.36</v>
      </c>
      <c r="O700" s="80">
        <f t="shared" si="194"/>
        <v>42</v>
      </c>
      <c r="P700" s="81">
        <f t="shared" si="195"/>
        <v>0</v>
      </c>
      <c r="Q700" s="79">
        <f t="shared" si="196"/>
        <v>59.84</v>
      </c>
      <c r="R700" s="80">
        <f t="shared" si="197"/>
        <v>48</v>
      </c>
      <c r="S700" s="81">
        <f t="shared" si="198"/>
        <v>68</v>
      </c>
      <c r="T700" s="92">
        <f t="shared" si="199"/>
        <v>270.2</v>
      </c>
      <c r="U700" s="93">
        <f t="shared" si="192"/>
        <v>216.16</v>
      </c>
    </row>
    <row r="701" spans="1:21" x14ac:dyDescent="0.25">
      <c r="A701" s="71">
        <f t="shared" si="186"/>
        <v>2024</v>
      </c>
      <c r="B701" s="72" t="str">
        <f t="shared" si="184"/>
        <v>SETEMBRO</v>
      </c>
      <c r="C701" s="73" t="str">
        <f t="shared" si="185"/>
        <v>SÁBADO</v>
      </c>
      <c r="D701" s="74">
        <v>45549</v>
      </c>
      <c r="E701" s="89">
        <f t="shared" si="187"/>
        <v>0</v>
      </c>
      <c r="F701" s="90">
        <f t="shared" si="188"/>
        <v>7</v>
      </c>
      <c r="G701" s="91"/>
      <c r="H701" s="75"/>
      <c r="I701" s="89">
        <f t="shared" si="189"/>
        <v>0</v>
      </c>
      <c r="J701" s="90">
        <f t="shared" si="190"/>
        <v>8</v>
      </c>
      <c r="K701" s="91">
        <f t="shared" si="191"/>
        <v>0</v>
      </c>
      <c r="L701" s="76"/>
      <c r="N701" s="79">
        <f t="shared" si="193"/>
        <v>0</v>
      </c>
      <c r="O701" s="80">
        <f t="shared" si="194"/>
        <v>42</v>
      </c>
      <c r="P701" s="81">
        <f t="shared" si="195"/>
        <v>0</v>
      </c>
      <c r="Q701" s="79">
        <f t="shared" si="196"/>
        <v>0</v>
      </c>
      <c r="R701" s="80">
        <f t="shared" si="197"/>
        <v>48</v>
      </c>
      <c r="S701" s="81">
        <f t="shared" si="198"/>
        <v>0</v>
      </c>
      <c r="T701" s="92">
        <f t="shared" si="199"/>
        <v>90</v>
      </c>
      <c r="U701" s="93">
        <f t="shared" si="192"/>
        <v>72</v>
      </c>
    </row>
    <row r="702" spans="1:21" x14ac:dyDescent="0.25">
      <c r="A702" s="71">
        <f t="shared" si="186"/>
        <v>2024</v>
      </c>
      <c r="B702" s="72" t="str">
        <f t="shared" si="184"/>
        <v>SETEMBRO</v>
      </c>
      <c r="C702" s="73" t="str">
        <f t="shared" si="185"/>
        <v>DOMINGO</v>
      </c>
      <c r="D702" s="74">
        <v>45550</v>
      </c>
      <c r="E702" s="89">
        <f t="shared" si="187"/>
        <v>0</v>
      </c>
      <c r="F702" s="90">
        <f t="shared" si="188"/>
        <v>0</v>
      </c>
      <c r="G702" s="91"/>
      <c r="H702" s="75"/>
      <c r="I702" s="89">
        <f t="shared" si="189"/>
        <v>0</v>
      </c>
      <c r="J702" s="90">
        <f t="shared" si="190"/>
        <v>0</v>
      </c>
      <c r="K702" s="91">
        <f t="shared" si="191"/>
        <v>0</v>
      </c>
      <c r="L702" s="76"/>
      <c r="N702" s="79">
        <f t="shared" si="193"/>
        <v>0</v>
      </c>
      <c r="O702" s="80">
        <f t="shared" si="194"/>
        <v>0</v>
      </c>
      <c r="P702" s="81">
        <f t="shared" si="195"/>
        <v>0</v>
      </c>
      <c r="Q702" s="79">
        <f t="shared" si="196"/>
        <v>0</v>
      </c>
      <c r="R702" s="80">
        <f t="shared" si="197"/>
        <v>0</v>
      </c>
      <c r="S702" s="81">
        <f t="shared" si="198"/>
        <v>0</v>
      </c>
      <c r="T702" s="92">
        <f t="shared" si="199"/>
        <v>0</v>
      </c>
      <c r="U702" s="93">
        <f t="shared" si="192"/>
        <v>0</v>
      </c>
    </row>
    <row r="703" spans="1:21" x14ac:dyDescent="0.25">
      <c r="A703" s="71">
        <f t="shared" si="186"/>
        <v>2024</v>
      </c>
      <c r="B703" s="72" t="str">
        <f t="shared" ref="B703:B718" si="200">VLOOKUP(MONTH(D703),$AG$2:$AH$14,2,0)</f>
        <v>SETEMBRO</v>
      </c>
      <c r="C703" s="73" t="str">
        <f t="shared" si="185"/>
        <v>SEGUNDA</v>
      </c>
      <c r="D703" s="74">
        <v>45551</v>
      </c>
      <c r="E703" s="89">
        <f t="shared" si="187"/>
        <v>7</v>
      </c>
      <c r="F703" s="90">
        <f t="shared" si="188"/>
        <v>7</v>
      </c>
      <c r="G703" s="91"/>
      <c r="H703" s="75"/>
      <c r="I703" s="89">
        <f t="shared" si="189"/>
        <v>8</v>
      </c>
      <c r="J703" s="90">
        <f t="shared" si="190"/>
        <v>8</v>
      </c>
      <c r="K703" s="91">
        <f t="shared" si="191"/>
        <v>8</v>
      </c>
      <c r="L703" s="76"/>
      <c r="N703" s="79">
        <f t="shared" si="193"/>
        <v>52.36</v>
      </c>
      <c r="O703" s="80">
        <f t="shared" si="194"/>
        <v>42</v>
      </c>
      <c r="P703" s="81">
        <f t="shared" si="195"/>
        <v>0</v>
      </c>
      <c r="Q703" s="79">
        <f t="shared" si="196"/>
        <v>59.84</v>
      </c>
      <c r="R703" s="80">
        <f t="shared" si="197"/>
        <v>48</v>
      </c>
      <c r="S703" s="81">
        <f t="shared" si="198"/>
        <v>68</v>
      </c>
      <c r="T703" s="92">
        <f t="shared" si="199"/>
        <v>270.2</v>
      </c>
      <c r="U703" s="93">
        <f t="shared" si="192"/>
        <v>216.16</v>
      </c>
    </row>
    <row r="704" spans="1:21" x14ac:dyDescent="0.25">
      <c r="A704" s="71">
        <f t="shared" si="186"/>
        <v>2024</v>
      </c>
      <c r="B704" s="72" t="str">
        <f t="shared" si="200"/>
        <v>SETEMBRO</v>
      </c>
      <c r="C704" s="73" t="str">
        <f t="shared" si="185"/>
        <v>TERÇA</v>
      </c>
      <c r="D704" s="74">
        <v>45552</v>
      </c>
      <c r="E704" s="89">
        <f t="shared" si="187"/>
        <v>7</v>
      </c>
      <c r="F704" s="90">
        <f t="shared" si="188"/>
        <v>7</v>
      </c>
      <c r="G704" s="91"/>
      <c r="H704" s="75"/>
      <c r="I704" s="89">
        <f t="shared" si="189"/>
        <v>8</v>
      </c>
      <c r="J704" s="90">
        <f t="shared" si="190"/>
        <v>8</v>
      </c>
      <c r="K704" s="91">
        <f t="shared" si="191"/>
        <v>8</v>
      </c>
      <c r="L704" s="76"/>
      <c r="N704" s="79">
        <f t="shared" si="193"/>
        <v>52.36</v>
      </c>
      <c r="O704" s="80">
        <f t="shared" si="194"/>
        <v>42</v>
      </c>
      <c r="P704" s="81">
        <f t="shared" si="195"/>
        <v>0</v>
      </c>
      <c r="Q704" s="79">
        <f t="shared" si="196"/>
        <v>59.84</v>
      </c>
      <c r="R704" s="80">
        <f t="shared" si="197"/>
        <v>48</v>
      </c>
      <c r="S704" s="81">
        <f t="shared" si="198"/>
        <v>68</v>
      </c>
      <c r="T704" s="92">
        <f t="shared" si="199"/>
        <v>270.2</v>
      </c>
      <c r="U704" s="93">
        <f t="shared" si="192"/>
        <v>216.16</v>
      </c>
    </row>
    <row r="705" spans="1:21" x14ac:dyDescent="0.25">
      <c r="A705" s="71">
        <f t="shared" si="186"/>
        <v>2024</v>
      </c>
      <c r="B705" s="72" t="str">
        <f t="shared" si="200"/>
        <v>SETEMBRO</v>
      </c>
      <c r="C705" s="73" t="str">
        <f t="shared" si="185"/>
        <v>QUARTA</v>
      </c>
      <c r="D705" s="74">
        <v>45553</v>
      </c>
      <c r="E705" s="89">
        <f t="shared" si="187"/>
        <v>7</v>
      </c>
      <c r="F705" s="90">
        <f t="shared" si="188"/>
        <v>7</v>
      </c>
      <c r="G705" s="91"/>
      <c r="H705" s="75"/>
      <c r="I705" s="89">
        <f t="shared" si="189"/>
        <v>8</v>
      </c>
      <c r="J705" s="90">
        <f t="shared" si="190"/>
        <v>8</v>
      </c>
      <c r="K705" s="91">
        <f t="shared" si="191"/>
        <v>8</v>
      </c>
      <c r="L705" s="76"/>
      <c r="N705" s="79">
        <f t="shared" si="193"/>
        <v>52.36</v>
      </c>
      <c r="O705" s="80">
        <f t="shared" si="194"/>
        <v>42</v>
      </c>
      <c r="P705" s="81">
        <f t="shared" si="195"/>
        <v>0</v>
      </c>
      <c r="Q705" s="79">
        <f t="shared" si="196"/>
        <v>59.84</v>
      </c>
      <c r="R705" s="80">
        <f t="shared" si="197"/>
        <v>48</v>
      </c>
      <c r="S705" s="81">
        <f t="shared" si="198"/>
        <v>68</v>
      </c>
      <c r="T705" s="92">
        <f t="shared" si="199"/>
        <v>270.2</v>
      </c>
      <c r="U705" s="93">
        <f t="shared" si="192"/>
        <v>216.16</v>
      </c>
    </row>
    <row r="706" spans="1:21" x14ac:dyDescent="0.25">
      <c r="A706" s="71">
        <f t="shared" si="186"/>
        <v>2024</v>
      </c>
      <c r="B706" s="72" t="str">
        <f t="shared" si="200"/>
        <v>SETEMBRO</v>
      </c>
      <c r="C706" s="73" t="str">
        <f t="shared" si="185"/>
        <v>QUINTA</v>
      </c>
      <c r="D706" s="74">
        <v>45554</v>
      </c>
      <c r="E706" s="89">
        <f t="shared" si="187"/>
        <v>7</v>
      </c>
      <c r="F706" s="90">
        <f t="shared" si="188"/>
        <v>7</v>
      </c>
      <c r="G706" s="91"/>
      <c r="H706" s="75"/>
      <c r="I706" s="89">
        <f t="shared" si="189"/>
        <v>8</v>
      </c>
      <c r="J706" s="90">
        <f t="shared" si="190"/>
        <v>8</v>
      </c>
      <c r="K706" s="91">
        <f t="shared" si="191"/>
        <v>8</v>
      </c>
      <c r="L706" s="76"/>
      <c r="N706" s="79">
        <f t="shared" si="193"/>
        <v>52.36</v>
      </c>
      <c r="O706" s="80">
        <f t="shared" si="194"/>
        <v>42</v>
      </c>
      <c r="P706" s="81">
        <f t="shared" si="195"/>
        <v>0</v>
      </c>
      <c r="Q706" s="79">
        <f t="shared" si="196"/>
        <v>59.84</v>
      </c>
      <c r="R706" s="80">
        <f t="shared" si="197"/>
        <v>48</v>
      </c>
      <c r="S706" s="81">
        <f t="shared" si="198"/>
        <v>68</v>
      </c>
      <c r="T706" s="92">
        <f t="shared" si="199"/>
        <v>270.2</v>
      </c>
      <c r="U706" s="93">
        <f t="shared" si="192"/>
        <v>216.16</v>
      </c>
    </row>
    <row r="707" spans="1:21" x14ac:dyDescent="0.25">
      <c r="A707" s="71">
        <f t="shared" si="186"/>
        <v>2024</v>
      </c>
      <c r="B707" s="72" t="str">
        <f t="shared" si="200"/>
        <v>SETEMBRO</v>
      </c>
      <c r="C707" s="73" t="str">
        <f t="shared" si="185"/>
        <v>SEXTA</v>
      </c>
      <c r="D707" s="74">
        <v>45555</v>
      </c>
      <c r="E707" s="89">
        <f t="shared" si="187"/>
        <v>7</v>
      </c>
      <c r="F707" s="90">
        <f t="shared" si="188"/>
        <v>7</v>
      </c>
      <c r="G707" s="91"/>
      <c r="H707" s="75"/>
      <c r="I707" s="89">
        <f t="shared" si="189"/>
        <v>8</v>
      </c>
      <c r="J707" s="90">
        <f t="shared" si="190"/>
        <v>8</v>
      </c>
      <c r="K707" s="91">
        <f t="shared" si="191"/>
        <v>8</v>
      </c>
      <c r="L707" s="76"/>
      <c r="N707" s="79">
        <f t="shared" si="193"/>
        <v>52.36</v>
      </c>
      <c r="O707" s="80">
        <f t="shared" si="194"/>
        <v>42</v>
      </c>
      <c r="P707" s="81">
        <f t="shared" si="195"/>
        <v>0</v>
      </c>
      <c r="Q707" s="79">
        <f t="shared" si="196"/>
        <v>59.84</v>
      </c>
      <c r="R707" s="80">
        <f t="shared" si="197"/>
        <v>48</v>
      </c>
      <c r="S707" s="81">
        <f t="shared" si="198"/>
        <v>68</v>
      </c>
      <c r="T707" s="92">
        <f t="shared" si="199"/>
        <v>270.2</v>
      </c>
      <c r="U707" s="93">
        <f t="shared" si="192"/>
        <v>216.16</v>
      </c>
    </row>
    <row r="708" spans="1:21" x14ac:dyDescent="0.25">
      <c r="A708" s="71">
        <f t="shared" si="186"/>
        <v>2024</v>
      </c>
      <c r="B708" s="72" t="str">
        <f t="shared" si="200"/>
        <v>SETEMBRO</v>
      </c>
      <c r="C708" s="73" t="str">
        <f t="shared" si="185"/>
        <v>SÁBADO</v>
      </c>
      <c r="D708" s="74">
        <v>45556</v>
      </c>
      <c r="E708" s="89">
        <f t="shared" si="187"/>
        <v>0</v>
      </c>
      <c r="F708" s="90">
        <f t="shared" si="188"/>
        <v>7</v>
      </c>
      <c r="G708" s="91"/>
      <c r="H708" s="75"/>
      <c r="I708" s="89">
        <f t="shared" si="189"/>
        <v>0</v>
      </c>
      <c r="J708" s="90">
        <f t="shared" si="190"/>
        <v>8</v>
      </c>
      <c r="K708" s="91">
        <f t="shared" si="191"/>
        <v>0</v>
      </c>
      <c r="L708" s="76"/>
      <c r="N708" s="79">
        <f t="shared" si="193"/>
        <v>0</v>
      </c>
      <c r="O708" s="80">
        <f t="shared" si="194"/>
        <v>42</v>
      </c>
      <c r="P708" s="81">
        <f t="shared" si="195"/>
        <v>0</v>
      </c>
      <c r="Q708" s="79">
        <f t="shared" si="196"/>
        <v>0</v>
      </c>
      <c r="R708" s="80">
        <f t="shared" si="197"/>
        <v>48</v>
      </c>
      <c r="S708" s="81">
        <f t="shared" si="198"/>
        <v>0</v>
      </c>
      <c r="T708" s="92">
        <f t="shared" si="199"/>
        <v>90</v>
      </c>
      <c r="U708" s="93">
        <f t="shared" si="192"/>
        <v>72</v>
      </c>
    </row>
    <row r="709" spans="1:21" x14ac:dyDescent="0.25">
      <c r="A709" s="71">
        <f t="shared" si="186"/>
        <v>2024</v>
      </c>
      <c r="B709" s="72" t="str">
        <f t="shared" si="200"/>
        <v>SETEMBRO</v>
      </c>
      <c r="C709" s="73" t="str">
        <f t="shared" ref="C709:C718" si="201">VLOOKUP(WEEKDAY(D709),$AE$2:$AF$9,2,0)</f>
        <v>DOMINGO</v>
      </c>
      <c r="D709" s="74">
        <v>45557</v>
      </c>
      <c r="E709" s="89">
        <f t="shared" si="187"/>
        <v>0</v>
      </c>
      <c r="F709" s="90">
        <f t="shared" si="188"/>
        <v>0</v>
      </c>
      <c r="G709" s="91"/>
      <c r="H709" s="75"/>
      <c r="I709" s="89">
        <f t="shared" si="189"/>
        <v>0</v>
      </c>
      <c r="J709" s="90">
        <f t="shared" si="190"/>
        <v>0</v>
      </c>
      <c r="K709" s="91">
        <f t="shared" si="191"/>
        <v>0</v>
      </c>
      <c r="L709" s="76"/>
      <c r="N709" s="79">
        <f t="shared" si="193"/>
        <v>0</v>
      </c>
      <c r="O709" s="80">
        <f t="shared" si="194"/>
        <v>0</v>
      </c>
      <c r="P709" s="81">
        <f t="shared" si="195"/>
        <v>0</v>
      </c>
      <c r="Q709" s="79">
        <f t="shared" si="196"/>
        <v>0</v>
      </c>
      <c r="R709" s="80">
        <f t="shared" si="197"/>
        <v>0</v>
      </c>
      <c r="S709" s="81">
        <f t="shared" si="198"/>
        <v>0</v>
      </c>
      <c r="T709" s="92">
        <f t="shared" si="199"/>
        <v>0</v>
      </c>
      <c r="U709" s="93">
        <f t="shared" si="192"/>
        <v>0</v>
      </c>
    </row>
    <row r="710" spans="1:21" x14ac:dyDescent="0.25">
      <c r="A710" s="71">
        <f t="shared" ref="A710:A718" si="202">YEAR(D710)</f>
        <v>2024</v>
      </c>
      <c r="B710" s="72" t="str">
        <f t="shared" si="200"/>
        <v>SETEMBRO</v>
      </c>
      <c r="C710" s="73" t="str">
        <f t="shared" si="201"/>
        <v>SEGUNDA</v>
      </c>
      <c r="D710" s="74">
        <v>45558</v>
      </c>
      <c r="E710" s="89">
        <f t="shared" ref="E710:E718" si="203">IF(WEEKDAY($D710)&lt;2,0,IF(WEEKDAY($D710)&gt;6,0,7))</f>
        <v>7</v>
      </c>
      <c r="F710" s="90">
        <f t="shared" ref="F710:F718" si="204">IF(WEEKDAY($D710)&lt;2,0,IF(WEEKDAY($D710)&gt;7,0,7))</f>
        <v>7</v>
      </c>
      <c r="G710" s="91"/>
      <c r="H710" s="75"/>
      <c r="I710" s="89">
        <f t="shared" si="189"/>
        <v>8</v>
      </c>
      <c r="J710" s="90">
        <f t="shared" si="190"/>
        <v>8</v>
      </c>
      <c r="K710" s="91">
        <f t="shared" si="191"/>
        <v>8</v>
      </c>
      <c r="L710" s="76"/>
      <c r="N710" s="79">
        <f t="shared" si="193"/>
        <v>52.36</v>
      </c>
      <c r="O710" s="80">
        <f t="shared" si="194"/>
        <v>42</v>
      </c>
      <c r="P710" s="81">
        <f t="shared" si="195"/>
        <v>0</v>
      </c>
      <c r="Q710" s="79">
        <f t="shared" si="196"/>
        <v>59.84</v>
      </c>
      <c r="R710" s="80">
        <f t="shared" si="197"/>
        <v>48</v>
      </c>
      <c r="S710" s="81">
        <f t="shared" si="198"/>
        <v>68</v>
      </c>
      <c r="T710" s="92">
        <f t="shared" si="199"/>
        <v>270.2</v>
      </c>
      <c r="U710" s="93">
        <f t="shared" si="192"/>
        <v>216.16</v>
      </c>
    </row>
    <row r="711" spans="1:21" x14ac:dyDescent="0.25">
      <c r="A711" s="71">
        <f t="shared" si="202"/>
        <v>2024</v>
      </c>
      <c r="B711" s="72" t="str">
        <f t="shared" si="200"/>
        <v>SETEMBRO</v>
      </c>
      <c r="C711" s="73" t="str">
        <f t="shared" si="201"/>
        <v>TERÇA</v>
      </c>
      <c r="D711" s="74">
        <v>45559</v>
      </c>
      <c r="E711" s="89">
        <f t="shared" si="203"/>
        <v>7</v>
      </c>
      <c r="F711" s="90">
        <f t="shared" si="204"/>
        <v>7</v>
      </c>
      <c r="G711" s="91"/>
      <c r="H711" s="75"/>
      <c r="I711" s="89">
        <f t="shared" ref="I711:I718" si="205">IF(WEEKDAY($D711)&lt;2,0,IF(WEEKDAY($D711)&gt;6,0,8))</f>
        <v>8</v>
      </c>
      <c r="J711" s="90">
        <f t="shared" ref="J711:J718" si="206">IF(WEEKDAY($D711)&lt;2,0,IF(WEEKDAY($D711)&gt;7,0,8))</f>
        <v>8</v>
      </c>
      <c r="K711" s="91">
        <f t="shared" ref="K711:K718" si="207">IF(WEEKDAY($D711)&lt;2,0,IF(WEEKDAY($D711)&gt;6,0,8))</f>
        <v>8</v>
      </c>
      <c r="L711" s="76"/>
      <c r="N711" s="79">
        <f t="shared" si="193"/>
        <v>52.36</v>
      </c>
      <c r="O711" s="80">
        <f t="shared" si="194"/>
        <v>42</v>
      </c>
      <c r="P711" s="81">
        <f t="shared" si="195"/>
        <v>0</v>
      </c>
      <c r="Q711" s="79">
        <f t="shared" si="196"/>
        <v>59.84</v>
      </c>
      <c r="R711" s="80">
        <f t="shared" si="197"/>
        <v>48</v>
      </c>
      <c r="S711" s="81">
        <f t="shared" si="198"/>
        <v>68</v>
      </c>
      <c r="T711" s="92">
        <f t="shared" si="199"/>
        <v>270.2</v>
      </c>
      <c r="U711" s="93">
        <f t="shared" ref="U711:U718" si="208">T711*0.8</f>
        <v>216.16</v>
      </c>
    </row>
    <row r="712" spans="1:21" x14ac:dyDescent="0.25">
      <c r="A712" s="71">
        <f t="shared" si="202"/>
        <v>2024</v>
      </c>
      <c r="B712" s="72" t="str">
        <f t="shared" si="200"/>
        <v>SETEMBRO</v>
      </c>
      <c r="C712" s="73" t="str">
        <f t="shared" si="201"/>
        <v>QUARTA</v>
      </c>
      <c r="D712" s="74">
        <v>45560</v>
      </c>
      <c r="E712" s="89">
        <f t="shared" si="203"/>
        <v>7</v>
      </c>
      <c r="F712" s="90">
        <f t="shared" si="204"/>
        <v>7</v>
      </c>
      <c r="G712" s="91"/>
      <c r="H712" s="75"/>
      <c r="I712" s="89">
        <f t="shared" si="205"/>
        <v>8</v>
      </c>
      <c r="J712" s="90">
        <f t="shared" si="206"/>
        <v>8</v>
      </c>
      <c r="K712" s="91">
        <f t="shared" si="207"/>
        <v>8</v>
      </c>
      <c r="L712" s="76"/>
      <c r="N712" s="79">
        <f t="shared" si="193"/>
        <v>52.36</v>
      </c>
      <c r="O712" s="80">
        <f t="shared" si="194"/>
        <v>42</v>
      </c>
      <c r="P712" s="81">
        <f t="shared" si="195"/>
        <v>0</v>
      </c>
      <c r="Q712" s="79">
        <f t="shared" si="196"/>
        <v>59.84</v>
      </c>
      <c r="R712" s="80">
        <f t="shared" si="197"/>
        <v>48</v>
      </c>
      <c r="S712" s="81">
        <f t="shared" si="198"/>
        <v>68</v>
      </c>
      <c r="T712" s="92">
        <f t="shared" si="199"/>
        <v>270.2</v>
      </c>
      <c r="U712" s="93">
        <f t="shared" si="208"/>
        <v>216.16</v>
      </c>
    </row>
    <row r="713" spans="1:21" x14ac:dyDescent="0.25">
      <c r="A713" s="71">
        <f t="shared" si="202"/>
        <v>2024</v>
      </c>
      <c r="B713" s="72" t="str">
        <f t="shared" si="200"/>
        <v>SETEMBRO</v>
      </c>
      <c r="C713" s="73" t="str">
        <f t="shared" si="201"/>
        <v>QUINTA</v>
      </c>
      <c r="D713" s="74">
        <v>45561</v>
      </c>
      <c r="E713" s="89">
        <f t="shared" si="203"/>
        <v>7</v>
      </c>
      <c r="F713" s="90">
        <f t="shared" si="204"/>
        <v>7</v>
      </c>
      <c r="G713" s="91"/>
      <c r="H713" s="75"/>
      <c r="I713" s="89">
        <f t="shared" si="205"/>
        <v>8</v>
      </c>
      <c r="J713" s="90">
        <f t="shared" si="206"/>
        <v>8</v>
      </c>
      <c r="K713" s="91">
        <f t="shared" si="207"/>
        <v>8</v>
      </c>
      <c r="L713" s="76"/>
      <c r="N713" s="79">
        <f t="shared" si="193"/>
        <v>52.36</v>
      </c>
      <c r="O713" s="80">
        <f t="shared" si="194"/>
        <v>42</v>
      </c>
      <c r="P713" s="81">
        <f t="shared" si="195"/>
        <v>0</v>
      </c>
      <c r="Q713" s="79">
        <f t="shared" si="196"/>
        <v>59.84</v>
      </c>
      <c r="R713" s="80">
        <f t="shared" si="197"/>
        <v>48</v>
      </c>
      <c r="S713" s="81">
        <f t="shared" si="198"/>
        <v>68</v>
      </c>
      <c r="T713" s="92">
        <f t="shared" si="199"/>
        <v>270.2</v>
      </c>
      <c r="U713" s="93">
        <f t="shared" si="208"/>
        <v>216.16</v>
      </c>
    </row>
    <row r="714" spans="1:21" x14ac:dyDescent="0.25">
      <c r="A714" s="71">
        <f t="shared" si="202"/>
        <v>2024</v>
      </c>
      <c r="B714" s="72" t="str">
        <f t="shared" si="200"/>
        <v>SETEMBRO</v>
      </c>
      <c r="C714" s="73" t="str">
        <f t="shared" si="201"/>
        <v>SEXTA</v>
      </c>
      <c r="D714" s="74">
        <v>45562</v>
      </c>
      <c r="E714" s="89">
        <f t="shared" si="203"/>
        <v>7</v>
      </c>
      <c r="F714" s="90">
        <f t="shared" si="204"/>
        <v>7</v>
      </c>
      <c r="G714" s="91"/>
      <c r="H714" s="75"/>
      <c r="I714" s="89">
        <f t="shared" si="205"/>
        <v>8</v>
      </c>
      <c r="J714" s="90">
        <f t="shared" si="206"/>
        <v>8</v>
      </c>
      <c r="K714" s="91">
        <f t="shared" si="207"/>
        <v>8</v>
      </c>
      <c r="L714" s="76"/>
      <c r="N714" s="79">
        <f t="shared" si="193"/>
        <v>52.36</v>
      </c>
      <c r="O714" s="80">
        <f t="shared" si="194"/>
        <v>42</v>
      </c>
      <c r="P714" s="81">
        <f t="shared" si="195"/>
        <v>0</v>
      </c>
      <c r="Q714" s="79">
        <f t="shared" si="196"/>
        <v>59.84</v>
      </c>
      <c r="R714" s="80">
        <f t="shared" si="197"/>
        <v>48</v>
      </c>
      <c r="S714" s="81">
        <f t="shared" si="198"/>
        <v>68</v>
      </c>
      <c r="T714" s="92">
        <f t="shared" si="199"/>
        <v>270.2</v>
      </c>
      <c r="U714" s="93">
        <f t="shared" si="208"/>
        <v>216.16</v>
      </c>
    </row>
    <row r="715" spans="1:21" x14ac:dyDescent="0.25">
      <c r="A715" s="71">
        <f t="shared" si="202"/>
        <v>2024</v>
      </c>
      <c r="B715" s="72" t="str">
        <f t="shared" si="200"/>
        <v>SETEMBRO</v>
      </c>
      <c r="C715" s="73" t="str">
        <f t="shared" si="201"/>
        <v>SÁBADO</v>
      </c>
      <c r="D715" s="74">
        <v>45563</v>
      </c>
      <c r="E715" s="89">
        <f t="shared" si="203"/>
        <v>0</v>
      </c>
      <c r="F715" s="90">
        <f t="shared" si="204"/>
        <v>7</v>
      </c>
      <c r="G715" s="91"/>
      <c r="H715" s="75"/>
      <c r="I715" s="89">
        <f t="shared" si="205"/>
        <v>0</v>
      </c>
      <c r="J715" s="90">
        <f t="shared" si="206"/>
        <v>8</v>
      </c>
      <c r="K715" s="91">
        <f t="shared" si="207"/>
        <v>0</v>
      </c>
      <c r="L715" s="76"/>
      <c r="N715" s="79">
        <f t="shared" si="193"/>
        <v>0</v>
      </c>
      <c r="O715" s="80">
        <f t="shared" si="194"/>
        <v>42</v>
      </c>
      <c r="P715" s="81">
        <f t="shared" si="195"/>
        <v>0</v>
      </c>
      <c r="Q715" s="79">
        <f t="shared" si="196"/>
        <v>0</v>
      </c>
      <c r="R715" s="80">
        <f t="shared" si="197"/>
        <v>48</v>
      </c>
      <c r="S715" s="81">
        <f t="shared" si="198"/>
        <v>0</v>
      </c>
      <c r="T715" s="92">
        <f t="shared" si="199"/>
        <v>90</v>
      </c>
      <c r="U715" s="93">
        <f t="shared" si="208"/>
        <v>72</v>
      </c>
    </row>
    <row r="716" spans="1:21" x14ac:dyDescent="0.25">
      <c r="A716" s="71">
        <f t="shared" si="202"/>
        <v>2024</v>
      </c>
      <c r="B716" s="72" t="str">
        <f t="shared" si="200"/>
        <v>SETEMBRO</v>
      </c>
      <c r="C716" s="73" t="str">
        <f t="shared" si="201"/>
        <v>DOMINGO</v>
      </c>
      <c r="D716" s="74">
        <v>45564</v>
      </c>
      <c r="E716" s="89">
        <f t="shared" si="203"/>
        <v>0</v>
      </c>
      <c r="F716" s="90">
        <f t="shared" si="204"/>
        <v>0</v>
      </c>
      <c r="G716" s="91"/>
      <c r="H716" s="75"/>
      <c r="I716" s="89">
        <f t="shared" si="205"/>
        <v>0</v>
      </c>
      <c r="J716" s="90">
        <f t="shared" si="206"/>
        <v>0</v>
      </c>
      <c r="K716" s="91">
        <f t="shared" si="207"/>
        <v>0</v>
      </c>
      <c r="L716" s="76"/>
      <c r="N716" s="79">
        <f t="shared" si="193"/>
        <v>0</v>
      </c>
      <c r="O716" s="80">
        <f t="shared" si="194"/>
        <v>0</v>
      </c>
      <c r="P716" s="81">
        <f t="shared" si="195"/>
        <v>0</v>
      </c>
      <c r="Q716" s="79">
        <f t="shared" si="196"/>
        <v>0</v>
      </c>
      <c r="R716" s="80">
        <f t="shared" si="197"/>
        <v>0</v>
      </c>
      <c r="S716" s="81">
        <f t="shared" si="198"/>
        <v>0</v>
      </c>
      <c r="T716" s="92">
        <f t="shared" si="199"/>
        <v>0</v>
      </c>
      <c r="U716" s="93">
        <f t="shared" si="208"/>
        <v>0</v>
      </c>
    </row>
    <row r="717" spans="1:21" x14ac:dyDescent="0.25">
      <c r="A717" s="71">
        <f t="shared" si="202"/>
        <v>2024</v>
      </c>
      <c r="B717" s="72" t="str">
        <f t="shared" si="200"/>
        <v>SETEMBRO</v>
      </c>
      <c r="C717" s="73" t="str">
        <f t="shared" si="201"/>
        <v>SEGUNDA</v>
      </c>
      <c r="D717" s="74">
        <v>45565</v>
      </c>
      <c r="E717" s="89">
        <f t="shared" si="203"/>
        <v>7</v>
      </c>
      <c r="F717" s="90">
        <f t="shared" si="204"/>
        <v>7</v>
      </c>
      <c r="G717" s="91"/>
      <c r="H717" s="75"/>
      <c r="I717" s="89">
        <f t="shared" si="205"/>
        <v>8</v>
      </c>
      <c r="J717" s="90">
        <f t="shared" si="206"/>
        <v>8</v>
      </c>
      <c r="K717" s="91">
        <f t="shared" si="207"/>
        <v>8</v>
      </c>
      <c r="L717" s="76"/>
      <c r="N717" s="79">
        <f t="shared" si="193"/>
        <v>52.36</v>
      </c>
      <c r="O717" s="80">
        <f t="shared" si="194"/>
        <v>42</v>
      </c>
      <c r="P717" s="81">
        <f t="shared" si="195"/>
        <v>0</v>
      </c>
      <c r="Q717" s="79">
        <f t="shared" si="196"/>
        <v>59.84</v>
      </c>
      <c r="R717" s="80">
        <f t="shared" si="197"/>
        <v>48</v>
      </c>
      <c r="S717" s="81">
        <f t="shared" si="198"/>
        <v>68</v>
      </c>
      <c r="T717" s="92">
        <f t="shared" si="199"/>
        <v>270.2</v>
      </c>
      <c r="U717" s="93">
        <f t="shared" si="208"/>
        <v>216.16</v>
      </c>
    </row>
    <row r="718" spans="1:21" x14ac:dyDescent="0.25">
      <c r="A718" s="71">
        <f t="shared" si="202"/>
        <v>2024</v>
      </c>
      <c r="B718" s="72" t="str">
        <f t="shared" si="200"/>
        <v>OUTUBRO</v>
      </c>
      <c r="C718" s="73" t="str">
        <f t="shared" si="201"/>
        <v>TERÇA</v>
      </c>
      <c r="D718" s="74">
        <v>45566</v>
      </c>
      <c r="E718" s="89">
        <f t="shared" si="203"/>
        <v>7</v>
      </c>
      <c r="F718" s="90">
        <f t="shared" si="204"/>
        <v>7</v>
      </c>
      <c r="G718" s="91"/>
      <c r="H718" s="77"/>
      <c r="I718" s="89">
        <f t="shared" si="205"/>
        <v>8</v>
      </c>
      <c r="J718" s="90">
        <f t="shared" si="206"/>
        <v>8</v>
      </c>
      <c r="K718" s="91">
        <f t="shared" si="207"/>
        <v>8</v>
      </c>
      <c r="L718" s="78"/>
      <c r="N718" s="79">
        <f t="shared" si="193"/>
        <v>52.36</v>
      </c>
      <c r="O718" s="80">
        <f t="shared" si="194"/>
        <v>42</v>
      </c>
      <c r="P718" s="81">
        <f t="shared" si="195"/>
        <v>0</v>
      </c>
      <c r="Q718" s="79">
        <f t="shared" si="196"/>
        <v>59.84</v>
      </c>
      <c r="R718" s="80">
        <f t="shared" si="197"/>
        <v>48</v>
      </c>
      <c r="S718" s="81">
        <f t="shared" si="198"/>
        <v>68</v>
      </c>
      <c r="T718" s="92">
        <f t="shared" si="199"/>
        <v>270.2</v>
      </c>
      <c r="U718" s="93">
        <f t="shared" si="208"/>
        <v>216.16</v>
      </c>
    </row>
  </sheetData>
  <mergeCells count="9">
    <mergeCell ref="D2:D3"/>
    <mergeCell ref="A2:A3"/>
    <mergeCell ref="E2:G2"/>
    <mergeCell ref="I2:K2"/>
    <mergeCell ref="AB1:AC1"/>
    <mergeCell ref="E1:K1"/>
    <mergeCell ref="L2:L3"/>
    <mergeCell ref="T2:T3"/>
    <mergeCell ref="U2:U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L14"/>
  <sheetViews>
    <sheetView workbookViewId="0">
      <selection activeCell="D6" sqref="D6"/>
    </sheetView>
  </sheetViews>
  <sheetFormatPr defaultRowHeight="15" x14ac:dyDescent="0.25"/>
  <cols>
    <col min="1" max="1" width="14.5703125" customWidth="1"/>
    <col min="2" max="2" width="12" customWidth="1"/>
    <col min="3" max="3" width="21.85546875" customWidth="1"/>
    <col min="4" max="4" width="11.28515625" customWidth="1"/>
    <col min="5" max="6" width="10.7109375" customWidth="1"/>
    <col min="8" max="8" width="1.85546875" customWidth="1"/>
  </cols>
  <sheetData>
    <row r="3" spans="1:12" x14ac:dyDescent="0.25">
      <c r="A3" s="221" t="s">
        <v>4</v>
      </c>
      <c r="B3" s="221" t="s">
        <v>1</v>
      </c>
      <c r="C3" s="223" t="s">
        <v>0</v>
      </c>
      <c r="D3" s="225" t="s">
        <v>54</v>
      </c>
      <c r="E3" s="225"/>
      <c r="F3" s="225"/>
      <c r="G3" s="225"/>
      <c r="I3" s="225" t="s">
        <v>55</v>
      </c>
      <c r="J3" s="225"/>
      <c r="K3" s="225"/>
      <c r="L3" s="225"/>
    </row>
    <row r="4" spans="1:12" ht="18.75" x14ac:dyDescent="0.25">
      <c r="A4" s="222"/>
      <c r="B4" s="222"/>
      <c r="C4" s="224"/>
      <c r="D4" s="134" t="s">
        <v>59</v>
      </c>
      <c r="E4" s="135" t="s">
        <v>60</v>
      </c>
      <c r="F4" s="136" t="s">
        <v>61</v>
      </c>
      <c r="G4" s="113" t="s">
        <v>21</v>
      </c>
      <c r="I4" s="134" t="s">
        <v>59</v>
      </c>
      <c r="J4" s="135" t="s">
        <v>60</v>
      </c>
      <c r="K4" s="136" t="s">
        <v>61</v>
      </c>
      <c r="L4" s="113" t="s">
        <v>21</v>
      </c>
    </row>
    <row r="5" spans="1:12" x14ac:dyDescent="0.25">
      <c r="A5" s="128"/>
      <c r="B5" s="129"/>
      <c r="C5" s="130"/>
      <c r="D5" s="132"/>
      <c r="E5" s="132"/>
      <c r="F5" s="132"/>
      <c r="G5" s="133"/>
      <c r="I5" s="132"/>
      <c r="J5" s="132"/>
      <c r="K5" s="132"/>
      <c r="L5" s="133"/>
    </row>
    <row r="6" spans="1:12" x14ac:dyDescent="0.25">
      <c r="A6" s="121">
        <f>IF(C6&gt;0,YEAR(C6),0)</f>
        <v>2022</v>
      </c>
      <c r="B6" s="122">
        <f>IF(C6&gt;0,MONTH(C6),0)</f>
        <v>10</v>
      </c>
      <c r="C6" s="123">
        <v>44853</v>
      </c>
      <c r="D6" s="151">
        <f>SUMIFS('PRODUÇÃO LINHA 1'!$J:$J,'PRODUÇÃO LINHA 1'!$D:$D,'EFICIÊNIA DA PRODUÇÃO'!$C6,'PRODUÇÃO LINHA 1'!$G:$G,'EFICIÊNIA DA PRODUÇÃO'!D$4)/SUMIFS('HOMEM X HORA'!N:N,'HOMEM X HORA'!$D:$D,'EFICIÊNIA DA PRODUÇÃO'!$C6)</f>
        <v>0</v>
      </c>
      <c r="E6" s="143">
        <f>SUMIFS('HOMEM X HORA'!O:O,'HOMEM X HORA'!$D:$D,'EFICIÊNIA DA PRODUÇÃO'!$C6)</f>
        <v>42</v>
      </c>
      <c r="F6" s="143">
        <f>SUMIFS('HOMEM X HORA'!P:P,'HOMEM X HORA'!$D:$D,'EFICIÊNIA DA PRODUÇÃO'!$C6)</f>
        <v>0</v>
      </c>
      <c r="G6" s="131"/>
      <c r="I6" s="131"/>
      <c r="J6" s="131"/>
      <c r="K6" s="131"/>
      <c r="L6" s="131"/>
    </row>
    <row r="7" spans="1:12" x14ac:dyDescent="0.25">
      <c r="A7" s="121">
        <f t="shared" ref="A7:A8" si="0">IF(C7&gt;0,YEAR(C7),0)</f>
        <v>2022</v>
      </c>
      <c r="B7" s="122">
        <f t="shared" ref="B7:B14" si="1">IF(C7&gt;0,MONTH(C7),0)</f>
        <v>9</v>
      </c>
      <c r="C7" s="123">
        <v>44824</v>
      </c>
      <c r="D7" s="143">
        <f>SUMIFS('HOMEM X HORA'!N:N,'HOMEM X HORA'!D:D,'EFICIÊNIA DA PRODUÇÃO'!C7)*3600000</f>
        <v>0</v>
      </c>
      <c r="E7" s="123"/>
      <c r="F7" s="123"/>
      <c r="G7" s="131"/>
      <c r="I7" s="131"/>
      <c r="J7" s="131"/>
      <c r="K7" s="131"/>
      <c r="L7" s="131"/>
    </row>
    <row r="8" spans="1:12" x14ac:dyDescent="0.25">
      <c r="A8" s="121">
        <f t="shared" si="0"/>
        <v>2022</v>
      </c>
      <c r="B8" s="122">
        <f t="shared" si="1"/>
        <v>9</v>
      </c>
      <c r="C8" s="123">
        <v>44825</v>
      </c>
      <c r="D8" s="143">
        <f>SUMIFS('HOMEM X HORA'!N:N,'HOMEM X HORA'!D:D,'EFICIÊNIA DA PRODUÇÃO'!C8)*3600000</f>
        <v>0</v>
      </c>
      <c r="E8" s="123"/>
      <c r="F8" s="123"/>
      <c r="G8" s="131"/>
      <c r="I8" s="131"/>
      <c r="J8" s="131"/>
      <c r="K8" s="131"/>
      <c r="L8" s="131"/>
    </row>
    <row r="9" spans="1:12" x14ac:dyDescent="0.25">
      <c r="A9" s="121">
        <f t="shared" ref="A9:A14" si="2">IF(C9&gt;0,YEAR(C9),0)</f>
        <v>2022</v>
      </c>
      <c r="B9" s="122">
        <f t="shared" si="1"/>
        <v>9</v>
      </c>
      <c r="C9" s="123">
        <v>44826</v>
      </c>
      <c r="D9" s="143">
        <f>SUMIFS('HOMEM X HORA'!N:N,'HOMEM X HORA'!D:D,'EFICIÊNIA DA PRODUÇÃO'!C9)*3600000</f>
        <v>0</v>
      </c>
      <c r="E9" s="123"/>
      <c r="F9" s="123"/>
      <c r="G9" s="131"/>
      <c r="I9" s="131"/>
      <c r="J9" s="131"/>
      <c r="K9" s="131"/>
      <c r="L9" s="131"/>
    </row>
    <row r="10" spans="1:12" x14ac:dyDescent="0.25">
      <c r="A10" s="121">
        <f t="shared" si="2"/>
        <v>2022</v>
      </c>
      <c r="B10" s="122">
        <f t="shared" si="1"/>
        <v>9</v>
      </c>
      <c r="C10" s="123">
        <v>44827</v>
      </c>
      <c r="D10" s="143">
        <f>SUMIFS('HOMEM X HORA'!N:N,'HOMEM X HORA'!D:D,'EFICIÊNIA DA PRODUÇÃO'!C10)*3600000</f>
        <v>0</v>
      </c>
      <c r="E10" s="123"/>
      <c r="F10" s="123"/>
      <c r="G10" s="131"/>
      <c r="I10" s="131"/>
      <c r="J10" s="131"/>
      <c r="K10" s="131"/>
      <c r="L10" s="131"/>
    </row>
    <row r="11" spans="1:12" x14ac:dyDescent="0.25">
      <c r="A11" s="121">
        <f t="shared" si="2"/>
        <v>2022</v>
      </c>
      <c r="B11" s="122">
        <f t="shared" si="1"/>
        <v>9</v>
      </c>
      <c r="C11" s="123">
        <v>44828</v>
      </c>
      <c r="D11" s="123"/>
      <c r="E11" s="123"/>
      <c r="F11" s="123"/>
      <c r="G11" s="131"/>
      <c r="I11" s="131"/>
      <c r="J11" s="131"/>
      <c r="K11" s="131"/>
      <c r="L11" s="131"/>
    </row>
    <row r="12" spans="1:12" x14ac:dyDescent="0.25">
      <c r="A12" s="121">
        <f t="shared" si="2"/>
        <v>2022</v>
      </c>
      <c r="B12" s="122">
        <f t="shared" si="1"/>
        <v>9</v>
      </c>
      <c r="C12" s="123">
        <v>44829</v>
      </c>
      <c r="D12" s="123"/>
      <c r="E12" s="123"/>
      <c r="F12" s="123"/>
      <c r="G12" s="131"/>
      <c r="I12" s="131"/>
      <c r="J12" s="131"/>
      <c r="K12" s="131"/>
      <c r="L12" s="131"/>
    </row>
    <row r="13" spans="1:12" x14ac:dyDescent="0.25">
      <c r="A13" s="121">
        <f t="shared" si="2"/>
        <v>2022</v>
      </c>
      <c r="B13" s="122">
        <f t="shared" si="1"/>
        <v>9</v>
      </c>
      <c r="C13" s="123">
        <v>44830</v>
      </c>
      <c r="D13" s="123"/>
      <c r="E13" s="123"/>
      <c r="F13" s="123"/>
      <c r="G13" s="131"/>
      <c r="I13" s="131"/>
      <c r="J13" s="131"/>
      <c r="K13" s="131"/>
      <c r="L13" s="131"/>
    </row>
    <row r="14" spans="1:12" x14ac:dyDescent="0.25">
      <c r="A14" s="121">
        <f t="shared" si="2"/>
        <v>2022</v>
      </c>
      <c r="B14" s="122">
        <f t="shared" si="1"/>
        <v>9</v>
      </c>
      <c r="C14" s="123">
        <v>44831</v>
      </c>
      <c r="D14" s="123"/>
      <c r="E14" s="123"/>
      <c r="F14" s="123"/>
      <c r="G14" s="131"/>
      <c r="I14" s="131"/>
      <c r="J14" s="131"/>
      <c r="K14" s="131"/>
      <c r="L14" s="131"/>
    </row>
  </sheetData>
  <mergeCells count="5">
    <mergeCell ref="A3:A4"/>
    <mergeCell ref="B3:B4"/>
    <mergeCell ref="C3:C4"/>
    <mergeCell ref="D3:G3"/>
    <mergeCell ref="I3:L3"/>
  </mergeCells>
  <conditionalFormatting sqref="A6:G14">
    <cfRule type="cellIs" dxfId="3" priority="2" operator="greaterThan">
      <formula>0</formula>
    </cfRule>
  </conditionalFormatting>
  <conditionalFormatting sqref="I6:L14">
    <cfRule type="cellIs" dxfId="2" priority="1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theme="5" tint="-0.249977111117893"/>
  </sheetPr>
  <dimension ref="B1:R1325"/>
  <sheetViews>
    <sheetView showGridLines="0" showZeros="0" zoomScale="85" zoomScaleNormal="85" workbookViewId="0">
      <pane ySplit="4" topLeftCell="A5" activePane="bottomLeft" state="frozen"/>
      <selection pane="bottomLeft" activeCell="J23" sqref="J23"/>
    </sheetView>
  </sheetViews>
  <sheetFormatPr defaultColWidth="9.140625" defaultRowHeight="18.75" x14ac:dyDescent="0.3"/>
  <cols>
    <col min="1" max="1" width="2.5703125" customWidth="1"/>
    <col min="2" max="2" width="9.28515625" style="119" customWidth="1"/>
    <col min="3" max="3" width="9.7109375" style="119" customWidth="1"/>
    <col min="4" max="4" width="18.5703125" style="14" customWidth="1"/>
    <col min="5" max="5" width="17.85546875" style="20" customWidth="1"/>
    <col min="6" max="6" width="10.7109375" style="20" customWidth="1"/>
    <col min="7" max="7" width="12" style="20" customWidth="1"/>
    <col min="8" max="8" width="17.140625" style="16" customWidth="1"/>
    <col min="9" max="9" width="16.28515625" style="111" customWidth="1"/>
    <col min="10" max="10" width="26.28515625" style="1" customWidth="1"/>
    <col min="11" max="11" width="9.140625" customWidth="1"/>
  </cols>
  <sheetData>
    <row r="1" spans="2:18" ht="28.5" customHeight="1" x14ac:dyDescent="0.25">
      <c r="B1" s="144" t="s">
        <v>66</v>
      </c>
      <c r="C1" s="145"/>
      <c r="D1" s="145"/>
      <c r="E1" s="145"/>
      <c r="F1" s="145"/>
      <c r="G1" s="145"/>
      <c r="H1" s="145"/>
      <c r="I1" s="145"/>
      <c r="J1" s="145"/>
      <c r="R1" t="s">
        <v>60</v>
      </c>
    </row>
    <row r="2" spans="2:18" s="2" customFormat="1" x14ac:dyDescent="0.3">
      <c r="B2" s="148" t="s">
        <v>24</v>
      </c>
      <c r="C2" s="149"/>
      <c r="D2" s="149"/>
      <c r="E2" s="149"/>
      <c r="F2" s="149"/>
      <c r="G2" s="149"/>
      <c r="H2" s="150"/>
      <c r="I2" s="146" t="s">
        <v>67</v>
      </c>
      <c r="J2" s="147"/>
      <c r="R2" s="2" t="s">
        <v>61</v>
      </c>
    </row>
    <row r="3" spans="2:18" s="12" customFormat="1" ht="34.5" customHeight="1" x14ac:dyDescent="0.25">
      <c r="B3" s="114" t="s">
        <v>4</v>
      </c>
      <c r="C3" s="114" t="s">
        <v>1</v>
      </c>
      <c r="D3" s="113" t="s">
        <v>0</v>
      </c>
      <c r="E3" s="114" t="s">
        <v>30</v>
      </c>
      <c r="F3" s="114" t="s">
        <v>44</v>
      </c>
      <c r="G3" s="114" t="s">
        <v>31</v>
      </c>
      <c r="H3" s="112" t="s">
        <v>2</v>
      </c>
      <c r="I3" s="115" t="s">
        <v>58</v>
      </c>
      <c r="J3" s="112" t="s">
        <v>68</v>
      </c>
      <c r="R3" s="12" t="s">
        <v>59</v>
      </c>
    </row>
    <row r="4" spans="2:18" x14ac:dyDescent="0.3">
      <c r="B4" s="120"/>
      <c r="C4" s="116"/>
      <c r="D4" s="96"/>
      <c r="E4" s="97"/>
      <c r="F4" s="98"/>
      <c r="G4" s="98"/>
      <c r="H4" s="99"/>
      <c r="I4" s="110"/>
      <c r="J4" s="117"/>
    </row>
    <row r="5" spans="2:18" x14ac:dyDescent="0.3">
      <c r="B5" s="121">
        <f>IF(D5&gt;0,YEAR(D5),0)</f>
        <v>2022</v>
      </c>
      <c r="C5" s="122">
        <f>IF(D5&gt;0,MONTH(D5),0)</f>
        <v>10</v>
      </c>
      <c r="D5" s="123">
        <v>44854</v>
      </c>
      <c r="E5" s="124"/>
      <c r="F5" s="125">
        <v>1</v>
      </c>
      <c r="G5" s="125" t="s">
        <v>59</v>
      </c>
      <c r="H5" s="126"/>
      <c r="I5" s="127"/>
      <c r="J5" s="118">
        <f>IF(ISERROR(VLOOKUP(H5,#REF!,9,0)),0,VLOOKUP(H5,#REF!,9,0)*I5)/3600</f>
        <v>0</v>
      </c>
    </row>
    <row r="6" spans="2:18" x14ac:dyDescent="0.3">
      <c r="B6" s="121">
        <f t="shared" ref="B6:B69" si="0">IF(D6&gt;0,YEAR(D6),0)</f>
        <v>2022</v>
      </c>
      <c r="C6" s="122">
        <f t="shared" ref="C6:C69" si="1">IF(D6&gt;0,MONTH(D6),0)</f>
        <v>10</v>
      </c>
      <c r="D6" s="123">
        <v>44854</v>
      </c>
      <c r="E6" s="124"/>
      <c r="F6" s="125">
        <v>2</v>
      </c>
      <c r="G6" s="125" t="s">
        <v>59</v>
      </c>
      <c r="H6" s="126"/>
      <c r="I6" s="127"/>
      <c r="J6" s="118">
        <f>IF(ISERROR(VLOOKUP(H6,#REF!,9,0)),0,VLOOKUP(H6,#REF!,9,0)*I6)/3600</f>
        <v>0</v>
      </c>
    </row>
    <row r="7" spans="2:18" x14ac:dyDescent="0.3">
      <c r="B7" s="121">
        <f t="shared" si="0"/>
        <v>2022</v>
      </c>
      <c r="C7" s="122">
        <f t="shared" si="1"/>
        <v>10</v>
      </c>
      <c r="D7" s="123">
        <v>44854</v>
      </c>
      <c r="E7" s="124"/>
      <c r="F7" s="125">
        <v>3</v>
      </c>
      <c r="G7" s="125" t="s">
        <v>59</v>
      </c>
      <c r="H7" s="126"/>
      <c r="I7" s="127"/>
      <c r="J7" s="118">
        <f>IF(ISERROR(VLOOKUP(H7,#REF!,9,0)),0,VLOOKUP(H7,#REF!,9,0)*I7)/3600</f>
        <v>0</v>
      </c>
    </row>
    <row r="8" spans="2:18" x14ac:dyDescent="0.3">
      <c r="B8" s="121">
        <f t="shared" si="0"/>
        <v>2022</v>
      </c>
      <c r="C8" s="122">
        <f t="shared" si="1"/>
        <v>10</v>
      </c>
      <c r="D8" s="123">
        <v>44854</v>
      </c>
      <c r="E8" s="124"/>
      <c r="F8" s="125">
        <v>4</v>
      </c>
      <c r="G8" s="125" t="s">
        <v>59</v>
      </c>
      <c r="H8" s="126"/>
      <c r="I8" s="127"/>
      <c r="J8" s="118">
        <f>IF(ISERROR(VLOOKUP(H8,#REF!,9,0)),0,VLOOKUP(H8,#REF!,9,0)*I8)/3600</f>
        <v>0</v>
      </c>
    </row>
    <row r="9" spans="2:18" x14ac:dyDescent="0.3">
      <c r="B9" s="121">
        <f t="shared" si="0"/>
        <v>2022</v>
      </c>
      <c r="C9" s="122">
        <f t="shared" si="1"/>
        <v>10</v>
      </c>
      <c r="D9" s="123">
        <v>44854</v>
      </c>
      <c r="E9" s="124"/>
      <c r="F9" s="125">
        <v>5</v>
      </c>
      <c r="G9" s="125" t="s">
        <v>59</v>
      </c>
      <c r="H9" s="126"/>
      <c r="I9" s="127"/>
      <c r="J9" s="118">
        <f>IF(ISERROR(VLOOKUP(H9,#REF!,9,0)),0,VLOOKUP(H9,#REF!,9,0)*I9)/3600</f>
        <v>0</v>
      </c>
    </row>
    <row r="10" spans="2:18" x14ac:dyDescent="0.3">
      <c r="B10" s="121">
        <f t="shared" si="0"/>
        <v>2022</v>
      </c>
      <c r="C10" s="122">
        <f t="shared" si="1"/>
        <v>10</v>
      </c>
      <c r="D10" s="123">
        <v>44854</v>
      </c>
      <c r="E10" s="124"/>
      <c r="F10" s="125">
        <v>6</v>
      </c>
      <c r="G10" s="125" t="s">
        <v>59</v>
      </c>
      <c r="H10" s="126"/>
      <c r="I10" s="127"/>
      <c r="J10" s="118">
        <f>IF(ISERROR(VLOOKUP(H10,#REF!,9,0)),0,VLOOKUP(H10,#REF!,9,0)*I10)/3600</f>
        <v>0</v>
      </c>
    </row>
    <row r="11" spans="2:18" x14ac:dyDescent="0.3">
      <c r="B11" s="121">
        <f t="shared" si="0"/>
        <v>2022</v>
      </c>
      <c r="C11" s="122">
        <f t="shared" si="1"/>
        <v>10</v>
      </c>
      <c r="D11" s="123">
        <v>44854</v>
      </c>
      <c r="E11" s="124"/>
      <c r="F11" s="125">
        <v>7</v>
      </c>
      <c r="G11" s="125" t="s">
        <v>59</v>
      </c>
      <c r="H11" s="126"/>
      <c r="I11" s="127"/>
      <c r="J11" s="118">
        <f>IF(ISERROR(VLOOKUP(H11,#REF!,9,0)),0,VLOOKUP(H11,#REF!,9,0)*I11)/3600</f>
        <v>0</v>
      </c>
    </row>
    <row r="12" spans="2:18" x14ac:dyDescent="0.3">
      <c r="B12" s="121">
        <f t="shared" ref="B12" si="2">IF(D12&gt;0,YEAR(D12),0)</f>
        <v>2022</v>
      </c>
      <c r="C12" s="122">
        <f t="shared" si="1"/>
        <v>10</v>
      </c>
      <c r="D12" s="123">
        <v>44854</v>
      </c>
      <c r="E12" s="124"/>
      <c r="F12" s="125"/>
      <c r="G12" s="125" t="s">
        <v>59</v>
      </c>
      <c r="H12" s="126"/>
      <c r="I12" s="127"/>
      <c r="J12" s="118">
        <f>IF(ISERROR(VLOOKUP(H12,#REF!,9,0)),0,VLOOKUP(H12,#REF!,9,0)*I12)/3600</f>
        <v>0</v>
      </c>
    </row>
    <row r="13" spans="2:18" x14ac:dyDescent="0.3">
      <c r="B13" s="121">
        <f t="shared" si="0"/>
        <v>2022</v>
      </c>
      <c r="C13" s="122">
        <f t="shared" si="1"/>
        <v>10</v>
      </c>
      <c r="D13" s="123">
        <v>44854</v>
      </c>
      <c r="E13" s="124"/>
      <c r="F13" s="125"/>
      <c r="G13" s="125" t="s">
        <v>59</v>
      </c>
      <c r="H13" s="126"/>
      <c r="I13" s="127"/>
      <c r="J13" s="118">
        <f>IF(ISERROR(VLOOKUP(H13,#REF!,9,0)),0,VLOOKUP(H13,#REF!,9,0)*I13)/3600</f>
        <v>0</v>
      </c>
    </row>
    <row r="14" spans="2:18" x14ac:dyDescent="0.3">
      <c r="B14" s="121">
        <f t="shared" si="0"/>
        <v>2022</v>
      </c>
      <c r="C14" s="122">
        <f t="shared" si="1"/>
        <v>10</v>
      </c>
      <c r="D14" s="123">
        <v>44854</v>
      </c>
      <c r="E14" s="124"/>
      <c r="F14" s="125"/>
      <c r="G14" s="125" t="s">
        <v>59</v>
      </c>
      <c r="H14" s="126"/>
      <c r="I14" s="127"/>
      <c r="J14" s="118">
        <f>IF(ISERROR(VLOOKUP(H14,#REF!,9,0)),0,VLOOKUP(H14,#REF!,9,0)*I14)/3600</f>
        <v>0</v>
      </c>
    </row>
    <row r="15" spans="2:18" x14ac:dyDescent="0.3">
      <c r="B15" s="121">
        <f t="shared" si="0"/>
        <v>2022</v>
      </c>
      <c r="C15" s="122">
        <f t="shared" si="1"/>
        <v>10</v>
      </c>
      <c r="D15" s="123">
        <v>44854</v>
      </c>
      <c r="E15" s="124"/>
      <c r="F15" s="125"/>
      <c r="G15" s="125" t="s">
        <v>59</v>
      </c>
      <c r="H15" s="126"/>
      <c r="I15" s="127"/>
      <c r="J15" s="118">
        <f>IF(ISERROR(VLOOKUP(H15,#REF!,9,0)),0,VLOOKUP(H15,#REF!,9,0)*I15)/3600</f>
        <v>0</v>
      </c>
    </row>
    <row r="16" spans="2:18" x14ac:dyDescent="0.3">
      <c r="B16" s="121">
        <f t="shared" si="0"/>
        <v>2022</v>
      </c>
      <c r="C16" s="122">
        <f t="shared" si="1"/>
        <v>10</v>
      </c>
      <c r="D16" s="123">
        <v>44854</v>
      </c>
      <c r="E16" s="124"/>
      <c r="F16" s="125"/>
      <c r="G16" s="125" t="s">
        <v>59</v>
      </c>
      <c r="H16" s="126"/>
      <c r="I16" s="127"/>
      <c r="J16" s="118">
        <f>IF(ISERROR(VLOOKUP(H16,#REF!,9,0)),0,VLOOKUP(H16,#REF!,9,0)*I16)/3600</f>
        <v>0</v>
      </c>
    </row>
    <row r="17" spans="2:10" x14ac:dyDescent="0.3">
      <c r="B17" s="121">
        <f t="shared" si="0"/>
        <v>2022</v>
      </c>
      <c r="C17" s="122">
        <f t="shared" si="1"/>
        <v>10</v>
      </c>
      <c r="D17" s="123">
        <v>44854</v>
      </c>
      <c r="E17" s="124"/>
      <c r="F17" s="125"/>
      <c r="G17" s="125" t="s">
        <v>59</v>
      </c>
      <c r="H17" s="126"/>
      <c r="I17" s="127"/>
      <c r="J17" s="118">
        <f>IF(ISERROR(VLOOKUP(H17,#REF!,9,0)),0,VLOOKUP(H17,#REF!,9,0)*I17)/3600</f>
        <v>0</v>
      </c>
    </row>
    <row r="18" spans="2:10" x14ac:dyDescent="0.3">
      <c r="B18" s="121">
        <f t="shared" si="0"/>
        <v>2022</v>
      </c>
      <c r="C18" s="122">
        <f t="shared" si="1"/>
        <v>10</v>
      </c>
      <c r="D18" s="123">
        <v>44854</v>
      </c>
      <c r="E18" s="124"/>
      <c r="F18" s="125"/>
      <c r="G18" s="125" t="s">
        <v>59</v>
      </c>
      <c r="H18" s="126"/>
      <c r="I18" s="127"/>
      <c r="J18" s="118">
        <f>IF(ISERROR(VLOOKUP(H18,#REF!,9,0)),0,VLOOKUP(H18,#REF!,9,0)*I18)/3600</f>
        <v>0</v>
      </c>
    </row>
    <row r="19" spans="2:10" x14ac:dyDescent="0.3">
      <c r="B19" s="121">
        <f t="shared" si="0"/>
        <v>2022</v>
      </c>
      <c r="C19" s="122">
        <f t="shared" si="1"/>
        <v>10</v>
      </c>
      <c r="D19" s="123">
        <v>44854</v>
      </c>
      <c r="E19" s="124"/>
      <c r="F19" s="125"/>
      <c r="G19" s="125" t="s">
        <v>59</v>
      </c>
      <c r="H19" s="126"/>
      <c r="I19" s="127"/>
      <c r="J19" s="118">
        <f>IF(ISERROR(VLOOKUP(H19,#REF!,9,0)),0,VLOOKUP(H19,#REF!,9,0)*I19)/3600</f>
        <v>0</v>
      </c>
    </row>
    <row r="20" spans="2:10" x14ac:dyDescent="0.3">
      <c r="B20" s="121">
        <f t="shared" si="0"/>
        <v>2022</v>
      </c>
      <c r="C20" s="122">
        <f t="shared" si="1"/>
        <v>10</v>
      </c>
      <c r="D20" s="123">
        <v>44854</v>
      </c>
      <c r="E20" s="124"/>
      <c r="F20" s="125"/>
      <c r="G20" s="125" t="s">
        <v>59</v>
      </c>
      <c r="H20" s="126"/>
      <c r="I20" s="127"/>
      <c r="J20" s="118">
        <f>IF(ISERROR(VLOOKUP(H20,#REF!,9,0)),0,VLOOKUP(H20,#REF!,9,0)*I20)/3600</f>
        <v>0</v>
      </c>
    </row>
    <row r="21" spans="2:10" x14ac:dyDescent="0.3">
      <c r="B21" s="121">
        <f t="shared" si="0"/>
        <v>2022</v>
      </c>
      <c r="C21" s="122">
        <f t="shared" si="1"/>
        <v>10</v>
      </c>
      <c r="D21" s="123">
        <v>44854</v>
      </c>
      <c r="E21" s="125"/>
      <c r="F21" s="125"/>
      <c r="G21" s="125" t="s">
        <v>59</v>
      </c>
      <c r="H21" s="126"/>
      <c r="I21" s="127"/>
      <c r="J21" s="118">
        <f>IF(ISERROR(VLOOKUP(H21,#REF!,9,0)),0,VLOOKUP(H21,#REF!,9,0)*I21)/3600</f>
        <v>0</v>
      </c>
    </row>
    <row r="22" spans="2:10" x14ac:dyDescent="0.3">
      <c r="B22" s="121">
        <f t="shared" si="0"/>
        <v>0</v>
      </c>
      <c r="C22" s="122">
        <f t="shared" si="1"/>
        <v>0</v>
      </c>
      <c r="D22" s="123"/>
      <c r="E22" s="124"/>
      <c r="F22" s="125"/>
      <c r="G22" s="125" t="s">
        <v>59</v>
      </c>
      <c r="H22" s="126"/>
      <c r="I22" s="127"/>
      <c r="J22" s="118">
        <f>IF(ISERROR(VLOOKUP(H22,#REF!,9,0)),0,VLOOKUP(H22,#REF!,9,0)*I22)/3600</f>
        <v>0</v>
      </c>
    </row>
    <row r="23" spans="2:10" x14ac:dyDescent="0.3">
      <c r="B23" s="121">
        <f t="shared" si="0"/>
        <v>0</v>
      </c>
      <c r="C23" s="122">
        <f t="shared" si="1"/>
        <v>0</v>
      </c>
      <c r="D23" s="123"/>
      <c r="E23" s="125"/>
      <c r="F23" s="125"/>
      <c r="G23" s="125" t="s">
        <v>59</v>
      </c>
      <c r="H23" s="126"/>
      <c r="I23" s="127"/>
      <c r="J23" s="118">
        <f>IF(ISERROR(VLOOKUP(H23,#REF!,9,0)),0,VLOOKUP(H23,#REF!,9,0)*I23)/3600</f>
        <v>0</v>
      </c>
    </row>
    <row r="24" spans="2:10" x14ac:dyDescent="0.3">
      <c r="B24" s="121">
        <f t="shared" si="0"/>
        <v>0</v>
      </c>
      <c r="C24" s="122">
        <f t="shared" si="1"/>
        <v>0</v>
      </c>
      <c r="D24" s="123"/>
      <c r="E24" s="124"/>
      <c r="F24" s="125"/>
      <c r="G24" s="125" t="s">
        <v>59</v>
      </c>
      <c r="H24" s="126"/>
      <c r="I24" s="127"/>
      <c r="J24" s="118">
        <f>IF(ISERROR(VLOOKUP(H24,#REF!,9,0)),0,VLOOKUP(H24,#REF!,9,0)*I24)/3600</f>
        <v>0</v>
      </c>
    </row>
    <row r="25" spans="2:10" x14ac:dyDescent="0.3">
      <c r="B25" s="121">
        <f t="shared" si="0"/>
        <v>0</v>
      </c>
      <c r="C25" s="122">
        <f t="shared" si="1"/>
        <v>0</v>
      </c>
      <c r="D25" s="123"/>
      <c r="E25" s="125"/>
      <c r="F25" s="125"/>
      <c r="G25" s="125" t="s">
        <v>59</v>
      </c>
      <c r="H25" s="126"/>
      <c r="I25" s="127"/>
      <c r="J25" s="118">
        <f>IF(ISERROR(VLOOKUP(H25,#REF!,9,0)),0,VLOOKUP(H25,#REF!,9,0)*I25)/3600</f>
        <v>0</v>
      </c>
    </row>
    <row r="26" spans="2:10" x14ac:dyDescent="0.3">
      <c r="B26" s="121">
        <f t="shared" si="0"/>
        <v>0</v>
      </c>
      <c r="C26" s="122">
        <f t="shared" si="1"/>
        <v>0</v>
      </c>
      <c r="D26" s="123"/>
      <c r="E26" s="124"/>
      <c r="F26" s="125"/>
      <c r="G26" s="125" t="s">
        <v>59</v>
      </c>
      <c r="H26" s="126"/>
      <c r="I26" s="127"/>
      <c r="J26" s="118">
        <f>IF(ISERROR(VLOOKUP(H26,#REF!,9,0)),0,VLOOKUP(H26,#REF!,9,0)*I26)/3600</f>
        <v>0</v>
      </c>
    </row>
    <row r="27" spans="2:10" x14ac:dyDescent="0.3">
      <c r="B27" s="121">
        <f t="shared" si="0"/>
        <v>0</v>
      </c>
      <c r="C27" s="122">
        <f t="shared" si="1"/>
        <v>0</v>
      </c>
      <c r="D27" s="123"/>
      <c r="E27" s="125"/>
      <c r="F27" s="125"/>
      <c r="G27" s="125" t="s">
        <v>59</v>
      </c>
      <c r="H27" s="126"/>
      <c r="I27" s="127"/>
      <c r="J27" s="118">
        <f>IF(ISERROR(VLOOKUP(H27,#REF!,9,0)),0,VLOOKUP(H27,#REF!,9,0)*I27)/3600</f>
        <v>0</v>
      </c>
    </row>
    <row r="28" spans="2:10" x14ac:dyDescent="0.3">
      <c r="B28" s="121">
        <f t="shared" si="0"/>
        <v>0</v>
      </c>
      <c r="C28" s="122">
        <f t="shared" si="1"/>
        <v>0</v>
      </c>
      <c r="D28" s="123"/>
      <c r="E28" s="124"/>
      <c r="F28" s="125"/>
      <c r="G28" s="125" t="s">
        <v>59</v>
      </c>
      <c r="H28" s="126"/>
      <c r="I28" s="127"/>
      <c r="J28" s="118">
        <f>IF(ISERROR(VLOOKUP(H28,#REF!,9,0)),0,VLOOKUP(H28,#REF!,9,0)*I28)/3600</f>
        <v>0</v>
      </c>
    </row>
    <row r="29" spans="2:10" x14ac:dyDescent="0.3">
      <c r="B29" s="121">
        <f t="shared" si="0"/>
        <v>0</v>
      </c>
      <c r="C29" s="122">
        <f t="shared" si="1"/>
        <v>0</v>
      </c>
      <c r="D29" s="123"/>
      <c r="E29" s="125"/>
      <c r="F29" s="125"/>
      <c r="G29" s="125"/>
      <c r="H29" s="126"/>
      <c r="I29" s="127"/>
      <c r="J29" s="118">
        <f>IF(ISERROR(VLOOKUP(H29,#REF!,9,0)),0,VLOOKUP(H29,#REF!,9,0)*I29)/3600</f>
        <v>0</v>
      </c>
    </row>
    <row r="30" spans="2:10" x14ac:dyDescent="0.3">
      <c r="B30" s="121">
        <f t="shared" si="0"/>
        <v>0</v>
      </c>
      <c r="C30" s="122">
        <f t="shared" si="1"/>
        <v>0</v>
      </c>
      <c r="D30" s="123"/>
      <c r="E30" s="124"/>
      <c r="F30" s="125"/>
      <c r="G30" s="125"/>
      <c r="H30" s="126"/>
      <c r="I30" s="127"/>
      <c r="J30" s="118">
        <f>IF(ISERROR(VLOOKUP(H30,#REF!,9,0)),0,VLOOKUP(H30,#REF!,9,0)*I30)/3600</f>
        <v>0</v>
      </c>
    </row>
    <row r="31" spans="2:10" x14ac:dyDescent="0.3">
      <c r="B31" s="121">
        <f t="shared" si="0"/>
        <v>0</v>
      </c>
      <c r="C31" s="122">
        <f t="shared" si="1"/>
        <v>0</v>
      </c>
      <c r="D31" s="123"/>
      <c r="E31" s="125"/>
      <c r="F31" s="125"/>
      <c r="G31" s="125"/>
      <c r="H31" s="126"/>
      <c r="I31" s="127"/>
      <c r="J31" s="118">
        <f>IF(ISERROR(VLOOKUP(H31,#REF!,9,0)),0,VLOOKUP(H31,#REF!,9,0)*I31)/3600</f>
        <v>0</v>
      </c>
    </row>
    <row r="32" spans="2:10" x14ac:dyDescent="0.3">
      <c r="B32" s="121">
        <f t="shared" si="0"/>
        <v>0</v>
      </c>
      <c r="C32" s="122">
        <f t="shared" si="1"/>
        <v>0</v>
      </c>
      <c r="D32" s="123"/>
      <c r="E32" s="124"/>
      <c r="F32" s="125"/>
      <c r="G32" s="125"/>
      <c r="H32" s="126"/>
      <c r="I32" s="127"/>
      <c r="J32" s="118">
        <f>IF(ISERROR(VLOOKUP(H32,#REF!,9,0)),0,VLOOKUP(H32,#REF!,9,0)*I32)/3600</f>
        <v>0</v>
      </c>
    </row>
    <row r="33" spans="2:10" x14ac:dyDescent="0.3">
      <c r="B33" s="121">
        <f t="shared" si="0"/>
        <v>0</v>
      </c>
      <c r="C33" s="122">
        <f t="shared" si="1"/>
        <v>0</v>
      </c>
      <c r="D33" s="123"/>
      <c r="E33" s="125"/>
      <c r="F33" s="125"/>
      <c r="G33" s="125"/>
      <c r="H33" s="126"/>
      <c r="I33" s="127"/>
      <c r="J33" s="118">
        <f>IF(ISERROR(VLOOKUP(H33,#REF!,9,0)),0,VLOOKUP(H33,#REF!,9,0)*I33)/3600</f>
        <v>0</v>
      </c>
    </row>
    <row r="34" spans="2:10" x14ac:dyDescent="0.3">
      <c r="B34" s="121">
        <f t="shared" si="0"/>
        <v>0</v>
      </c>
      <c r="C34" s="122">
        <f t="shared" si="1"/>
        <v>0</v>
      </c>
      <c r="D34" s="123"/>
      <c r="E34" s="124"/>
      <c r="F34" s="125"/>
      <c r="G34" s="125"/>
      <c r="H34" s="126"/>
      <c r="I34" s="127"/>
      <c r="J34" s="118">
        <f>IF(ISERROR(VLOOKUP(H34,#REF!,9,0)),0,VLOOKUP(H34,#REF!,9,0)*I34)/3600</f>
        <v>0</v>
      </c>
    </row>
    <row r="35" spans="2:10" x14ac:dyDescent="0.3">
      <c r="B35" s="121">
        <f t="shared" si="0"/>
        <v>0</v>
      </c>
      <c r="C35" s="122">
        <f t="shared" si="1"/>
        <v>0</v>
      </c>
      <c r="D35" s="123"/>
      <c r="E35" s="125"/>
      <c r="F35" s="125"/>
      <c r="G35" s="125"/>
      <c r="H35" s="126"/>
      <c r="I35" s="127"/>
      <c r="J35" s="118">
        <f>IF(ISERROR(VLOOKUP(H35,#REF!,9,0)),0,VLOOKUP(H35,#REF!,9,0)*I35)/3600</f>
        <v>0</v>
      </c>
    </row>
    <row r="36" spans="2:10" x14ac:dyDescent="0.3">
      <c r="B36" s="121">
        <f t="shared" si="0"/>
        <v>0</v>
      </c>
      <c r="C36" s="122">
        <f t="shared" si="1"/>
        <v>0</v>
      </c>
      <c r="D36" s="123"/>
      <c r="E36" s="124"/>
      <c r="F36" s="125"/>
      <c r="G36" s="125"/>
      <c r="H36" s="126"/>
      <c r="I36" s="127"/>
      <c r="J36" s="118">
        <f>IF(ISERROR(VLOOKUP(H36,#REF!,9,0)),0,VLOOKUP(H36,#REF!,9,0)*I36)/3600</f>
        <v>0</v>
      </c>
    </row>
    <row r="37" spans="2:10" x14ac:dyDescent="0.3">
      <c r="B37" s="121">
        <f t="shared" si="0"/>
        <v>0</v>
      </c>
      <c r="C37" s="122">
        <f t="shared" si="1"/>
        <v>0</v>
      </c>
      <c r="D37" s="123"/>
      <c r="E37" s="125"/>
      <c r="F37" s="125"/>
      <c r="G37" s="125"/>
      <c r="H37" s="126"/>
      <c r="I37" s="127"/>
      <c r="J37" s="118">
        <f>IF(ISERROR(VLOOKUP(H37,#REF!,9,0)),0,VLOOKUP(H37,#REF!,9,0)*I37)/3600</f>
        <v>0</v>
      </c>
    </row>
    <row r="38" spans="2:10" x14ac:dyDescent="0.3">
      <c r="B38" s="121">
        <f t="shared" si="0"/>
        <v>0</v>
      </c>
      <c r="C38" s="122">
        <f t="shared" si="1"/>
        <v>0</v>
      </c>
      <c r="D38" s="123"/>
      <c r="E38" s="124"/>
      <c r="F38" s="125"/>
      <c r="G38" s="125"/>
      <c r="H38" s="126"/>
      <c r="I38" s="127"/>
      <c r="J38" s="118">
        <f>IF(ISERROR(VLOOKUP(H38,#REF!,9,0)),0,VLOOKUP(H38,#REF!,9,0)*I38)/3600</f>
        <v>0</v>
      </c>
    </row>
    <row r="39" spans="2:10" x14ac:dyDescent="0.3">
      <c r="B39" s="121">
        <f t="shared" si="0"/>
        <v>0</v>
      </c>
      <c r="C39" s="122">
        <f t="shared" si="1"/>
        <v>0</v>
      </c>
      <c r="D39" s="123"/>
      <c r="E39" s="125"/>
      <c r="F39" s="125"/>
      <c r="G39" s="125"/>
      <c r="H39" s="126"/>
      <c r="I39" s="127"/>
      <c r="J39" s="118">
        <f>IF(ISERROR(VLOOKUP(H39,#REF!,9,0)),0,VLOOKUP(H39,#REF!,9,0)*I39)/3600</f>
        <v>0</v>
      </c>
    </row>
    <row r="40" spans="2:10" x14ac:dyDescent="0.3">
      <c r="B40" s="121">
        <f t="shared" si="0"/>
        <v>0</v>
      </c>
      <c r="C40" s="122">
        <f t="shared" si="1"/>
        <v>0</v>
      </c>
      <c r="D40" s="123"/>
      <c r="E40" s="124"/>
      <c r="F40" s="125"/>
      <c r="G40" s="125"/>
      <c r="H40" s="126"/>
      <c r="I40" s="127"/>
      <c r="J40" s="118">
        <f>IF(ISERROR(VLOOKUP(H40,#REF!,9,0)),0,VLOOKUP(H40,#REF!,9,0)*I40)/3600</f>
        <v>0</v>
      </c>
    </row>
    <row r="41" spans="2:10" x14ac:dyDescent="0.3">
      <c r="B41" s="121">
        <f t="shared" si="0"/>
        <v>0</v>
      </c>
      <c r="C41" s="122">
        <f t="shared" si="1"/>
        <v>0</v>
      </c>
      <c r="D41" s="123"/>
      <c r="E41" s="125"/>
      <c r="F41" s="125"/>
      <c r="G41" s="125"/>
      <c r="H41" s="126"/>
      <c r="I41" s="127"/>
      <c r="J41" s="118">
        <f>IF(ISERROR(VLOOKUP(H41,#REF!,9,0)),0,VLOOKUP(H41,#REF!,9,0)*I41)/3600</f>
        <v>0</v>
      </c>
    </row>
    <row r="42" spans="2:10" x14ac:dyDescent="0.3">
      <c r="B42" s="121">
        <f t="shared" si="0"/>
        <v>0</v>
      </c>
      <c r="C42" s="122">
        <f t="shared" si="1"/>
        <v>0</v>
      </c>
      <c r="D42" s="123"/>
      <c r="E42" s="124"/>
      <c r="F42" s="125"/>
      <c r="G42" s="125"/>
      <c r="H42" s="126"/>
      <c r="I42" s="127"/>
      <c r="J42" s="118">
        <f>IF(ISERROR(VLOOKUP(H42,#REF!,9,0)),0,VLOOKUP(H42,#REF!,9,0)*I42)/3600</f>
        <v>0</v>
      </c>
    </row>
    <row r="43" spans="2:10" x14ac:dyDescent="0.3">
      <c r="B43" s="121">
        <f t="shared" si="0"/>
        <v>0</v>
      </c>
      <c r="C43" s="122">
        <f t="shared" si="1"/>
        <v>0</v>
      </c>
      <c r="D43" s="123"/>
      <c r="E43" s="125"/>
      <c r="F43" s="125"/>
      <c r="G43" s="125"/>
      <c r="H43" s="126"/>
      <c r="I43" s="127"/>
      <c r="J43" s="118">
        <f>IF(ISERROR(VLOOKUP(H43,#REF!,9,0)),0,VLOOKUP(H43,#REF!,9,0)*I43)/3600</f>
        <v>0</v>
      </c>
    </row>
    <row r="44" spans="2:10" x14ac:dyDescent="0.3">
      <c r="B44" s="121">
        <f t="shared" si="0"/>
        <v>0</v>
      </c>
      <c r="C44" s="122">
        <f t="shared" si="1"/>
        <v>0</v>
      </c>
      <c r="D44" s="123"/>
      <c r="E44" s="124"/>
      <c r="F44" s="125"/>
      <c r="G44" s="125"/>
      <c r="H44" s="126"/>
      <c r="I44" s="127"/>
      <c r="J44" s="118">
        <f>IF(ISERROR(VLOOKUP(H44,#REF!,9,0)),0,VLOOKUP(H44,#REF!,9,0)*I44)/3600</f>
        <v>0</v>
      </c>
    </row>
    <row r="45" spans="2:10" x14ac:dyDescent="0.3">
      <c r="B45" s="121">
        <f t="shared" si="0"/>
        <v>0</v>
      </c>
      <c r="C45" s="122">
        <f t="shared" si="1"/>
        <v>0</v>
      </c>
      <c r="D45" s="123"/>
      <c r="E45" s="125"/>
      <c r="F45" s="125"/>
      <c r="G45" s="125"/>
      <c r="H45" s="126"/>
      <c r="I45" s="127"/>
      <c r="J45" s="118">
        <f>IF(ISERROR(VLOOKUP(H45,#REF!,9,0)),0,VLOOKUP(H45,#REF!,9,0)*I45)/3600</f>
        <v>0</v>
      </c>
    </row>
    <row r="46" spans="2:10" x14ac:dyDescent="0.3">
      <c r="B46" s="121">
        <f t="shared" si="0"/>
        <v>0</v>
      </c>
      <c r="C46" s="122">
        <f t="shared" si="1"/>
        <v>0</v>
      </c>
      <c r="D46" s="123"/>
      <c r="E46" s="124"/>
      <c r="F46" s="125"/>
      <c r="G46" s="125"/>
      <c r="H46" s="126"/>
      <c r="I46" s="127"/>
      <c r="J46" s="118">
        <f>IF(ISERROR(VLOOKUP(H46,#REF!,9,0)),0,VLOOKUP(H46,#REF!,9,0)*I46)/3600</f>
        <v>0</v>
      </c>
    </row>
    <row r="47" spans="2:10" x14ac:dyDescent="0.3">
      <c r="B47" s="121">
        <f t="shared" si="0"/>
        <v>0</v>
      </c>
      <c r="C47" s="122">
        <f t="shared" si="1"/>
        <v>0</v>
      </c>
      <c r="D47" s="123"/>
      <c r="E47" s="125"/>
      <c r="F47" s="125"/>
      <c r="G47" s="125"/>
      <c r="H47" s="126"/>
      <c r="I47" s="127"/>
      <c r="J47" s="118">
        <f>IF(ISERROR(VLOOKUP(H47,#REF!,9,0)),0,VLOOKUP(H47,#REF!,9,0)*I47)/3600</f>
        <v>0</v>
      </c>
    </row>
    <row r="48" spans="2:10" x14ac:dyDescent="0.3">
      <c r="B48" s="121">
        <f t="shared" si="0"/>
        <v>0</v>
      </c>
      <c r="C48" s="122">
        <f t="shared" si="1"/>
        <v>0</v>
      </c>
      <c r="D48" s="123"/>
      <c r="E48" s="124"/>
      <c r="F48" s="125"/>
      <c r="G48" s="125"/>
      <c r="H48" s="126"/>
      <c r="I48" s="127"/>
      <c r="J48" s="118">
        <f>IF(ISERROR(VLOOKUP(H48,#REF!,9,0)),0,VLOOKUP(H48,#REF!,9,0)*I48)/3600</f>
        <v>0</v>
      </c>
    </row>
    <row r="49" spans="2:10" x14ac:dyDescent="0.3">
      <c r="B49" s="121">
        <f t="shared" si="0"/>
        <v>0</v>
      </c>
      <c r="C49" s="122">
        <f t="shared" si="1"/>
        <v>0</v>
      </c>
      <c r="D49" s="123"/>
      <c r="E49" s="125"/>
      <c r="F49" s="125"/>
      <c r="G49" s="125"/>
      <c r="H49" s="126"/>
      <c r="I49" s="127"/>
      <c r="J49" s="118">
        <f>IF(ISERROR(VLOOKUP(H49,#REF!,9,0)),0,VLOOKUP(H49,#REF!,9,0)*I49)/3600</f>
        <v>0</v>
      </c>
    </row>
    <row r="50" spans="2:10" x14ac:dyDescent="0.3">
      <c r="B50" s="121">
        <f t="shared" si="0"/>
        <v>0</v>
      </c>
      <c r="C50" s="122">
        <f t="shared" si="1"/>
        <v>0</v>
      </c>
      <c r="D50" s="123"/>
      <c r="E50" s="124"/>
      <c r="F50" s="125"/>
      <c r="G50" s="125"/>
      <c r="H50" s="126"/>
      <c r="I50" s="127"/>
      <c r="J50" s="118">
        <f>IF(ISERROR(VLOOKUP(H50,#REF!,9,0)),0,VLOOKUP(H50,#REF!,9,0)*I50)/3600</f>
        <v>0</v>
      </c>
    </row>
    <row r="51" spans="2:10" x14ac:dyDescent="0.3">
      <c r="B51" s="121">
        <f t="shared" si="0"/>
        <v>0</v>
      </c>
      <c r="C51" s="122">
        <f t="shared" si="1"/>
        <v>0</v>
      </c>
      <c r="D51" s="123"/>
      <c r="E51" s="125"/>
      <c r="F51" s="125"/>
      <c r="G51" s="125"/>
      <c r="H51" s="126"/>
      <c r="I51" s="127"/>
      <c r="J51" s="118">
        <f>IF(ISERROR(VLOOKUP(H51,#REF!,9,0)),0,VLOOKUP(H51,#REF!,9,0)*I51)/3600</f>
        <v>0</v>
      </c>
    </row>
    <row r="52" spans="2:10" x14ac:dyDescent="0.3">
      <c r="B52" s="121">
        <f t="shared" si="0"/>
        <v>0</v>
      </c>
      <c r="C52" s="122">
        <f t="shared" si="1"/>
        <v>0</v>
      </c>
      <c r="D52" s="123"/>
      <c r="E52" s="124"/>
      <c r="F52" s="125"/>
      <c r="G52" s="125"/>
      <c r="H52" s="126"/>
      <c r="I52" s="127"/>
      <c r="J52" s="118">
        <f>IF(ISERROR(VLOOKUP(H52,#REF!,9,0)),0,VLOOKUP(H52,#REF!,9,0)*I52)/3600</f>
        <v>0</v>
      </c>
    </row>
    <row r="53" spans="2:10" x14ac:dyDescent="0.3">
      <c r="B53" s="121">
        <f t="shared" si="0"/>
        <v>0</v>
      </c>
      <c r="C53" s="122">
        <f t="shared" si="1"/>
        <v>0</v>
      </c>
      <c r="D53" s="123"/>
      <c r="E53" s="125"/>
      <c r="F53" s="125"/>
      <c r="G53" s="125"/>
      <c r="H53" s="126"/>
      <c r="I53" s="127"/>
      <c r="J53" s="118">
        <f>IF(ISERROR(VLOOKUP(H53,#REF!,9,0)),0,VLOOKUP(H53,#REF!,9,0)*I53)/3600</f>
        <v>0</v>
      </c>
    </row>
    <row r="54" spans="2:10" x14ac:dyDescent="0.3">
      <c r="B54" s="121">
        <f t="shared" si="0"/>
        <v>0</v>
      </c>
      <c r="C54" s="122">
        <f t="shared" si="1"/>
        <v>0</v>
      </c>
      <c r="D54" s="123"/>
      <c r="E54" s="124"/>
      <c r="F54" s="125"/>
      <c r="G54" s="125"/>
      <c r="H54" s="126"/>
      <c r="I54" s="127"/>
      <c r="J54" s="118">
        <f>IF(ISERROR(VLOOKUP(H54,#REF!,9,0)),0,VLOOKUP(H54,#REF!,9,0)*I54)/3600</f>
        <v>0</v>
      </c>
    </row>
    <row r="55" spans="2:10" x14ac:dyDescent="0.3">
      <c r="B55" s="121">
        <f t="shared" si="0"/>
        <v>0</v>
      </c>
      <c r="C55" s="122">
        <f t="shared" si="1"/>
        <v>0</v>
      </c>
      <c r="D55" s="123"/>
      <c r="E55" s="125"/>
      <c r="F55" s="125"/>
      <c r="G55" s="125"/>
      <c r="H55" s="126"/>
      <c r="I55" s="127"/>
      <c r="J55" s="118">
        <f>IF(ISERROR(VLOOKUP(H55,#REF!,9,0)),0,VLOOKUP(H55,#REF!,9,0)*I55)/3600</f>
        <v>0</v>
      </c>
    </row>
    <row r="56" spans="2:10" x14ac:dyDescent="0.3">
      <c r="B56" s="121">
        <f t="shared" si="0"/>
        <v>0</v>
      </c>
      <c r="C56" s="122">
        <f t="shared" si="1"/>
        <v>0</v>
      </c>
      <c r="D56" s="123"/>
      <c r="E56" s="124"/>
      <c r="F56" s="125"/>
      <c r="G56" s="125"/>
      <c r="H56" s="126"/>
      <c r="I56" s="127"/>
      <c r="J56" s="118">
        <f>IF(ISERROR(VLOOKUP(H56,#REF!,9,0)),0,VLOOKUP(H56,#REF!,9,0)*I56)/3600</f>
        <v>0</v>
      </c>
    </row>
    <row r="57" spans="2:10" x14ac:dyDescent="0.3">
      <c r="B57" s="121">
        <f t="shared" si="0"/>
        <v>0</v>
      </c>
      <c r="C57" s="122">
        <f t="shared" si="1"/>
        <v>0</v>
      </c>
      <c r="D57" s="123"/>
      <c r="E57" s="125"/>
      <c r="F57" s="125"/>
      <c r="G57" s="125"/>
      <c r="H57" s="126"/>
      <c r="I57" s="127"/>
      <c r="J57" s="118">
        <f>IF(ISERROR(VLOOKUP(H57,#REF!,9,0)),0,VLOOKUP(H57,#REF!,9,0)*I57)/3600</f>
        <v>0</v>
      </c>
    </row>
    <row r="58" spans="2:10" x14ac:dyDescent="0.3">
      <c r="B58" s="121">
        <f t="shared" si="0"/>
        <v>0</v>
      </c>
      <c r="C58" s="122">
        <f t="shared" si="1"/>
        <v>0</v>
      </c>
      <c r="D58" s="123"/>
      <c r="E58" s="124"/>
      <c r="F58" s="125"/>
      <c r="G58" s="125"/>
      <c r="H58" s="126"/>
      <c r="I58" s="127"/>
      <c r="J58" s="118">
        <f>IF(ISERROR(VLOOKUP(H58,#REF!,9,0)),0,VLOOKUP(H58,#REF!,9,0)*I58)/3600</f>
        <v>0</v>
      </c>
    </row>
    <row r="59" spans="2:10" x14ac:dyDescent="0.3">
      <c r="B59" s="121">
        <f t="shared" si="0"/>
        <v>0</v>
      </c>
      <c r="C59" s="122">
        <f t="shared" si="1"/>
        <v>0</v>
      </c>
      <c r="D59" s="123"/>
      <c r="E59" s="125"/>
      <c r="F59" s="125"/>
      <c r="G59" s="125"/>
      <c r="H59" s="126"/>
      <c r="I59" s="127"/>
      <c r="J59" s="118">
        <f>IF(ISERROR(VLOOKUP(H59,#REF!,9,0)),0,VLOOKUP(H59,#REF!,9,0)*I59)/3600</f>
        <v>0</v>
      </c>
    </row>
    <row r="60" spans="2:10" x14ac:dyDescent="0.3">
      <c r="B60" s="121">
        <f t="shared" si="0"/>
        <v>0</v>
      </c>
      <c r="C60" s="122">
        <f t="shared" si="1"/>
        <v>0</v>
      </c>
      <c r="D60" s="123"/>
      <c r="E60" s="124"/>
      <c r="F60" s="125"/>
      <c r="G60" s="125"/>
      <c r="H60" s="126"/>
      <c r="I60" s="127"/>
      <c r="J60" s="118">
        <f>IF(ISERROR(VLOOKUP(H60,#REF!,9,0)),0,VLOOKUP(H60,#REF!,9,0)*I60)/3600</f>
        <v>0</v>
      </c>
    </row>
    <row r="61" spans="2:10" x14ac:dyDescent="0.3">
      <c r="B61" s="121">
        <f t="shared" si="0"/>
        <v>0</v>
      </c>
      <c r="C61" s="122">
        <f t="shared" si="1"/>
        <v>0</v>
      </c>
      <c r="D61" s="123"/>
      <c r="E61" s="125"/>
      <c r="F61" s="125"/>
      <c r="G61" s="125"/>
      <c r="H61" s="126"/>
      <c r="I61" s="127"/>
      <c r="J61" s="118">
        <f>IF(ISERROR(VLOOKUP(H61,#REF!,9,0)),0,VLOOKUP(H61,#REF!,9,0)*I61)/3600</f>
        <v>0</v>
      </c>
    </row>
    <row r="62" spans="2:10" x14ac:dyDescent="0.3">
      <c r="B62" s="121">
        <f t="shared" si="0"/>
        <v>0</v>
      </c>
      <c r="C62" s="122">
        <f t="shared" si="1"/>
        <v>0</v>
      </c>
      <c r="D62" s="123"/>
      <c r="E62" s="124"/>
      <c r="F62" s="125"/>
      <c r="G62" s="125"/>
      <c r="H62" s="126"/>
      <c r="I62" s="127"/>
      <c r="J62" s="118">
        <f>IF(ISERROR(VLOOKUP(H62,#REF!,9,0)),0,VLOOKUP(H62,#REF!,9,0)*I62)/3600</f>
        <v>0</v>
      </c>
    </row>
    <row r="63" spans="2:10" x14ac:dyDescent="0.3">
      <c r="B63" s="121">
        <f t="shared" si="0"/>
        <v>0</v>
      </c>
      <c r="C63" s="122">
        <f t="shared" si="1"/>
        <v>0</v>
      </c>
      <c r="D63" s="123"/>
      <c r="E63" s="125"/>
      <c r="F63" s="125"/>
      <c r="G63" s="125"/>
      <c r="H63" s="126"/>
      <c r="I63" s="127"/>
      <c r="J63" s="118">
        <f>IF(ISERROR(VLOOKUP(H63,#REF!,9,0)),0,VLOOKUP(H63,#REF!,9,0)*I63)/3600</f>
        <v>0</v>
      </c>
    </row>
    <row r="64" spans="2:10" x14ac:dyDescent="0.3">
      <c r="B64" s="121">
        <f t="shared" si="0"/>
        <v>0</v>
      </c>
      <c r="C64" s="122">
        <f t="shared" si="1"/>
        <v>0</v>
      </c>
      <c r="D64" s="123"/>
      <c r="E64" s="124"/>
      <c r="F64" s="125"/>
      <c r="G64" s="125"/>
      <c r="H64" s="126"/>
      <c r="I64" s="127"/>
      <c r="J64" s="118">
        <f>IF(ISERROR(VLOOKUP(H64,#REF!,9,0)),0,VLOOKUP(H64,#REF!,9,0)*I64)/3600</f>
        <v>0</v>
      </c>
    </row>
    <row r="65" spans="2:10" x14ac:dyDescent="0.3">
      <c r="B65" s="121">
        <f t="shared" si="0"/>
        <v>0</v>
      </c>
      <c r="C65" s="122">
        <f t="shared" si="1"/>
        <v>0</v>
      </c>
      <c r="D65" s="123"/>
      <c r="E65" s="125"/>
      <c r="F65" s="125"/>
      <c r="G65" s="125"/>
      <c r="H65" s="126"/>
      <c r="I65" s="127"/>
      <c r="J65" s="118">
        <f>IF(ISERROR(VLOOKUP(H65,#REF!,9,0)),0,VLOOKUP(H65,#REF!,9,0)*I65)/3600</f>
        <v>0</v>
      </c>
    </row>
    <row r="66" spans="2:10" x14ac:dyDescent="0.3">
      <c r="B66" s="121">
        <f t="shared" si="0"/>
        <v>0</v>
      </c>
      <c r="C66" s="122">
        <f t="shared" si="1"/>
        <v>0</v>
      </c>
      <c r="D66" s="123"/>
      <c r="E66" s="124"/>
      <c r="F66" s="125"/>
      <c r="G66" s="125"/>
      <c r="H66" s="126"/>
      <c r="I66" s="127"/>
      <c r="J66" s="118">
        <f>IF(ISERROR(VLOOKUP(H66,#REF!,9,0)),0,VLOOKUP(H66,#REF!,9,0)*I66)/3600</f>
        <v>0</v>
      </c>
    </row>
    <row r="67" spans="2:10" x14ac:dyDescent="0.3">
      <c r="B67" s="121">
        <f t="shared" si="0"/>
        <v>0</v>
      </c>
      <c r="C67" s="122">
        <f t="shared" si="1"/>
        <v>0</v>
      </c>
      <c r="D67" s="123"/>
      <c r="E67" s="125"/>
      <c r="F67" s="125"/>
      <c r="G67" s="125"/>
      <c r="H67" s="126"/>
      <c r="I67" s="127"/>
      <c r="J67" s="118">
        <f>IF(ISERROR(VLOOKUP(H67,#REF!,9,0)),0,VLOOKUP(H67,#REF!,9,0)*I67)/3600</f>
        <v>0</v>
      </c>
    </row>
    <row r="68" spans="2:10" x14ac:dyDescent="0.3">
      <c r="B68" s="121">
        <f t="shared" si="0"/>
        <v>0</v>
      </c>
      <c r="C68" s="122">
        <f t="shared" si="1"/>
        <v>0</v>
      </c>
      <c r="D68" s="123"/>
      <c r="E68" s="124"/>
      <c r="F68" s="125"/>
      <c r="G68" s="125"/>
      <c r="H68" s="126"/>
      <c r="I68" s="127"/>
      <c r="J68" s="118">
        <f>IF(ISERROR(VLOOKUP(H68,#REF!,9,0)),0,VLOOKUP(H68,#REF!,9,0)*I68)/3600</f>
        <v>0</v>
      </c>
    </row>
    <row r="69" spans="2:10" x14ac:dyDescent="0.3">
      <c r="B69" s="121">
        <f t="shared" si="0"/>
        <v>0</v>
      </c>
      <c r="C69" s="122">
        <f t="shared" si="1"/>
        <v>0</v>
      </c>
      <c r="D69" s="123"/>
      <c r="E69" s="125"/>
      <c r="F69" s="125"/>
      <c r="G69" s="125"/>
      <c r="H69" s="126"/>
      <c r="I69" s="127"/>
      <c r="J69" s="118">
        <f>IF(ISERROR(VLOOKUP(H69,#REF!,9,0)),0,VLOOKUP(H69,#REF!,9,0)*I69)/3600</f>
        <v>0</v>
      </c>
    </row>
    <row r="70" spans="2:10" x14ac:dyDescent="0.3">
      <c r="B70" s="121">
        <f t="shared" ref="B70:B133" si="3">IF(D70&gt;0,YEAR(D70),0)</f>
        <v>0</v>
      </c>
      <c r="C70" s="122">
        <f t="shared" ref="C70:C133" si="4">IF(D70&gt;0,MONTH(D70),0)</f>
        <v>0</v>
      </c>
      <c r="D70" s="123"/>
      <c r="E70" s="124"/>
      <c r="F70" s="125"/>
      <c r="G70" s="125"/>
      <c r="H70" s="126"/>
      <c r="I70" s="127"/>
      <c r="J70" s="118">
        <f>IF(ISERROR(VLOOKUP(H70,#REF!,9,0)),0,VLOOKUP(H70,#REF!,9,0)*I70)/3600</f>
        <v>0</v>
      </c>
    </row>
    <row r="71" spans="2:10" x14ac:dyDescent="0.3">
      <c r="B71" s="121">
        <f t="shared" si="3"/>
        <v>0</v>
      </c>
      <c r="C71" s="122">
        <f t="shared" si="4"/>
        <v>0</v>
      </c>
      <c r="D71" s="123"/>
      <c r="E71" s="125"/>
      <c r="F71" s="125"/>
      <c r="G71" s="125"/>
      <c r="H71" s="126"/>
      <c r="I71" s="127"/>
      <c r="J71" s="118">
        <f>IF(ISERROR(VLOOKUP(H71,#REF!,9,0)),0,VLOOKUP(H71,#REF!,9,0)*I71)/3600</f>
        <v>0</v>
      </c>
    </row>
    <row r="72" spans="2:10" x14ac:dyDescent="0.3">
      <c r="B72" s="121">
        <f t="shared" si="3"/>
        <v>0</v>
      </c>
      <c r="C72" s="122">
        <f t="shared" si="4"/>
        <v>0</v>
      </c>
      <c r="D72" s="123"/>
      <c r="E72" s="124"/>
      <c r="F72" s="125"/>
      <c r="G72" s="125"/>
      <c r="H72" s="126"/>
      <c r="I72" s="127"/>
      <c r="J72" s="118">
        <f>IF(ISERROR(VLOOKUP(H72,#REF!,9,0)),0,VLOOKUP(H72,#REF!,9,0)*I72)/3600</f>
        <v>0</v>
      </c>
    </row>
    <row r="73" spans="2:10" x14ac:dyDescent="0.3">
      <c r="B73" s="121">
        <f t="shared" si="3"/>
        <v>0</v>
      </c>
      <c r="C73" s="122">
        <f t="shared" si="4"/>
        <v>0</v>
      </c>
      <c r="D73" s="123"/>
      <c r="E73" s="125"/>
      <c r="F73" s="125"/>
      <c r="G73" s="125"/>
      <c r="H73" s="126"/>
      <c r="I73" s="127"/>
      <c r="J73" s="118">
        <f>IF(ISERROR(VLOOKUP(H73,#REF!,9,0)),0,VLOOKUP(H73,#REF!,9,0)*I73)/3600</f>
        <v>0</v>
      </c>
    </row>
    <row r="74" spans="2:10" x14ac:dyDescent="0.3">
      <c r="B74" s="121">
        <f t="shared" si="3"/>
        <v>0</v>
      </c>
      <c r="C74" s="122">
        <f t="shared" si="4"/>
        <v>0</v>
      </c>
      <c r="D74" s="123"/>
      <c r="E74" s="124"/>
      <c r="F74" s="125"/>
      <c r="G74" s="125"/>
      <c r="H74" s="126"/>
      <c r="I74" s="127"/>
      <c r="J74" s="118">
        <f>IF(ISERROR(VLOOKUP(H74,#REF!,9,0)),0,VLOOKUP(H74,#REF!,9,0)*I74)/3600</f>
        <v>0</v>
      </c>
    </row>
    <row r="75" spans="2:10" x14ac:dyDescent="0.3">
      <c r="B75" s="121">
        <f t="shared" si="3"/>
        <v>0</v>
      </c>
      <c r="C75" s="122">
        <f t="shared" si="4"/>
        <v>0</v>
      </c>
      <c r="D75" s="123"/>
      <c r="E75" s="125"/>
      <c r="F75" s="125"/>
      <c r="G75" s="125"/>
      <c r="H75" s="126"/>
      <c r="I75" s="127"/>
      <c r="J75" s="118">
        <f>IF(ISERROR(VLOOKUP(H75,#REF!,9,0)),0,VLOOKUP(H75,#REF!,9,0)*I75)/3600</f>
        <v>0</v>
      </c>
    </row>
    <row r="76" spans="2:10" x14ac:dyDescent="0.3">
      <c r="B76" s="121">
        <f t="shared" si="3"/>
        <v>0</v>
      </c>
      <c r="C76" s="122">
        <f t="shared" si="4"/>
        <v>0</v>
      </c>
      <c r="D76" s="123"/>
      <c r="E76" s="124"/>
      <c r="F76" s="125"/>
      <c r="G76" s="125"/>
      <c r="H76" s="126"/>
      <c r="I76" s="127"/>
      <c r="J76" s="118">
        <f>IF(ISERROR(VLOOKUP(H76,#REF!,9,0)),0,VLOOKUP(H76,#REF!,9,0)*I76)/3600</f>
        <v>0</v>
      </c>
    </row>
    <row r="77" spans="2:10" x14ac:dyDescent="0.3">
      <c r="B77" s="121">
        <f t="shared" si="3"/>
        <v>0</v>
      </c>
      <c r="C77" s="122">
        <f t="shared" si="4"/>
        <v>0</v>
      </c>
      <c r="D77" s="123"/>
      <c r="E77" s="125"/>
      <c r="F77" s="125"/>
      <c r="G77" s="125"/>
      <c r="H77" s="126"/>
      <c r="I77" s="127"/>
      <c r="J77" s="118">
        <f>IF(ISERROR(VLOOKUP(H77,#REF!,9,0)),0,VLOOKUP(H77,#REF!,9,0)*I77)/3600</f>
        <v>0</v>
      </c>
    </row>
    <row r="78" spans="2:10" x14ac:dyDescent="0.3">
      <c r="B78" s="121">
        <f t="shared" si="3"/>
        <v>0</v>
      </c>
      <c r="C78" s="122">
        <f t="shared" si="4"/>
        <v>0</v>
      </c>
      <c r="D78" s="123"/>
      <c r="E78" s="124"/>
      <c r="F78" s="125"/>
      <c r="G78" s="125"/>
      <c r="H78" s="126"/>
      <c r="I78" s="127"/>
      <c r="J78" s="118">
        <f>IF(ISERROR(VLOOKUP(H78,#REF!,9,0)),0,VLOOKUP(H78,#REF!,9,0)*I78)/3600</f>
        <v>0</v>
      </c>
    </row>
    <row r="79" spans="2:10" x14ac:dyDescent="0.3">
      <c r="B79" s="121">
        <f t="shared" si="3"/>
        <v>0</v>
      </c>
      <c r="C79" s="122">
        <f t="shared" si="4"/>
        <v>0</v>
      </c>
      <c r="D79" s="123"/>
      <c r="E79" s="125"/>
      <c r="F79" s="125"/>
      <c r="G79" s="125"/>
      <c r="H79" s="126"/>
      <c r="I79" s="127"/>
      <c r="J79" s="118">
        <f>IF(ISERROR(VLOOKUP(H79,#REF!,9,0)),0,VLOOKUP(H79,#REF!,9,0)*I79)/3600</f>
        <v>0</v>
      </c>
    </row>
    <row r="80" spans="2:10" x14ac:dyDescent="0.3">
      <c r="B80" s="121">
        <f t="shared" si="3"/>
        <v>0</v>
      </c>
      <c r="C80" s="122">
        <f t="shared" si="4"/>
        <v>0</v>
      </c>
      <c r="D80" s="123"/>
      <c r="E80" s="124"/>
      <c r="F80" s="125"/>
      <c r="G80" s="125"/>
      <c r="H80" s="126"/>
      <c r="I80" s="127"/>
      <c r="J80" s="118">
        <f>IF(ISERROR(VLOOKUP(H80,#REF!,9,0)),0,VLOOKUP(H80,#REF!,9,0)*I80)/3600</f>
        <v>0</v>
      </c>
    </row>
    <row r="81" spans="2:10" x14ac:dyDescent="0.3">
      <c r="B81" s="121">
        <f t="shared" si="3"/>
        <v>0</v>
      </c>
      <c r="C81" s="122">
        <f t="shared" si="4"/>
        <v>0</v>
      </c>
      <c r="D81" s="123"/>
      <c r="E81" s="125"/>
      <c r="F81" s="125"/>
      <c r="G81" s="125"/>
      <c r="H81" s="126"/>
      <c r="I81" s="127"/>
      <c r="J81" s="118">
        <f>IF(ISERROR(VLOOKUP(H81,#REF!,9,0)),0,VLOOKUP(H81,#REF!,9,0)*I81)/3600</f>
        <v>0</v>
      </c>
    </row>
    <row r="82" spans="2:10" x14ac:dyDescent="0.3">
      <c r="B82" s="121">
        <f t="shared" si="3"/>
        <v>0</v>
      </c>
      <c r="C82" s="122">
        <f t="shared" si="4"/>
        <v>0</v>
      </c>
      <c r="D82" s="123"/>
      <c r="E82" s="124"/>
      <c r="F82" s="125"/>
      <c r="G82" s="125"/>
      <c r="H82" s="126"/>
      <c r="I82" s="127"/>
      <c r="J82" s="118">
        <f>IF(ISERROR(VLOOKUP(H82,#REF!,9,0)),0,VLOOKUP(H82,#REF!,9,0)*I82)/3600</f>
        <v>0</v>
      </c>
    </row>
    <row r="83" spans="2:10" x14ac:dyDescent="0.3">
      <c r="B83" s="121">
        <f t="shared" si="3"/>
        <v>0</v>
      </c>
      <c r="C83" s="122">
        <f t="shared" si="4"/>
        <v>0</v>
      </c>
      <c r="D83" s="123"/>
      <c r="E83" s="125"/>
      <c r="F83" s="125"/>
      <c r="G83" s="125"/>
      <c r="H83" s="126"/>
      <c r="I83" s="127"/>
      <c r="J83" s="118">
        <f>IF(ISERROR(VLOOKUP(H83,#REF!,9,0)),0,VLOOKUP(H83,#REF!,9,0)*I83)/3600</f>
        <v>0</v>
      </c>
    </row>
    <row r="84" spans="2:10" x14ac:dyDescent="0.3">
      <c r="B84" s="121">
        <f t="shared" si="3"/>
        <v>0</v>
      </c>
      <c r="C84" s="122">
        <f t="shared" si="4"/>
        <v>0</v>
      </c>
      <c r="D84" s="123"/>
      <c r="E84" s="124"/>
      <c r="F84" s="125"/>
      <c r="G84" s="125"/>
      <c r="H84" s="126"/>
      <c r="I84" s="127"/>
      <c r="J84" s="118">
        <f>IF(ISERROR(VLOOKUP(H84,#REF!,9,0)),0,VLOOKUP(H84,#REF!,9,0)*I84)/3600</f>
        <v>0</v>
      </c>
    </row>
    <row r="85" spans="2:10" x14ac:dyDescent="0.3">
      <c r="B85" s="121">
        <f t="shared" si="3"/>
        <v>0</v>
      </c>
      <c r="C85" s="122">
        <f t="shared" si="4"/>
        <v>0</v>
      </c>
      <c r="D85" s="123"/>
      <c r="E85" s="125"/>
      <c r="F85" s="125"/>
      <c r="G85" s="125"/>
      <c r="H85" s="126"/>
      <c r="I85" s="127"/>
      <c r="J85" s="118">
        <f>IF(ISERROR(VLOOKUP(H85,#REF!,9,0)),0,VLOOKUP(H85,#REF!,9,0)*I85)/3600</f>
        <v>0</v>
      </c>
    </row>
    <row r="86" spans="2:10" x14ac:dyDescent="0.3">
      <c r="B86" s="121">
        <f t="shared" si="3"/>
        <v>0</v>
      </c>
      <c r="C86" s="122">
        <f t="shared" si="4"/>
        <v>0</v>
      </c>
      <c r="D86" s="123"/>
      <c r="E86" s="124"/>
      <c r="F86" s="125"/>
      <c r="G86" s="125"/>
      <c r="H86" s="126"/>
      <c r="I86" s="127"/>
      <c r="J86" s="118">
        <f>IF(ISERROR(VLOOKUP(H86,#REF!,9,0)),0,VLOOKUP(H86,#REF!,9,0)*I86)/3600</f>
        <v>0</v>
      </c>
    </row>
    <row r="87" spans="2:10" x14ac:dyDescent="0.3">
      <c r="B87" s="121">
        <f t="shared" si="3"/>
        <v>0</v>
      </c>
      <c r="C87" s="122">
        <f t="shared" si="4"/>
        <v>0</v>
      </c>
      <c r="D87" s="123"/>
      <c r="E87" s="125"/>
      <c r="F87" s="125"/>
      <c r="G87" s="125"/>
      <c r="H87" s="126"/>
      <c r="I87" s="127"/>
      <c r="J87" s="118">
        <f>IF(ISERROR(VLOOKUP(H87,#REF!,9,0)),0,VLOOKUP(H87,#REF!,9,0)*I87)/3600</f>
        <v>0</v>
      </c>
    </row>
    <row r="88" spans="2:10" x14ac:dyDescent="0.3">
      <c r="B88" s="121">
        <f t="shared" si="3"/>
        <v>0</v>
      </c>
      <c r="C88" s="122">
        <f t="shared" si="4"/>
        <v>0</v>
      </c>
      <c r="D88" s="123"/>
      <c r="E88" s="124"/>
      <c r="F88" s="125"/>
      <c r="G88" s="125"/>
      <c r="H88" s="126"/>
      <c r="I88" s="127"/>
      <c r="J88" s="118">
        <f>IF(ISERROR(VLOOKUP(H88,#REF!,9,0)),0,VLOOKUP(H88,#REF!,9,0)*I88)/3600</f>
        <v>0</v>
      </c>
    </row>
    <row r="89" spans="2:10" x14ac:dyDescent="0.3">
      <c r="B89" s="121">
        <f t="shared" si="3"/>
        <v>0</v>
      </c>
      <c r="C89" s="122">
        <f t="shared" si="4"/>
        <v>0</v>
      </c>
      <c r="D89" s="123"/>
      <c r="E89" s="125"/>
      <c r="F89" s="125"/>
      <c r="G89" s="125"/>
      <c r="H89" s="126"/>
      <c r="I89" s="127"/>
      <c r="J89" s="118">
        <f>IF(ISERROR(VLOOKUP(H89,#REF!,9,0)),0,VLOOKUP(H89,#REF!,9,0)*I89)/3600</f>
        <v>0</v>
      </c>
    </row>
    <row r="90" spans="2:10" x14ac:dyDescent="0.3">
      <c r="B90" s="121">
        <f t="shared" si="3"/>
        <v>0</v>
      </c>
      <c r="C90" s="122">
        <f t="shared" si="4"/>
        <v>0</v>
      </c>
      <c r="D90" s="123"/>
      <c r="E90" s="124"/>
      <c r="F90" s="125"/>
      <c r="G90" s="125"/>
      <c r="H90" s="126"/>
      <c r="I90" s="127"/>
      <c r="J90" s="118">
        <f>IF(ISERROR(VLOOKUP(H90,#REF!,9,0)),0,VLOOKUP(H90,#REF!,9,0)*I90)/3600</f>
        <v>0</v>
      </c>
    </row>
    <row r="91" spans="2:10" x14ac:dyDescent="0.3">
      <c r="B91" s="121">
        <f t="shared" si="3"/>
        <v>0</v>
      </c>
      <c r="C91" s="122">
        <f t="shared" si="4"/>
        <v>0</v>
      </c>
      <c r="D91" s="123"/>
      <c r="E91" s="125"/>
      <c r="F91" s="125"/>
      <c r="G91" s="125"/>
      <c r="H91" s="126"/>
      <c r="I91" s="127"/>
      <c r="J91" s="118">
        <f>IF(ISERROR(VLOOKUP(H91,#REF!,9,0)),0,VLOOKUP(H91,#REF!,9,0)*I91)/3600</f>
        <v>0</v>
      </c>
    </row>
    <row r="92" spans="2:10" x14ac:dyDescent="0.3">
      <c r="B92" s="121">
        <f t="shared" si="3"/>
        <v>0</v>
      </c>
      <c r="C92" s="122">
        <f t="shared" si="4"/>
        <v>0</v>
      </c>
      <c r="D92" s="123"/>
      <c r="E92" s="124"/>
      <c r="F92" s="125"/>
      <c r="G92" s="125"/>
      <c r="H92" s="126"/>
      <c r="I92" s="127"/>
      <c r="J92" s="118">
        <f>IF(ISERROR(VLOOKUP(H92,#REF!,9,0)),0,VLOOKUP(H92,#REF!,9,0)*I92)/3600</f>
        <v>0</v>
      </c>
    </row>
    <row r="93" spans="2:10" x14ac:dyDescent="0.3">
      <c r="B93" s="121">
        <f t="shared" si="3"/>
        <v>0</v>
      </c>
      <c r="C93" s="122">
        <f t="shared" si="4"/>
        <v>0</v>
      </c>
      <c r="D93" s="123"/>
      <c r="E93" s="125"/>
      <c r="F93" s="125"/>
      <c r="G93" s="125"/>
      <c r="H93" s="126"/>
      <c r="I93" s="127"/>
      <c r="J93" s="118">
        <f>IF(ISERROR(VLOOKUP(H93,#REF!,9,0)),0,VLOOKUP(H93,#REF!,9,0)*I93)/3600</f>
        <v>0</v>
      </c>
    </row>
    <row r="94" spans="2:10" x14ac:dyDescent="0.3">
      <c r="B94" s="121">
        <f t="shared" si="3"/>
        <v>0</v>
      </c>
      <c r="C94" s="122">
        <f t="shared" si="4"/>
        <v>0</v>
      </c>
      <c r="D94" s="123"/>
      <c r="E94" s="124"/>
      <c r="F94" s="125"/>
      <c r="G94" s="125"/>
      <c r="H94" s="126"/>
      <c r="I94" s="127"/>
      <c r="J94" s="118">
        <f>IF(ISERROR(VLOOKUP(H94,#REF!,9,0)),0,VLOOKUP(H94,#REF!,9,0)*I94)/3600</f>
        <v>0</v>
      </c>
    </row>
    <row r="95" spans="2:10" x14ac:dyDescent="0.3">
      <c r="B95" s="121">
        <f t="shared" si="3"/>
        <v>0</v>
      </c>
      <c r="C95" s="122">
        <f t="shared" si="4"/>
        <v>0</v>
      </c>
      <c r="D95" s="123"/>
      <c r="E95" s="125"/>
      <c r="F95" s="125"/>
      <c r="G95" s="125"/>
      <c r="H95" s="126"/>
      <c r="I95" s="127"/>
      <c r="J95" s="118">
        <f>IF(ISERROR(VLOOKUP(H95,#REF!,9,0)),0,VLOOKUP(H95,#REF!,9,0)*I95)/3600</f>
        <v>0</v>
      </c>
    </row>
    <row r="96" spans="2:10" x14ac:dyDescent="0.3">
      <c r="B96" s="121">
        <f t="shared" si="3"/>
        <v>0</v>
      </c>
      <c r="C96" s="122">
        <f t="shared" si="4"/>
        <v>0</v>
      </c>
      <c r="D96" s="123"/>
      <c r="E96" s="124"/>
      <c r="F96" s="125"/>
      <c r="G96" s="125"/>
      <c r="H96" s="126"/>
      <c r="I96" s="127"/>
      <c r="J96" s="118">
        <f>IF(ISERROR(VLOOKUP(H96,#REF!,9,0)),0,VLOOKUP(H96,#REF!,9,0)*I96)/3600</f>
        <v>0</v>
      </c>
    </row>
    <row r="97" spans="2:10" x14ac:dyDescent="0.3">
      <c r="B97" s="121">
        <f t="shared" si="3"/>
        <v>0</v>
      </c>
      <c r="C97" s="122">
        <f t="shared" si="4"/>
        <v>0</v>
      </c>
      <c r="D97" s="123"/>
      <c r="E97" s="125"/>
      <c r="F97" s="125"/>
      <c r="G97" s="125"/>
      <c r="H97" s="126"/>
      <c r="I97" s="127"/>
      <c r="J97" s="118">
        <f>IF(ISERROR(VLOOKUP(H97,#REF!,9,0)),0,VLOOKUP(H97,#REF!,9,0)*I97)/3600</f>
        <v>0</v>
      </c>
    </row>
    <row r="98" spans="2:10" x14ac:dyDescent="0.3">
      <c r="B98" s="121">
        <f t="shared" si="3"/>
        <v>0</v>
      </c>
      <c r="C98" s="122">
        <f t="shared" si="4"/>
        <v>0</v>
      </c>
      <c r="D98" s="123"/>
      <c r="E98" s="124"/>
      <c r="F98" s="125"/>
      <c r="G98" s="125"/>
      <c r="H98" s="126"/>
      <c r="I98" s="127"/>
      <c r="J98" s="118">
        <f>IF(ISERROR(VLOOKUP(H98,#REF!,9,0)),0,VLOOKUP(H98,#REF!,9,0)*I98)/3600</f>
        <v>0</v>
      </c>
    </row>
    <row r="99" spans="2:10" x14ac:dyDescent="0.3">
      <c r="B99" s="121">
        <f t="shared" si="3"/>
        <v>0</v>
      </c>
      <c r="C99" s="122">
        <f t="shared" si="4"/>
        <v>0</v>
      </c>
      <c r="D99" s="123"/>
      <c r="E99" s="125"/>
      <c r="F99" s="125"/>
      <c r="G99" s="125"/>
      <c r="H99" s="126"/>
      <c r="I99" s="127"/>
      <c r="J99" s="118">
        <f>IF(ISERROR(VLOOKUP(H99,#REF!,9,0)),0,VLOOKUP(H99,#REF!,9,0)*I99)/3600</f>
        <v>0</v>
      </c>
    </row>
    <row r="100" spans="2:10" x14ac:dyDescent="0.3">
      <c r="B100" s="121">
        <f t="shared" si="3"/>
        <v>0</v>
      </c>
      <c r="C100" s="122">
        <f t="shared" si="4"/>
        <v>0</v>
      </c>
      <c r="D100" s="123"/>
      <c r="E100" s="124"/>
      <c r="F100" s="125"/>
      <c r="G100" s="125"/>
      <c r="H100" s="126"/>
      <c r="I100" s="127"/>
      <c r="J100" s="118">
        <f>IF(ISERROR(VLOOKUP(H100,#REF!,9,0)),0,VLOOKUP(H100,#REF!,9,0)*I100)/3600</f>
        <v>0</v>
      </c>
    </row>
    <row r="101" spans="2:10" x14ac:dyDescent="0.3">
      <c r="B101" s="121">
        <f t="shared" si="3"/>
        <v>0</v>
      </c>
      <c r="C101" s="122">
        <f t="shared" si="4"/>
        <v>0</v>
      </c>
      <c r="D101" s="123"/>
      <c r="E101" s="125"/>
      <c r="F101" s="125"/>
      <c r="G101" s="125"/>
      <c r="H101" s="126"/>
      <c r="I101" s="127"/>
      <c r="J101" s="118">
        <f>IF(ISERROR(VLOOKUP(H101,#REF!,9,0)),0,VLOOKUP(H101,#REF!,9,0)*I101)/3600</f>
        <v>0</v>
      </c>
    </row>
    <row r="102" spans="2:10" x14ac:dyDescent="0.3">
      <c r="B102" s="121">
        <f t="shared" si="3"/>
        <v>0</v>
      </c>
      <c r="C102" s="122">
        <f t="shared" si="4"/>
        <v>0</v>
      </c>
      <c r="D102" s="123"/>
      <c r="E102" s="124"/>
      <c r="F102" s="125"/>
      <c r="G102" s="125"/>
      <c r="H102" s="126"/>
      <c r="I102" s="127"/>
      <c r="J102" s="118">
        <f>IF(ISERROR(VLOOKUP(H102,#REF!,9,0)),0,VLOOKUP(H102,#REF!,9,0)*I102)/3600</f>
        <v>0</v>
      </c>
    </row>
    <row r="103" spans="2:10" x14ac:dyDescent="0.3">
      <c r="B103" s="121">
        <f t="shared" si="3"/>
        <v>0</v>
      </c>
      <c r="C103" s="122">
        <f t="shared" si="4"/>
        <v>0</v>
      </c>
      <c r="D103" s="123"/>
      <c r="E103" s="125"/>
      <c r="F103" s="125"/>
      <c r="G103" s="125"/>
      <c r="H103" s="126"/>
      <c r="I103" s="127"/>
      <c r="J103" s="118">
        <f>IF(ISERROR(VLOOKUP(H103,#REF!,9,0)),0,VLOOKUP(H103,#REF!,9,0)*I103)/3600</f>
        <v>0</v>
      </c>
    </row>
    <row r="104" spans="2:10" x14ac:dyDescent="0.3">
      <c r="B104" s="121">
        <f t="shared" si="3"/>
        <v>0</v>
      </c>
      <c r="C104" s="122">
        <f t="shared" si="4"/>
        <v>0</v>
      </c>
      <c r="D104" s="123"/>
      <c r="E104" s="124"/>
      <c r="F104" s="125"/>
      <c r="G104" s="125"/>
      <c r="H104" s="126"/>
      <c r="I104" s="127"/>
      <c r="J104" s="118">
        <f>IF(ISERROR(VLOOKUP(H104,#REF!,9,0)),0,VLOOKUP(H104,#REF!,9,0)*I104)/3600</f>
        <v>0</v>
      </c>
    </row>
    <row r="105" spans="2:10" x14ac:dyDescent="0.3">
      <c r="B105" s="121">
        <f t="shared" si="3"/>
        <v>0</v>
      </c>
      <c r="C105" s="122">
        <f t="shared" si="4"/>
        <v>0</v>
      </c>
      <c r="D105" s="123"/>
      <c r="E105" s="125"/>
      <c r="F105" s="125"/>
      <c r="G105" s="125"/>
      <c r="H105" s="126"/>
      <c r="I105" s="127"/>
      <c r="J105" s="118">
        <f>IF(ISERROR(VLOOKUP(H105,#REF!,9,0)),0,VLOOKUP(H105,#REF!,9,0)*I105)/3600</f>
        <v>0</v>
      </c>
    </row>
    <row r="106" spans="2:10" x14ac:dyDescent="0.3">
      <c r="B106" s="121">
        <f t="shared" si="3"/>
        <v>0</v>
      </c>
      <c r="C106" s="122">
        <f t="shared" si="4"/>
        <v>0</v>
      </c>
      <c r="D106" s="123"/>
      <c r="E106" s="124"/>
      <c r="F106" s="125"/>
      <c r="G106" s="125"/>
      <c r="H106" s="126"/>
      <c r="I106" s="127"/>
      <c r="J106" s="118">
        <f>IF(ISERROR(VLOOKUP(H106,#REF!,9,0)),0,VLOOKUP(H106,#REF!,9,0)*I106)/3600</f>
        <v>0</v>
      </c>
    </row>
    <row r="107" spans="2:10" x14ac:dyDescent="0.3">
      <c r="B107" s="121">
        <f t="shared" si="3"/>
        <v>0</v>
      </c>
      <c r="C107" s="122">
        <f t="shared" si="4"/>
        <v>0</v>
      </c>
      <c r="D107" s="123"/>
      <c r="E107" s="125"/>
      <c r="F107" s="125"/>
      <c r="G107" s="125"/>
      <c r="H107" s="126"/>
      <c r="I107" s="127"/>
      <c r="J107" s="118">
        <f>IF(ISERROR(VLOOKUP(H107,#REF!,9,0)),0,VLOOKUP(H107,#REF!,9,0)*I107)/3600</f>
        <v>0</v>
      </c>
    </row>
    <row r="108" spans="2:10" x14ac:dyDescent="0.3">
      <c r="B108" s="121">
        <f t="shared" si="3"/>
        <v>0</v>
      </c>
      <c r="C108" s="122">
        <f t="shared" si="4"/>
        <v>0</v>
      </c>
      <c r="D108" s="123"/>
      <c r="E108" s="124"/>
      <c r="F108" s="125"/>
      <c r="G108" s="125"/>
      <c r="H108" s="126"/>
      <c r="I108" s="127"/>
      <c r="J108" s="118">
        <f>IF(ISERROR(VLOOKUP(H108,#REF!,9,0)),0,VLOOKUP(H108,#REF!,9,0)*I108)/3600</f>
        <v>0</v>
      </c>
    </row>
    <row r="109" spans="2:10" x14ac:dyDescent="0.3">
      <c r="B109" s="121">
        <f t="shared" si="3"/>
        <v>0</v>
      </c>
      <c r="C109" s="122">
        <f t="shared" si="4"/>
        <v>0</v>
      </c>
      <c r="D109" s="123"/>
      <c r="E109" s="125"/>
      <c r="F109" s="125"/>
      <c r="G109" s="125"/>
      <c r="H109" s="126"/>
      <c r="I109" s="127"/>
      <c r="J109" s="118">
        <f>IF(ISERROR(VLOOKUP(H109,#REF!,9,0)),0,VLOOKUP(H109,#REF!,9,0)*I109)/3600</f>
        <v>0</v>
      </c>
    </row>
    <row r="110" spans="2:10" x14ac:dyDescent="0.3">
      <c r="B110" s="121">
        <f t="shared" si="3"/>
        <v>0</v>
      </c>
      <c r="C110" s="122">
        <f t="shared" si="4"/>
        <v>0</v>
      </c>
      <c r="D110" s="123"/>
      <c r="E110" s="124"/>
      <c r="F110" s="125"/>
      <c r="G110" s="125"/>
      <c r="H110" s="126"/>
      <c r="I110" s="127"/>
      <c r="J110" s="118">
        <f>IF(ISERROR(VLOOKUP(H110,#REF!,9,0)),0,VLOOKUP(H110,#REF!,9,0)*I110)/3600</f>
        <v>0</v>
      </c>
    </row>
    <row r="111" spans="2:10" x14ac:dyDescent="0.3">
      <c r="B111" s="121">
        <f t="shared" si="3"/>
        <v>0</v>
      </c>
      <c r="C111" s="122">
        <f t="shared" si="4"/>
        <v>0</v>
      </c>
      <c r="D111" s="123"/>
      <c r="E111" s="125"/>
      <c r="F111" s="125"/>
      <c r="G111" s="125"/>
      <c r="H111" s="126"/>
      <c r="I111" s="127"/>
      <c r="J111" s="118">
        <f>IF(ISERROR(VLOOKUP(H111,#REF!,9,0)),0,VLOOKUP(H111,#REF!,9,0)*I111)/3600</f>
        <v>0</v>
      </c>
    </row>
    <row r="112" spans="2:10" x14ac:dyDescent="0.3">
      <c r="B112" s="121">
        <f t="shared" si="3"/>
        <v>0</v>
      </c>
      <c r="C112" s="122">
        <f t="shared" si="4"/>
        <v>0</v>
      </c>
      <c r="D112" s="123"/>
      <c r="E112" s="124"/>
      <c r="F112" s="125"/>
      <c r="G112" s="125"/>
      <c r="H112" s="126"/>
      <c r="I112" s="127"/>
      <c r="J112" s="118">
        <f>IF(ISERROR(VLOOKUP(H112,#REF!,9,0)),0,VLOOKUP(H112,#REF!,9,0)*I112)/3600</f>
        <v>0</v>
      </c>
    </row>
    <row r="113" spans="2:10" x14ac:dyDescent="0.3">
      <c r="B113" s="121">
        <f t="shared" si="3"/>
        <v>0</v>
      </c>
      <c r="C113" s="122">
        <f t="shared" si="4"/>
        <v>0</v>
      </c>
      <c r="D113" s="123"/>
      <c r="E113" s="125"/>
      <c r="F113" s="125"/>
      <c r="G113" s="125"/>
      <c r="H113" s="126"/>
      <c r="I113" s="127"/>
      <c r="J113" s="118">
        <f>IF(ISERROR(VLOOKUP(H113,#REF!,9,0)),0,VLOOKUP(H113,#REF!,9,0)*I113)/3600</f>
        <v>0</v>
      </c>
    </row>
    <row r="114" spans="2:10" x14ac:dyDescent="0.3">
      <c r="B114" s="121">
        <f t="shared" si="3"/>
        <v>0</v>
      </c>
      <c r="C114" s="122">
        <f t="shared" si="4"/>
        <v>0</v>
      </c>
      <c r="D114" s="123"/>
      <c r="E114" s="124"/>
      <c r="F114" s="125"/>
      <c r="G114" s="125"/>
      <c r="H114" s="126"/>
      <c r="I114" s="127"/>
      <c r="J114" s="118">
        <f>IF(ISERROR(VLOOKUP(H114,#REF!,9,0)),0,VLOOKUP(H114,#REF!,9,0)*I114)/3600</f>
        <v>0</v>
      </c>
    </row>
    <row r="115" spans="2:10" x14ac:dyDescent="0.3">
      <c r="B115" s="121">
        <f t="shared" si="3"/>
        <v>0</v>
      </c>
      <c r="C115" s="122">
        <f t="shared" si="4"/>
        <v>0</v>
      </c>
      <c r="D115" s="123"/>
      <c r="E115" s="125"/>
      <c r="F115" s="125"/>
      <c r="G115" s="125"/>
      <c r="H115" s="126"/>
      <c r="I115" s="127"/>
      <c r="J115" s="118">
        <f>IF(ISERROR(VLOOKUP(H115,#REF!,9,0)),0,VLOOKUP(H115,#REF!,9,0)*I115)/3600</f>
        <v>0</v>
      </c>
    </row>
    <row r="116" spans="2:10" x14ac:dyDescent="0.3">
      <c r="B116" s="121">
        <f t="shared" si="3"/>
        <v>0</v>
      </c>
      <c r="C116" s="122">
        <f t="shared" si="4"/>
        <v>0</v>
      </c>
      <c r="D116" s="123"/>
      <c r="E116" s="124"/>
      <c r="F116" s="125"/>
      <c r="G116" s="125"/>
      <c r="H116" s="126"/>
      <c r="I116" s="127"/>
      <c r="J116" s="118">
        <f>IF(ISERROR(VLOOKUP(H116,#REF!,9,0)),0,VLOOKUP(H116,#REF!,9,0)*I116)/3600</f>
        <v>0</v>
      </c>
    </row>
    <row r="117" spans="2:10" x14ac:dyDescent="0.3">
      <c r="B117" s="121">
        <f t="shared" si="3"/>
        <v>0</v>
      </c>
      <c r="C117" s="122">
        <f t="shared" si="4"/>
        <v>0</v>
      </c>
      <c r="D117" s="123"/>
      <c r="E117" s="125"/>
      <c r="F117" s="125"/>
      <c r="G117" s="125"/>
      <c r="H117" s="126"/>
      <c r="I117" s="127"/>
      <c r="J117" s="118">
        <f>IF(ISERROR(VLOOKUP(H117,#REF!,9,0)),0,VLOOKUP(H117,#REF!,9,0)*I117)/3600</f>
        <v>0</v>
      </c>
    </row>
    <row r="118" spans="2:10" x14ac:dyDescent="0.3">
      <c r="B118" s="121">
        <f t="shared" si="3"/>
        <v>0</v>
      </c>
      <c r="C118" s="122">
        <f t="shared" si="4"/>
        <v>0</v>
      </c>
      <c r="D118" s="123"/>
      <c r="E118" s="124"/>
      <c r="F118" s="125"/>
      <c r="G118" s="125"/>
      <c r="H118" s="126"/>
      <c r="I118" s="127"/>
      <c r="J118" s="118">
        <f>IF(ISERROR(VLOOKUP(H118,#REF!,9,0)),0,VLOOKUP(H118,#REF!,9,0)*I118)/3600</f>
        <v>0</v>
      </c>
    </row>
    <row r="119" spans="2:10" x14ac:dyDescent="0.3">
      <c r="B119" s="121">
        <f t="shared" si="3"/>
        <v>0</v>
      </c>
      <c r="C119" s="122">
        <f t="shared" si="4"/>
        <v>0</v>
      </c>
      <c r="D119" s="123"/>
      <c r="E119" s="125"/>
      <c r="F119" s="125"/>
      <c r="G119" s="125"/>
      <c r="H119" s="126"/>
      <c r="I119" s="127"/>
      <c r="J119" s="118">
        <f>IF(ISERROR(VLOOKUP(H119,#REF!,9,0)),0,VLOOKUP(H119,#REF!,9,0)*I119)/3600</f>
        <v>0</v>
      </c>
    </row>
    <row r="120" spans="2:10" x14ac:dyDescent="0.3">
      <c r="B120" s="121">
        <f t="shared" si="3"/>
        <v>0</v>
      </c>
      <c r="C120" s="122">
        <f t="shared" si="4"/>
        <v>0</v>
      </c>
      <c r="D120" s="123"/>
      <c r="E120" s="124"/>
      <c r="F120" s="125"/>
      <c r="G120" s="125"/>
      <c r="H120" s="126"/>
      <c r="I120" s="127"/>
      <c r="J120" s="118">
        <f>IF(ISERROR(VLOOKUP(H120,#REF!,9,0)),0,VLOOKUP(H120,#REF!,9,0)*I120)/3600</f>
        <v>0</v>
      </c>
    </row>
    <row r="121" spans="2:10" x14ac:dyDescent="0.3">
      <c r="B121" s="121">
        <f t="shared" si="3"/>
        <v>0</v>
      </c>
      <c r="C121" s="122">
        <f t="shared" si="4"/>
        <v>0</v>
      </c>
      <c r="D121" s="123"/>
      <c r="E121" s="125"/>
      <c r="F121" s="125"/>
      <c r="G121" s="125"/>
      <c r="H121" s="126"/>
      <c r="I121" s="127"/>
      <c r="J121" s="118">
        <f>IF(ISERROR(VLOOKUP(H121,#REF!,9,0)),0,VLOOKUP(H121,#REF!,9,0)*I121)/3600</f>
        <v>0</v>
      </c>
    </row>
    <row r="122" spans="2:10" x14ac:dyDescent="0.3">
      <c r="B122" s="121">
        <f t="shared" si="3"/>
        <v>0</v>
      </c>
      <c r="C122" s="122">
        <f t="shared" si="4"/>
        <v>0</v>
      </c>
      <c r="D122" s="123"/>
      <c r="E122" s="124"/>
      <c r="F122" s="125"/>
      <c r="G122" s="125"/>
      <c r="H122" s="126"/>
      <c r="I122" s="127"/>
      <c r="J122" s="118">
        <f>IF(ISERROR(VLOOKUP(H122,#REF!,9,0)),0,VLOOKUP(H122,#REF!,9,0)*I122)/3600</f>
        <v>0</v>
      </c>
    </row>
    <row r="123" spans="2:10" x14ac:dyDescent="0.3">
      <c r="B123" s="121">
        <f t="shared" si="3"/>
        <v>0</v>
      </c>
      <c r="C123" s="122">
        <f t="shared" si="4"/>
        <v>0</v>
      </c>
      <c r="D123" s="123"/>
      <c r="E123" s="125"/>
      <c r="F123" s="125"/>
      <c r="G123" s="125"/>
      <c r="H123" s="126"/>
      <c r="I123" s="127"/>
      <c r="J123" s="118">
        <f>IF(ISERROR(VLOOKUP(H123,#REF!,9,0)),0,VLOOKUP(H123,#REF!,9,0)*I123)/3600</f>
        <v>0</v>
      </c>
    </row>
    <row r="124" spans="2:10" x14ac:dyDescent="0.3">
      <c r="B124" s="121">
        <f t="shared" si="3"/>
        <v>0</v>
      </c>
      <c r="C124" s="122">
        <f t="shared" si="4"/>
        <v>0</v>
      </c>
      <c r="D124" s="123"/>
      <c r="E124" s="124"/>
      <c r="F124" s="125"/>
      <c r="G124" s="125"/>
      <c r="H124" s="126"/>
      <c r="I124" s="127"/>
      <c r="J124" s="118">
        <f>IF(ISERROR(VLOOKUP(H124,#REF!,9,0)),0,VLOOKUP(H124,#REF!,9,0)*I124)/3600</f>
        <v>0</v>
      </c>
    </row>
    <row r="125" spans="2:10" x14ac:dyDescent="0.3">
      <c r="B125" s="121">
        <f t="shared" si="3"/>
        <v>0</v>
      </c>
      <c r="C125" s="122">
        <f t="shared" si="4"/>
        <v>0</v>
      </c>
      <c r="D125" s="123"/>
      <c r="E125" s="125"/>
      <c r="F125" s="125"/>
      <c r="G125" s="125"/>
      <c r="H125" s="126"/>
      <c r="I125" s="127"/>
      <c r="J125" s="118">
        <f>IF(ISERROR(VLOOKUP(H125,#REF!,9,0)),0,VLOOKUP(H125,#REF!,9,0)*I125)/3600</f>
        <v>0</v>
      </c>
    </row>
    <row r="126" spans="2:10" x14ac:dyDescent="0.3">
      <c r="B126" s="121">
        <f t="shared" si="3"/>
        <v>0</v>
      </c>
      <c r="C126" s="122">
        <f t="shared" si="4"/>
        <v>0</v>
      </c>
      <c r="D126" s="123"/>
      <c r="E126" s="124"/>
      <c r="F126" s="125"/>
      <c r="G126" s="125"/>
      <c r="H126" s="126"/>
      <c r="I126" s="127"/>
      <c r="J126" s="118">
        <f>IF(ISERROR(VLOOKUP(H126,#REF!,9,0)),0,VLOOKUP(H126,#REF!,9,0)*I126)/3600</f>
        <v>0</v>
      </c>
    </row>
    <row r="127" spans="2:10" x14ac:dyDescent="0.3">
      <c r="B127" s="121">
        <f t="shared" si="3"/>
        <v>0</v>
      </c>
      <c r="C127" s="122">
        <f t="shared" si="4"/>
        <v>0</v>
      </c>
      <c r="D127" s="123"/>
      <c r="E127" s="125"/>
      <c r="F127" s="125"/>
      <c r="G127" s="125"/>
      <c r="H127" s="126"/>
      <c r="I127" s="127"/>
      <c r="J127" s="118">
        <f>IF(ISERROR(VLOOKUP(H127,#REF!,9,0)),0,VLOOKUP(H127,#REF!,9,0)*I127)/3600</f>
        <v>0</v>
      </c>
    </row>
    <row r="128" spans="2:10" x14ac:dyDescent="0.3">
      <c r="B128" s="121">
        <f t="shared" si="3"/>
        <v>0</v>
      </c>
      <c r="C128" s="122">
        <f t="shared" si="4"/>
        <v>0</v>
      </c>
      <c r="D128" s="123"/>
      <c r="E128" s="124"/>
      <c r="F128" s="125"/>
      <c r="G128" s="125"/>
      <c r="H128" s="126"/>
      <c r="I128" s="127"/>
      <c r="J128" s="118">
        <f>IF(ISERROR(VLOOKUP(H128,#REF!,9,0)),0,VLOOKUP(H128,#REF!,9,0)*I128)/3600</f>
        <v>0</v>
      </c>
    </row>
    <row r="129" spans="2:10" x14ac:dyDescent="0.3">
      <c r="B129" s="121">
        <f t="shared" si="3"/>
        <v>0</v>
      </c>
      <c r="C129" s="122">
        <f t="shared" si="4"/>
        <v>0</v>
      </c>
      <c r="D129" s="123"/>
      <c r="E129" s="125"/>
      <c r="F129" s="125"/>
      <c r="G129" s="125"/>
      <c r="H129" s="126"/>
      <c r="I129" s="127"/>
      <c r="J129" s="118">
        <f>IF(ISERROR(VLOOKUP(H129,#REF!,9,0)),0,VLOOKUP(H129,#REF!,9,0)*I129)/3600</f>
        <v>0</v>
      </c>
    </row>
    <row r="130" spans="2:10" x14ac:dyDescent="0.3">
      <c r="B130" s="121">
        <f t="shared" si="3"/>
        <v>0</v>
      </c>
      <c r="C130" s="122">
        <f t="shared" si="4"/>
        <v>0</v>
      </c>
      <c r="D130" s="123"/>
      <c r="E130" s="124"/>
      <c r="F130" s="125"/>
      <c r="G130" s="125"/>
      <c r="H130" s="126"/>
      <c r="I130" s="127"/>
      <c r="J130" s="118">
        <f>IF(ISERROR(VLOOKUP(H130,#REF!,9,0)),0,VLOOKUP(H130,#REF!,9,0)*I130)/3600</f>
        <v>0</v>
      </c>
    </row>
    <row r="131" spans="2:10" x14ac:dyDescent="0.3">
      <c r="B131" s="121">
        <f t="shared" si="3"/>
        <v>0</v>
      </c>
      <c r="C131" s="122">
        <f t="shared" si="4"/>
        <v>0</v>
      </c>
      <c r="D131" s="123"/>
      <c r="E131" s="125"/>
      <c r="F131" s="125"/>
      <c r="G131" s="125"/>
      <c r="H131" s="126"/>
      <c r="I131" s="127"/>
      <c r="J131" s="118">
        <f>IF(ISERROR(VLOOKUP(H131,#REF!,9,0)),0,VLOOKUP(H131,#REF!,9,0)*I131)/3600</f>
        <v>0</v>
      </c>
    </row>
    <row r="132" spans="2:10" x14ac:dyDescent="0.3">
      <c r="B132" s="121">
        <f t="shared" si="3"/>
        <v>0</v>
      </c>
      <c r="C132" s="122">
        <f t="shared" si="4"/>
        <v>0</v>
      </c>
      <c r="D132" s="123"/>
      <c r="E132" s="124"/>
      <c r="F132" s="125"/>
      <c r="G132" s="125"/>
      <c r="H132" s="126"/>
      <c r="I132" s="127"/>
      <c r="J132" s="118">
        <f>IF(ISERROR(VLOOKUP(H132,#REF!,9,0)),0,VLOOKUP(H132,#REF!,9,0)*I132)/3600</f>
        <v>0</v>
      </c>
    </row>
    <row r="133" spans="2:10" x14ac:dyDescent="0.3">
      <c r="B133" s="121">
        <f t="shared" si="3"/>
        <v>0</v>
      </c>
      <c r="C133" s="122">
        <f t="shared" si="4"/>
        <v>0</v>
      </c>
      <c r="D133" s="123"/>
      <c r="E133" s="125"/>
      <c r="F133" s="125"/>
      <c r="G133" s="125"/>
      <c r="H133" s="126"/>
      <c r="I133" s="127"/>
      <c r="J133" s="118">
        <f>IF(ISERROR(VLOOKUP(H133,#REF!,9,0)),0,VLOOKUP(H133,#REF!,9,0)*I133)/3600</f>
        <v>0</v>
      </c>
    </row>
    <row r="134" spans="2:10" x14ac:dyDescent="0.3">
      <c r="B134" s="121">
        <f t="shared" ref="B134:B197" si="5">IF(D134&gt;0,YEAR(D134),0)</f>
        <v>0</v>
      </c>
      <c r="C134" s="122">
        <f t="shared" ref="C134:C197" si="6">IF(D134&gt;0,MONTH(D134),0)</f>
        <v>0</v>
      </c>
      <c r="D134" s="123"/>
      <c r="E134" s="124"/>
      <c r="F134" s="125"/>
      <c r="G134" s="125"/>
      <c r="H134" s="126"/>
      <c r="I134" s="127"/>
      <c r="J134" s="118">
        <f>IF(ISERROR(VLOOKUP(H134,#REF!,9,0)),0,VLOOKUP(H134,#REF!,9,0)*I134)/3600</f>
        <v>0</v>
      </c>
    </row>
    <row r="135" spans="2:10" x14ac:dyDescent="0.3">
      <c r="B135" s="121">
        <f t="shared" si="5"/>
        <v>0</v>
      </c>
      <c r="C135" s="122">
        <f t="shared" si="6"/>
        <v>0</v>
      </c>
      <c r="D135" s="123"/>
      <c r="E135" s="125"/>
      <c r="F135" s="125"/>
      <c r="G135" s="125"/>
      <c r="H135" s="126"/>
      <c r="I135" s="127"/>
      <c r="J135" s="118">
        <f>IF(ISERROR(VLOOKUP(H135,#REF!,9,0)),0,VLOOKUP(H135,#REF!,9,0)*I135)/3600</f>
        <v>0</v>
      </c>
    </row>
    <row r="136" spans="2:10" x14ac:dyDescent="0.3">
      <c r="B136" s="121">
        <f t="shared" si="5"/>
        <v>0</v>
      </c>
      <c r="C136" s="122">
        <f t="shared" si="6"/>
        <v>0</v>
      </c>
      <c r="D136" s="123"/>
      <c r="E136" s="124"/>
      <c r="F136" s="125"/>
      <c r="G136" s="125"/>
      <c r="H136" s="126"/>
      <c r="I136" s="127"/>
      <c r="J136" s="118">
        <f>IF(ISERROR(VLOOKUP(H136,#REF!,9,0)),0,VLOOKUP(H136,#REF!,9,0)*I136)/3600</f>
        <v>0</v>
      </c>
    </row>
    <row r="137" spans="2:10" x14ac:dyDescent="0.3">
      <c r="B137" s="121">
        <f t="shared" si="5"/>
        <v>0</v>
      </c>
      <c r="C137" s="122">
        <f t="shared" si="6"/>
        <v>0</v>
      </c>
      <c r="D137" s="123"/>
      <c r="E137" s="125"/>
      <c r="F137" s="125"/>
      <c r="G137" s="125"/>
      <c r="H137" s="126"/>
      <c r="I137" s="127"/>
      <c r="J137" s="118">
        <f>IF(ISERROR(VLOOKUP(H137,#REF!,9,0)),0,VLOOKUP(H137,#REF!,9,0)*I137)/3600</f>
        <v>0</v>
      </c>
    </row>
    <row r="138" spans="2:10" x14ac:dyDescent="0.3">
      <c r="B138" s="121">
        <f t="shared" si="5"/>
        <v>0</v>
      </c>
      <c r="C138" s="122">
        <f t="shared" si="6"/>
        <v>0</v>
      </c>
      <c r="D138" s="123"/>
      <c r="E138" s="124"/>
      <c r="F138" s="125"/>
      <c r="G138" s="125"/>
      <c r="H138" s="126"/>
      <c r="I138" s="127"/>
      <c r="J138" s="118">
        <f>IF(ISERROR(VLOOKUP(H138,#REF!,9,0)),0,VLOOKUP(H138,#REF!,9,0)*I138)/3600</f>
        <v>0</v>
      </c>
    </row>
    <row r="139" spans="2:10" x14ac:dyDescent="0.3">
      <c r="B139" s="121">
        <f t="shared" si="5"/>
        <v>0</v>
      </c>
      <c r="C139" s="122">
        <f t="shared" si="6"/>
        <v>0</v>
      </c>
      <c r="D139" s="123"/>
      <c r="E139" s="125"/>
      <c r="F139" s="125"/>
      <c r="G139" s="125"/>
      <c r="H139" s="126"/>
      <c r="I139" s="127"/>
      <c r="J139" s="118">
        <f>IF(ISERROR(VLOOKUP(H139,#REF!,9,0)),0,VLOOKUP(H139,#REF!,9,0)*I139)/3600</f>
        <v>0</v>
      </c>
    </row>
    <row r="140" spans="2:10" x14ac:dyDescent="0.3">
      <c r="B140" s="121">
        <f t="shared" si="5"/>
        <v>0</v>
      </c>
      <c r="C140" s="122">
        <f t="shared" si="6"/>
        <v>0</v>
      </c>
      <c r="D140" s="123"/>
      <c r="E140" s="124"/>
      <c r="F140" s="125"/>
      <c r="G140" s="125"/>
      <c r="H140" s="126"/>
      <c r="I140" s="127"/>
      <c r="J140" s="118">
        <f>IF(ISERROR(VLOOKUP(H140,#REF!,9,0)),0,VLOOKUP(H140,#REF!,9,0)*I140)/3600</f>
        <v>0</v>
      </c>
    </row>
    <row r="141" spans="2:10" x14ac:dyDescent="0.3">
      <c r="B141" s="121">
        <f t="shared" si="5"/>
        <v>0</v>
      </c>
      <c r="C141" s="122">
        <f t="shared" si="6"/>
        <v>0</v>
      </c>
      <c r="D141" s="123"/>
      <c r="E141" s="125"/>
      <c r="F141" s="125"/>
      <c r="G141" s="125"/>
      <c r="H141" s="126"/>
      <c r="I141" s="127"/>
      <c r="J141" s="118">
        <f>IF(ISERROR(VLOOKUP(H141,#REF!,9,0)),0,VLOOKUP(H141,#REF!,9,0)*I141)/3600</f>
        <v>0</v>
      </c>
    </row>
    <row r="142" spans="2:10" x14ac:dyDescent="0.3">
      <c r="B142" s="121">
        <f t="shared" si="5"/>
        <v>0</v>
      </c>
      <c r="C142" s="122">
        <f t="shared" si="6"/>
        <v>0</v>
      </c>
      <c r="D142" s="123"/>
      <c r="E142" s="124"/>
      <c r="F142" s="125"/>
      <c r="G142" s="125"/>
      <c r="H142" s="126"/>
      <c r="I142" s="127"/>
      <c r="J142" s="118">
        <f>IF(ISERROR(VLOOKUP(H142,#REF!,9,0)),0,VLOOKUP(H142,#REF!,9,0)*I142)/3600</f>
        <v>0</v>
      </c>
    </row>
    <row r="143" spans="2:10" x14ac:dyDescent="0.3">
      <c r="B143" s="121">
        <f t="shared" si="5"/>
        <v>0</v>
      </c>
      <c r="C143" s="122">
        <f t="shared" si="6"/>
        <v>0</v>
      </c>
      <c r="D143" s="123"/>
      <c r="E143" s="125"/>
      <c r="F143" s="125"/>
      <c r="G143" s="125"/>
      <c r="H143" s="126"/>
      <c r="I143" s="127"/>
      <c r="J143" s="118">
        <f>IF(ISERROR(VLOOKUP(H143,#REF!,9,0)),0,VLOOKUP(H143,#REF!,9,0)*I143)/3600</f>
        <v>0</v>
      </c>
    </row>
    <row r="144" spans="2:10" x14ac:dyDescent="0.3">
      <c r="B144" s="121">
        <f t="shared" si="5"/>
        <v>0</v>
      </c>
      <c r="C144" s="122">
        <f t="shared" si="6"/>
        <v>0</v>
      </c>
      <c r="D144" s="123"/>
      <c r="E144" s="124"/>
      <c r="F144" s="125"/>
      <c r="G144" s="125"/>
      <c r="H144" s="126"/>
      <c r="I144" s="127"/>
      <c r="J144" s="118">
        <f>IF(ISERROR(VLOOKUP(H144,#REF!,9,0)),0,VLOOKUP(H144,#REF!,9,0)*I144)/3600</f>
        <v>0</v>
      </c>
    </row>
    <row r="145" spans="2:10" x14ac:dyDescent="0.3">
      <c r="B145" s="121">
        <f t="shared" si="5"/>
        <v>0</v>
      </c>
      <c r="C145" s="122">
        <f t="shared" si="6"/>
        <v>0</v>
      </c>
      <c r="D145" s="123"/>
      <c r="E145" s="125"/>
      <c r="F145" s="125"/>
      <c r="G145" s="125"/>
      <c r="H145" s="126"/>
      <c r="I145" s="127"/>
      <c r="J145" s="118">
        <f>IF(ISERROR(VLOOKUP(H145,#REF!,9,0)),0,VLOOKUP(H145,#REF!,9,0)*I145)/3600</f>
        <v>0</v>
      </c>
    </row>
    <row r="146" spans="2:10" x14ac:dyDescent="0.3">
      <c r="B146" s="121">
        <f t="shared" si="5"/>
        <v>0</v>
      </c>
      <c r="C146" s="122">
        <f t="shared" si="6"/>
        <v>0</v>
      </c>
      <c r="D146" s="123"/>
      <c r="E146" s="124"/>
      <c r="F146" s="125"/>
      <c r="G146" s="125"/>
      <c r="H146" s="126"/>
      <c r="I146" s="127"/>
      <c r="J146" s="118">
        <f>IF(ISERROR(VLOOKUP(H146,#REF!,9,0)),0,VLOOKUP(H146,#REF!,9,0)*I146)/3600</f>
        <v>0</v>
      </c>
    </row>
    <row r="147" spans="2:10" x14ac:dyDescent="0.3">
      <c r="B147" s="121">
        <f t="shared" si="5"/>
        <v>0</v>
      </c>
      <c r="C147" s="122">
        <f t="shared" si="6"/>
        <v>0</v>
      </c>
      <c r="D147" s="123"/>
      <c r="E147" s="125"/>
      <c r="F147" s="125"/>
      <c r="G147" s="125"/>
      <c r="H147" s="126"/>
      <c r="I147" s="127"/>
      <c r="J147" s="118">
        <f>IF(ISERROR(VLOOKUP(H147,#REF!,9,0)),0,VLOOKUP(H147,#REF!,9,0)*I147)/3600</f>
        <v>0</v>
      </c>
    </row>
    <row r="148" spans="2:10" x14ac:dyDescent="0.3">
      <c r="B148" s="121">
        <f t="shared" si="5"/>
        <v>0</v>
      </c>
      <c r="C148" s="122">
        <f t="shared" si="6"/>
        <v>0</v>
      </c>
      <c r="D148" s="123"/>
      <c r="E148" s="124"/>
      <c r="F148" s="125"/>
      <c r="G148" s="125"/>
      <c r="H148" s="126"/>
      <c r="I148" s="127"/>
      <c r="J148" s="118">
        <f>IF(ISERROR(VLOOKUP(H148,#REF!,9,0)),0,VLOOKUP(H148,#REF!,9,0)*I148)/3600</f>
        <v>0</v>
      </c>
    </row>
    <row r="149" spans="2:10" x14ac:dyDescent="0.3">
      <c r="B149" s="121">
        <f t="shared" si="5"/>
        <v>0</v>
      </c>
      <c r="C149" s="122">
        <f t="shared" si="6"/>
        <v>0</v>
      </c>
      <c r="D149" s="123"/>
      <c r="E149" s="125"/>
      <c r="F149" s="125"/>
      <c r="G149" s="125"/>
      <c r="H149" s="126"/>
      <c r="I149" s="127"/>
      <c r="J149" s="118">
        <f>IF(ISERROR(VLOOKUP(H149,#REF!,9,0)),0,VLOOKUP(H149,#REF!,9,0)*I149)/3600</f>
        <v>0</v>
      </c>
    </row>
    <row r="150" spans="2:10" x14ac:dyDescent="0.3">
      <c r="B150" s="121">
        <f t="shared" si="5"/>
        <v>0</v>
      </c>
      <c r="C150" s="122">
        <f t="shared" si="6"/>
        <v>0</v>
      </c>
      <c r="D150" s="123"/>
      <c r="E150" s="124"/>
      <c r="F150" s="125"/>
      <c r="G150" s="125"/>
      <c r="H150" s="126"/>
      <c r="I150" s="127"/>
      <c r="J150" s="118">
        <f>IF(ISERROR(VLOOKUP(H150,#REF!,9,0)),0,VLOOKUP(H150,#REF!,9,0)*I150)/3600</f>
        <v>0</v>
      </c>
    </row>
    <row r="151" spans="2:10" x14ac:dyDescent="0.3">
      <c r="B151" s="121">
        <f t="shared" si="5"/>
        <v>0</v>
      </c>
      <c r="C151" s="122">
        <f t="shared" si="6"/>
        <v>0</v>
      </c>
      <c r="D151" s="123"/>
      <c r="E151" s="125"/>
      <c r="F151" s="125"/>
      <c r="G151" s="125"/>
      <c r="H151" s="126"/>
      <c r="I151" s="127"/>
      <c r="J151" s="118">
        <f>IF(ISERROR(VLOOKUP(H151,#REF!,9,0)),0,VLOOKUP(H151,#REF!,9,0)*I151)/3600</f>
        <v>0</v>
      </c>
    </row>
    <row r="152" spans="2:10" x14ac:dyDescent="0.3">
      <c r="B152" s="121">
        <f t="shared" si="5"/>
        <v>0</v>
      </c>
      <c r="C152" s="122">
        <f t="shared" si="6"/>
        <v>0</v>
      </c>
      <c r="D152" s="123"/>
      <c r="E152" s="124"/>
      <c r="F152" s="125"/>
      <c r="G152" s="125"/>
      <c r="H152" s="126"/>
      <c r="I152" s="127"/>
      <c r="J152" s="118">
        <f>IF(ISERROR(VLOOKUP(H152,#REF!,9,0)),0,VLOOKUP(H152,#REF!,9,0)*I152)/3600</f>
        <v>0</v>
      </c>
    </row>
    <row r="153" spans="2:10" x14ac:dyDescent="0.3">
      <c r="B153" s="121">
        <f t="shared" si="5"/>
        <v>0</v>
      </c>
      <c r="C153" s="122">
        <f t="shared" si="6"/>
        <v>0</v>
      </c>
      <c r="D153" s="123"/>
      <c r="E153" s="125"/>
      <c r="F153" s="125"/>
      <c r="G153" s="125"/>
      <c r="H153" s="126"/>
      <c r="I153" s="127"/>
      <c r="J153" s="118">
        <f>IF(ISERROR(VLOOKUP(H153,#REF!,9,0)),0,VLOOKUP(H153,#REF!,9,0)*I153)/3600</f>
        <v>0</v>
      </c>
    </row>
    <row r="154" spans="2:10" x14ac:dyDescent="0.3">
      <c r="B154" s="121">
        <f t="shared" si="5"/>
        <v>0</v>
      </c>
      <c r="C154" s="122">
        <f t="shared" si="6"/>
        <v>0</v>
      </c>
      <c r="D154" s="123"/>
      <c r="E154" s="124"/>
      <c r="F154" s="125"/>
      <c r="G154" s="125"/>
      <c r="H154" s="126"/>
      <c r="I154" s="127"/>
      <c r="J154" s="118">
        <f>IF(ISERROR(VLOOKUP(H154,#REF!,9,0)),0,VLOOKUP(H154,#REF!,9,0)*I154)/3600</f>
        <v>0</v>
      </c>
    </row>
    <row r="155" spans="2:10" x14ac:dyDescent="0.3">
      <c r="B155" s="121">
        <f t="shared" si="5"/>
        <v>0</v>
      </c>
      <c r="C155" s="122">
        <f t="shared" si="6"/>
        <v>0</v>
      </c>
      <c r="D155" s="123"/>
      <c r="E155" s="125"/>
      <c r="F155" s="125"/>
      <c r="G155" s="125"/>
      <c r="H155" s="126"/>
      <c r="I155" s="127"/>
      <c r="J155" s="118">
        <f>IF(ISERROR(VLOOKUP(H155,#REF!,9,0)),0,VLOOKUP(H155,#REF!,9,0)*I155)/3600</f>
        <v>0</v>
      </c>
    </row>
    <row r="156" spans="2:10" x14ac:dyDescent="0.3">
      <c r="B156" s="121">
        <f t="shared" si="5"/>
        <v>0</v>
      </c>
      <c r="C156" s="122">
        <f t="shared" si="6"/>
        <v>0</v>
      </c>
      <c r="D156" s="123"/>
      <c r="E156" s="124"/>
      <c r="F156" s="125"/>
      <c r="G156" s="125"/>
      <c r="H156" s="126"/>
      <c r="I156" s="127"/>
      <c r="J156" s="118">
        <f>IF(ISERROR(VLOOKUP(H156,#REF!,9,0)),0,VLOOKUP(H156,#REF!,9,0)*I156)/3600</f>
        <v>0</v>
      </c>
    </row>
    <row r="157" spans="2:10" x14ac:dyDescent="0.3">
      <c r="B157" s="121">
        <f t="shared" si="5"/>
        <v>0</v>
      </c>
      <c r="C157" s="122">
        <f t="shared" si="6"/>
        <v>0</v>
      </c>
      <c r="D157" s="123"/>
      <c r="E157" s="125"/>
      <c r="F157" s="125"/>
      <c r="G157" s="125"/>
      <c r="H157" s="126"/>
      <c r="I157" s="127"/>
      <c r="J157" s="118">
        <f>IF(ISERROR(VLOOKUP(H157,#REF!,9,0)),0,VLOOKUP(H157,#REF!,9,0)*I157)/3600</f>
        <v>0</v>
      </c>
    </row>
    <row r="158" spans="2:10" x14ac:dyDescent="0.3">
      <c r="B158" s="121">
        <f t="shared" si="5"/>
        <v>0</v>
      </c>
      <c r="C158" s="122">
        <f t="shared" si="6"/>
        <v>0</v>
      </c>
      <c r="D158" s="123"/>
      <c r="E158" s="124"/>
      <c r="F158" s="125"/>
      <c r="G158" s="125"/>
      <c r="H158" s="126"/>
      <c r="I158" s="127"/>
      <c r="J158" s="118">
        <f>IF(ISERROR(VLOOKUP(H158,#REF!,9,0)),0,VLOOKUP(H158,#REF!,9,0)*I158)/3600</f>
        <v>0</v>
      </c>
    </row>
    <row r="159" spans="2:10" x14ac:dyDescent="0.3">
      <c r="B159" s="121">
        <f t="shared" si="5"/>
        <v>0</v>
      </c>
      <c r="C159" s="122">
        <f t="shared" si="6"/>
        <v>0</v>
      </c>
      <c r="D159" s="123"/>
      <c r="E159" s="125"/>
      <c r="F159" s="125"/>
      <c r="G159" s="125"/>
      <c r="H159" s="126"/>
      <c r="I159" s="127"/>
      <c r="J159" s="118">
        <f>IF(ISERROR(VLOOKUP(H159,#REF!,9,0)),0,VLOOKUP(H159,#REF!,9,0)*I159)/3600</f>
        <v>0</v>
      </c>
    </row>
    <row r="160" spans="2:10" x14ac:dyDescent="0.3">
      <c r="B160" s="121">
        <f t="shared" si="5"/>
        <v>0</v>
      </c>
      <c r="C160" s="122">
        <f t="shared" si="6"/>
        <v>0</v>
      </c>
      <c r="D160" s="123"/>
      <c r="E160" s="124"/>
      <c r="F160" s="125"/>
      <c r="G160" s="125"/>
      <c r="H160" s="126"/>
      <c r="I160" s="127"/>
      <c r="J160" s="118">
        <f>IF(ISERROR(VLOOKUP(H160,#REF!,9,0)),0,VLOOKUP(H160,#REF!,9,0)*I160)/3600</f>
        <v>0</v>
      </c>
    </row>
    <row r="161" spans="2:10" x14ac:dyDescent="0.3">
      <c r="B161" s="121">
        <f t="shared" si="5"/>
        <v>0</v>
      </c>
      <c r="C161" s="122">
        <f t="shared" si="6"/>
        <v>0</v>
      </c>
      <c r="D161" s="123"/>
      <c r="E161" s="125"/>
      <c r="F161" s="125"/>
      <c r="G161" s="125"/>
      <c r="H161" s="126"/>
      <c r="I161" s="127"/>
      <c r="J161" s="118">
        <f>IF(ISERROR(VLOOKUP(H161,#REF!,9,0)),0,VLOOKUP(H161,#REF!,9,0)*I161)/3600</f>
        <v>0</v>
      </c>
    </row>
    <row r="162" spans="2:10" x14ac:dyDescent="0.3">
      <c r="B162" s="121">
        <f t="shared" si="5"/>
        <v>0</v>
      </c>
      <c r="C162" s="122">
        <f t="shared" si="6"/>
        <v>0</v>
      </c>
      <c r="D162" s="123"/>
      <c r="E162" s="124"/>
      <c r="F162" s="125"/>
      <c r="G162" s="125"/>
      <c r="H162" s="126"/>
      <c r="I162" s="127"/>
      <c r="J162" s="118">
        <f>IF(ISERROR(VLOOKUP(H162,#REF!,9,0)),0,VLOOKUP(H162,#REF!,9,0)*I162)/3600</f>
        <v>0</v>
      </c>
    </row>
    <row r="163" spans="2:10" x14ac:dyDescent="0.3">
      <c r="B163" s="121">
        <f t="shared" si="5"/>
        <v>0</v>
      </c>
      <c r="C163" s="122">
        <f t="shared" si="6"/>
        <v>0</v>
      </c>
      <c r="D163" s="123"/>
      <c r="E163" s="125"/>
      <c r="F163" s="125"/>
      <c r="G163" s="125"/>
      <c r="H163" s="126"/>
      <c r="I163" s="127"/>
      <c r="J163" s="118">
        <f>IF(ISERROR(VLOOKUP(H163,#REF!,9,0)),0,VLOOKUP(H163,#REF!,9,0)*I163)/3600</f>
        <v>0</v>
      </c>
    </row>
    <row r="164" spans="2:10" x14ac:dyDescent="0.3">
      <c r="B164" s="121">
        <f t="shared" si="5"/>
        <v>0</v>
      </c>
      <c r="C164" s="122">
        <f t="shared" si="6"/>
        <v>0</v>
      </c>
      <c r="D164" s="123"/>
      <c r="E164" s="124"/>
      <c r="F164" s="125"/>
      <c r="G164" s="125"/>
      <c r="H164" s="126"/>
      <c r="I164" s="127"/>
      <c r="J164" s="118">
        <f>IF(ISERROR(VLOOKUP(H164,#REF!,9,0)),0,VLOOKUP(H164,#REF!,9,0)*I164)/3600</f>
        <v>0</v>
      </c>
    </row>
    <row r="165" spans="2:10" x14ac:dyDescent="0.3">
      <c r="B165" s="121">
        <f t="shared" si="5"/>
        <v>0</v>
      </c>
      <c r="C165" s="122">
        <f t="shared" si="6"/>
        <v>0</v>
      </c>
      <c r="D165" s="123"/>
      <c r="E165" s="125"/>
      <c r="F165" s="125"/>
      <c r="G165" s="125"/>
      <c r="H165" s="126"/>
      <c r="I165" s="127"/>
      <c r="J165" s="118">
        <f>IF(ISERROR(VLOOKUP(H165,#REF!,9,0)),0,VLOOKUP(H165,#REF!,9,0)*I165)/3600</f>
        <v>0</v>
      </c>
    </row>
    <row r="166" spans="2:10" x14ac:dyDescent="0.3">
      <c r="B166" s="121">
        <f t="shared" si="5"/>
        <v>0</v>
      </c>
      <c r="C166" s="122">
        <f t="shared" si="6"/>
        <v>0</v>
      </c>
      <c r="D166" s="123"/>
      <c r="E166" s="124"/>
      <c r="F166" s="125"/>
      <c r="G166" s="125"/>
      <c r="H166" s="126"/>
      <c r="I166" s="127"/>
      <c r="J166" s="118">
        <f>IF(ISERROR(VLOOKUP(H166,#REF!,9,0)),0,VLOOKUP(H166,#REF!,9,0)*I166)/3600</f>
        <v>0</v>
      </c>
    </row>
    <row r="167" spans="2:10" x14ac:dyDescent="0.3">
      <c r="B167" s="121">
        <f t="shared" si="5"/>
        <v>0</v>
      </c>
      <c r="C167" s="122">
        <f t="shared" si="6"/>
        <v>0</v>
      </c>
      <c r="D167" s="123"/>
      <c r="E167" s="125"/>
      <c r="F167" s="125"/>
      <c r="G167" s="125"/>
      <c r="H167" s="126"/>
      <c r="I167" s="127"/>
      <c r="J167" s="118">
        <f>IF(ISERROR(VLOOKUP(H167,#REF!,9,0)),0,VLOOKUP(H167,#REF!,9,0)*I167)/3600</f>
        <v>0</v>
      </c>
    </row>
    <row r="168" spans="2:10" x14ac:dyDescent="0.3">
      <c r="B168" s="121">
        <f t="shared" si="5"/>
        <v>0</v>
      </c>
      <c r="C168" s="122">
        <f t="shared" si="6"/>
        <v>0</v>
      </c>
      <c r="D168" s="123"/>
      <c r="E168" s="124"/>
      <c r="F168" s="125"/>
      <c r="G168" s="125"/>
      <c r="H168" s="126"/>
      <c r="I168" s="127"/>
      <c r="J168" s="118">
        <f>IF(ISERROR(VLOOKUP(H168,#REF!,9,0)),0,VLOOKUP(H168,#REF!,9,0)*I168)/3600</f>
        <v>0</v>
      </c>
    </row>
    <row r="169" spans="2:10" x14ac:dyDescent="0.3">
      <c r="B169" s="121">
        <f t="shared" si="5"/>
        <v>0</v>
      </c>
      <c r="C169" s="122">
        <f t="shared" si="6"/>
        <v>0</v>
      </c>
      <c r="D169" s="123"/>
      <c r="E169" s="125"/>
      <c r="F169" s="125"/>
      <c r="G169" s="125"/>
      <c r="H169" s="126"/>
      <c r="I169" s="127"/>
      <c r="J169" s="118">
        <f>IF(ISERROR(VLOOKUP(H169,#REF!,9,0)),0,VLOOKUP(H169,#REF!,9,0)*I169)/3600</f>
        <v>0</v>
      </c>
    </row>
    <row r="170" spans="2:10" x14ac:dyDescent="0.3">
      <c r="B170" s="121">
        <f t="shared" si="5"/>
        <v>0</v>
      </c>
      <c r="C170" s="122">
        <f t="shared" si="6"/>
        <v>0</v>
      </c>
      <c r="D170" s="123"/>
      <c r="E170" s="124"/>
      <c r="F170" s="125"/>
      <c r="G170" s="125"/>
      <c r="H170" s="126"/>
      <c r="I170" s="127"/>
      <c r="J170" s="118">
        <f>IF(ISERROR(VLOOKUP(H170,#REF!,9,0)),0,VLOOKUP(H170,#REF!,9,0)*I170)/3600</f>
        <v>0</v>
      </c>
    </row>
    <row r="171" spans="2:10" x14ac:dyDescent="0.3">
      <c r="B171" s="121">
        <f t="shared" si="5"/>
        <v>0</v>
      </c>
      <c r="C171" s="122">
        <f t="shared" si="6"/>
        <v>0</v>
      </c>
      <c r="D171" s="123"/>
      <c r="E171" s="125"/>
      <c r="F171" s="125"/>
      <c r="G171" s="125"/>
      <c r="H171" s="126"/>
      <c r="I171" s="127"/>
      <c r="J171" s="118">
        <f>IF(ISERROR(VLOOKUP(H171,#REF!,9,0)),0,VLOOKUP(H171,#REF!,9,0)*I171)/3600</f>
        <v>0</v>
      </c>
    </row>
    <row r="172" spans="2:10" x14ac:dyDescent="0.3">
      <c r="B172" s="121">
        <f t="shared" si="5"/>
        <v>0</v>
      </c>
      <c r="C172" s="122">
        <f t="shared" si="6"/>
        <v>0</v>
      </c>
      <c r="D172" s="123"/>
      <c r="E172" s="124"/>
      <c r="F172" s="125"/>
      <c r="G172" s="125"/>
      <c r="H172" s="126"/>
      <c r="I172" s="127"/>
      <c r="J172" s="118">
        <f>IF(ISERROR(VLOOKUP(H172,#REF!,9,0)),0,VLOOKUP(H172,#REF!,9,0)*I172)/3600</f>
        <v>0</v>
      </c>
    </row>
    <row r="173" spans="2:10" x14ac:dyDescent="0.3">
      <c r="B173" s="121">
        <f t="shared" si="5"/>
        <v>0</v>
      </c>
      <c r="C173" s="122">
        <f t="shared" si="6"/>
        <v>0</v>
      </c>
      <c r="D173" s="123"/>
      <c r="E173" s="125"/>
      <c r="F173" s="125"/>
      <c r="G173" s="125"/>
      <c r="H173" s="126"/>
      <c r="I173" s="127"/>
      <c r="J173" s="118">
        <f>IF(ISERROR(VLOOKUP(H173,#REF!,9,0)),0,VLOOKUP(H173,#REF!,9,0)*I173)/3600</f>
        <v>0</v>
      </c>
    </row>
    <row r="174" spans="2:10" x14ac:dyDescent="0.3">
      <c r="B174" s="121">
        <f t="shared" si="5"/>
        <v>0</v>
      </c>
      <c r="C174" s="122">
        <f t="shared" si="6"/>
        <v>0</v>
      </c>
      <c r="D174" s="123"/>
      <c r="E174" s="124"/>
      <c r="F174" s="125"/>
      <c r="G174" s="125"/>
      <c r="H174" s="126"/>
      <c r="I174" s="127"/>
      <c r="J174" s="118">
        <f>IF(ISERROR(VLOOKUP(H174,#REF!,9,0)),0,VLOOKUP(H174,#REF!,9,0)*I174)/3600</f>
        <v>0</v>
      </c>
    </row>
    <row r="175" spans="2:10" x14ac:dyDescent="0.3">
      <c r="B175" s="121">
        <f t="shared" si="5"/>
        <v>0</v>
      </c>
      <c r="C175" s="122">
        <f t="shared" si="6"/>
        <v>0</v>
      </c>
      <c r="D175" s="123"/>
      <c r="E175" s="125"/>
      <c r="F175" s="125"/>
      <c r="G175" s="125"/>
      <c r="H175" s="126"/>
      <c r="I175" s="127"/>
      <c r="J175" s="118">
        <f>IF(ISERROR(VLOOKUP(H175,#REF!,9,0)),0,VLOOKUP(H175,#REF!,9,0)*I175)/3600</f>
        <v>0</v>
      </c>
    </row>
    <row r="176" spans="2:10" x14ac:dyDescent="0.3">
      <c r="B176" s="121">
        <f t="shared" si="5"/>
        <v>0</v>
      </c>
      <c r="C176" s="122">
        <f t="shared" si="6"/>
        <v>0</v>
      </c>
      <c r="D176" s="123"/>
      <c r="E176" s="124"/>
      <c r="F176" s="125"/>
      <c r="G176" s="125"/>
      <c r="H176" s="126"/>
      <c r="I176" s="127"/>
      <c r="J176" s="118">
        <f>IF(ISERROR(VLOOKUP(H176,#REF!,9,0)),0,VLOOKUP(H176,#REF!,9,0)*I176)/3600</f>
        <v>0</v>
      </c>
    </row>
    <row r="177" spans="2:10" x14ac:dyDescent="0.3">
      <c r="B177" s="121">
        <f t="shared" si="5"/>
        <v>0</v>
      </c>
      <c r="C177" s="122">
        <f t="shared" si="6"/>
        <v>0</v>
      </c>
      <c r="D177" s="123"/>
      <c r="E177" s="125"/>
      <c r="F177" s="125"/>
      <c r="G177" s="125"/>
      <c r="H177" s="126"/>
      <c r="I177" s="127"/>
      <c r="J177" s="118">
        <f>IF(ISERROR(VLOOKUP(H177,#REF!,9,0)),0,VLOOKUP(H177,#REF!,9,0)*I177)/3600</f>
        <v>0</v>
      </c>
    </row>
    <row r="178" spans="2:10" x14ac:dyDescent="0.3">
      <c r="B178" s="121">
        <f t="shared" si="5"/>
        <v>0</v>
      </c>
      <c r="C178" s="122">
        <f t="shared" si="6"/>
        <v>0</v>
      </c>
      <c r="D178" s="123"/>
      <c r="E178" s="124"/>
      <c r="F178" s="125"/>
      <c r="G178" s="125"/>
      <c r="H178" s="126"/>
      <c r="I178" s="127"/>
      <c r="J178" s="118">
        <f>IF(ISERROR(VLOOKUP(H178,#REF!,9,0)),0,VLOOKUP(H178,#REF!,9,0)*I178)/3600</f>
        <v>0</v>
      </c>
    </row>
    <row r="179" spans="2:10" x14ac:dyDescent="0.3">
      <c r="B179" s="121">
        <f t="shared" si="5"/>
        <v>0</v>
      </c>
      <c r="C179" s="122">
        <f t="shared" si="6"/>
        <v>0</v>
      </c>
      <c r="D179" s="123"/>
      <c r="E179" s="125"/>
      <c r="F179" s="125"/>
      <c r="G179" s="125"/>
      <c r="H179" s="126"/>
      <c r="I179" s="127"/>
      <c r="J179" s="118">
        <f>IF(ISERROR(VLOOKUP(H179,#REF!,9,0)),0,VLOOKUP(H179,#REF!,9,0)*I179)/3600</f>
        <v>0</v>
      </c>
    </row>
    <row r="180" spans="2:10" x14ac:dyDescent="0.3">
      <c r="B180" s="121">
        <f t="shared" si="5"/>
        <v>0</v>
      </c>
      <c r="C180" s="122">
        <f t="shared" si="6"/>
        <v>0</v>
      </c>
      <c r="D180" s="123"/>
      <c r="E180" s="124"/>
      <c r="F180" s="125"/>
      <c r="G180" s="125"/>
      <c r="H180" s="126"/>
      <c r="I180" s="127"/>
      <c r="J180" s="118">
        <f>IF(ISERROR(VLOOKUP(H180,#REF!,9,0)),0,VLOOKUP(H180,#REF!,9,0)*I180)/3600</f>
        <v>0</v>
      </c>
    </row>
    <row r="181" spans="2:10" x14ac:dyDescent="0.3">
      <c r="B181" s="121">
        <f t="shared" si="5"/>
        <v>0</v>
      </c>
      <c r="C181" s="122">
        <f t="shared" si="6"/>
        <v>0</v>
      </c>
      <c r="D181" s="123"/>
      <c r="E181" s="125"/>
      <c r="F181" s="125"/>
      <c r="G181" s="125"/>
      <c r="H181" s="126"/>
      <c r="I181" s="127"/>
      <c r="J181" s="118">
        <f>IF(ISERROR(VLOOKUP(H181,#REF!,9,0)),0,VLOOKUP(H181,#REF!,9,0)*I181)/3600</f>
        <v>0</v>
      </c>
    </row>
    <row r="182" spans="2:10" x14ac:dyDescent="0.3">
      <c r="B182" s="121">
        <f t="shared" si="5"/>
        <v>0</v>
      </c>
      <c r="C182" s="122">
        <f t="shared" si="6"/>
        <v>0</v>
      </c>
      <c r="D182" s="123"/>
      <c r="E182" s="124"/>
      <c r="F182" s="125"/>
      <c r="G182" s="125"/>
      <c r="H182" s="126"/>
      <c r="I182" s="127"/>
      <c r="J182" s="118">
        <f>IF(ISERROR(VLOOKUP(H182,#REF!,9,0)),0,VLOOKUP(H182,#REF!,9,0)*I182)/3600</f>
        <v>0</v>
      </c>
    </row>
    <row r="183" spans="2:10" x14ac:dyDescent="0.3">
      <c r="B183" s="121">
        <f t="shared" si="5"/>
        <v>0</v>
      </c>
      <c r="C183" s="122">
        <f t="shared" si="6"/>
        <v>0</v>
      </c>
      <c r="D183" s="123"/>
      <c r="E183" s="125"/>
      <c r="F183" s="125"/>
      <c r="G183" s="125"/>
      <c r="H183" s="126"/>
      <c r="I183" s="127"/>
      <c r="J183" s="118">
        <f>IF(ISERROR(VLOOKUP(H183,#REF!,9,0)),0,VLOOKUP(H183,#REF!,9,0)*I183)/3600</f>
        <v>0</v>
      </c>
    </row>
    <row r="184" spans="2:10" x14ac:dyDescent="0.3">
      <c r="B184" s="121">
        <f t="shared" si="5"/>
        <v>0</v>
      </c>
      <c r="C184" s="122">
        <f t="shared" si="6"/>
        <v>0</v>
      </c>
      <c r="D184" s="123"/>
      <c r="E184" s="124"/>
      <c r="F184" s="125"/>
      <c r="G184" s="125"/>
      <c r="H184" s="126"/>
      <c r="I184" s="127"/>
      <c r="J184" s="118">
        <f>IF(ISERROR(VLOOKUP(H184,#REF!,9,0)),0,VLOOKUP(H184,#REF!,9,0)*I184)/3600</f>
        <v>0</v>
      </c>
    </row>
    <row r="185" spans="2:10" x14ac:dyDescent="0.3">
      <c r="B185" s="121">
        <f t="shared" si="5"/>
        <v>0</v>
      </c>
      <c r="C185" s="122">
        <f t="shared" si="6"/>
        <v>0</v>
      </c>
      <c r="D185" s="123"/>
      <c r="E185" s="125"/>
      <c r="F185" s="125"/>
      <c r="G185" s="125"/>
      <c r="H185" s="126"/>
      <c r="I185" s="127"/>
      <c r="J185" s="118">
        <f>IF(ISERROR(VLOOKUP(H185,#REF!,9,0)),0,VLOOKUP(H185,#REF!,9,0)*I185)/3600</f>
        <v>0</v>
      </c>
    </row>
    <row r="186" spans="2:10" x14ac:dyDescent="0.3">
      <c r="B186" s="121">
        <f t="shared" si="5"/>
        <v>0</v>
      </c>
      <c r="C186" s="122">
        <f t="shared" si="6"/>
        <v>0</v>
      </c>
      <c r="D186" s="123"/>
      <c r="E186" s="124"/>
      <c r="F186" s="125"/>
      <c r="G186" s="125"/>
      <c r="H186" s="126"/>
      <c r="I186" s="127"/>
      <c r="J186" s="118">
        <f>IF(ISERROR(VLOOKUP(H186,#REF!,9,0)),0,VLOOKUP(H186,#REF!,9,0)*I186)/3600</f>
        <v>0</v>
      </c>
    </row>
    <row r="187" spans="2:10" x14ac:dyDescent="0.3">
      <c r="B187" s="121">
        <f t="shared" si="5"/>
        <v>0</v>
      </c>
      <c r="C187" s="122">
        <f t="shared" si="6"/>
        <v>0</v>
      </c>
      <c r="D187" s="123"/>
      <c r="E187" s="125"/>
      <c r="F187" s="125"/>
      <c r="G187" s="125"/>
      <c r="H187" s="126"/>
      <c r="I187" s="127"/>
      <c r="J187" s="118">
        <f>IF(ISERROR(VLOOKUP(H187,#REF!,9,0)),0,VLOOKUP(H187,#REF!,9,0)*I187)/3600</f>
        <v>0</v>
      </c>
    </row>
    <row r="188" spans="2:10" x14ac:dyDescent="0.3">
      <c r="B188" s="121">
        <f t="shared" si="5"/>
        <v>0</v>
      </c>
      <c r="C188" s="122">
        <f t="shared" si="6"/>
        <v>0</v>
      </c>
      <c r="D188" s="123"/>
      <c r="E188" s="124"/>
      <c r="F188" s="125"/>
      <c r="G188" s="125"/>
      <c r="H188" s="126"/>
      <c r="I188" s="127"/>
      <c r="J188" s="118">
        <f>IF(ISERROR(VLOOKUP(H188,#REF!,9,0)),0,VLOOKUP(H188,#REF!,9,0)*I188)/3600</f>
        <v>0</v>
      </c>
    </row>
    <row r="189" spans="2:10" x14ac:dyDescent="0.3">
      <c r="B189" s="121">
        <f t="shared" si="5"/>
        <v>0</v>
      </c>
      <c r="C189" s="122">
        <f t="shared" si="6"/>
        <v>0</v>
      </c>
      <c r="D189" s="123"/>
      <c r="E189" s="125"/>
      <c r="F189" s="125"/>
      <c r="G189" s="125"/>
      <c r="H189" s="126"/>
      <c r="I189" s="127"/>
      <c r="J189" s="118">
        <f>IF(ISERROR(VLOOKUP(H189,#REF!,9,0)),0,VLOOKUP(H189,#REF!,9,0)*I189)/3600</f>
        <v>0</v>
      </c>
    </row>
    <row r="190" spans="2:10" x14ac:dyDescent="0.3">
      <c r="B190" s="121">
        <f t="shared" si="5"/>
        <v>0</v>
      </c>
      <c r="C190" s="122">
        <f t="shared" si="6"/>
        <v>0</v>
      </c>
      <c r="D190" s="123"/>
      <c r="E190" s="124"/>
      <c r="F190" s="125"/>
      <c r="G190" s="125"/>
      <c r="H190" s="126"/>
      <c r="I190" s="127"/>
      <c r="J190" s="118">
        <f>IF(ISERROR(VLOOKUP(H190,#REF!,9,0)),0,VLOOKUP(H190,#REF!,9,0)*I190)/3600</f>
        <v>0</v>
      </c>
    </row>
    <row r="191" spans="2:10" x14ac:dyDescent="0.3">
      <c r="B191" s="121">
        <f t="shared" si="5"/>
        <v>0</v>
      </c>
      <c r="C191" s="122">
        <f t="shared" si="6"/>
        <v>0</v>
      </c>
      <c r="D191" s="123"/>
      <c r="E191" s="125"/>
      <c r="F191" s="125"/>
      <c r="G191" s="125"/>
      <c r="H191" s="126"/>
      <c r="I191" s="127"/>
      <c r="J191" s="118">
        <f>IF(ISERROR(VLOOKUP(H191,#REF!,9,0)),0,VLOOKUP(H191,#REF!,9,0)*I191)/3600</f>
        <v>0</v>
      </c>
    </row>
    <row r="192" spans="2:10" x14ac:dyDescent="0.3">
      <c r="B192" s="121">
        <f t="shared" si="5"/>
        <v>0</v>
      </c>
      <c r="C192" s="122">
        <f t="shared" si="6"/>
        <v>0</v>
      </c>
      <c r="D192" s="123"/>
      <c r="E192" s="124"/>
      <c r="F192" s="125"/>
      <c r="G192" s="125"/>
      <c r="H192" s="126"/>
      <c r="I192" s="127"/>
      <c r="J192" s="118">
        <f>IF(ISERROR(VLOOKUP(H192,#REF!,9,0)),0,VLOOKUP(H192,#REF!,9,0)*I192)/3600</f>
        <v>0</v>
      </c>
    </row>
    <row r="193" spans="2:10" x14ac:dyDescent="0.3">
      <c r="B193" s="121">
        <f t="shared" si="5"/>
        <v>0</v>
      </c>
      <c r="C193" s="122">
        <f t="shared" si="6"/>
        <v>0</v>
      </c>
      <c r="D193" s="123"/>
      <c r="E193" s="125"/>
      <c r="F193" s="125"/>
      <c r="G193" s="125"/>
      <c r="H193" s="126"/>
      <c r="I193" s="127"/>
      <c r="J193" s="118">
        <f>IF(ISERROR(VLOOKUP(H193,#REF!,9,0)),0,VLOOKUP(H193,#REF!,9,0)*I193)/3600</f>
        <v>0</v>
      </c>
    </row>
    <row r="194" spans="2:10" x14ac:dyDescent="0.3">
      <c r="B194" s="121">
        <f t="shared" si="5"/>
        <v>0</v>
      </c>
      <c r="C194" s="122">
        <f t="shared" si="6"/>
        <v>0</v>
      </c>
      <c r="D194" s="123"/>
      <c r="E194" s="124"/>
      <c r="F194" s="125"/>
      <c r="G194" s="125"/>
      <c r="H194" s="126"/>
      <c r="I194" s="127"/>
      <c r="J194" s="118">
        <f>IF(ISERROR(VLOOKUP(H194,#REF!,9,0)),0,VLOOKUP(H194,#REF!,9,0)*I194)/3600</f>
        <v>0</v>
      </c>
    </row>
    <row r="195" spans="2:10" x14ac:dyDescent="0.3">
      <c r="B195" s="121">
        <f t="shared" si="5"/>
        <v>0</v>
      </c>
      <c r="C195" s="122">
        <f t="shared" si="6"/>
        <v>0</v>
      </c>
      <c r="D195" s="123"/>
      <c r="E195" s="125"/>
      <c r="F195" s="125"/>
      <c r="G195" s="125"/>
      <c r="H195" s="126"/>
      <c r="I195" s="127"/>
      <c r="J195" s="118">
        <f>IF(ISERROR(VLOOKUP(H195,#REF!,9,0)),0,VLOOKUP(H195,#REF!,9,0)*I195)/3600</f>
        <v>0</v>
      </c>
    </row>
    <row r="196" spans="2:10" x14ac:dyDescent="0.3">
      <c r="B196" s="121">
        <f t="shared" si="5"/>
        <v>0</v>
      </c>
      <c r="C196" s="122">
        <f t="shared" si="6"/>
        <v>0</v>
      </c>
      <c r="D196" s="123"/>
      <c r="E196" s="124"/>
      <c r="F196" s="125"/>
      <c r="G196" s="125"/>
      <c r="H196" s="126"/>
      <c r="I196" s="127"/>
      <c r="J196" s="118">
        <f>IF(ISERROR(VLOOKUP(H196,#REF!,9,0)),0,VLOOKUP(H196,#REF!,9,0)*I196)/3600</f>
        <v>0</v>
      </c>
    </row>
    <row r="197" spans="2:10" x14ac:dyDescent="0.3">
      <c r="B197" s="121">
        <f t="shared" si="5"/>
        <v>0</v>
      </c>
      <c r="C197" s="122">
        <f t="shared" si="6"/>
        <v>0</v>
      </c>
      <c r="D197" s="123"/>
      <c r="E197" s="125"/>
      <c r="F197" s="125"/>
      <c r="G197" s="125"/>
      <c r="H197" s="126"/>
      <c r="I197" s="127"/>
      <c r="J197" s="118">
        <f>IF(ISERROR(VLOOKUP(H197,#REF!,9,0)),0,VLOOKUP(H197,#REF!,9,0)*I197)/3600</f>
        <v>0</v>
      </c>
    </row>
    <row r="198" spans="2:10" x14ac:dyDescent="0.3">
      <c r="B198" s="121">
        <f t="shared" ref="B198:B261" si="7">IF(D198&gt;0,YEAR(D198),0)</f>
        <v>0</v>
      </c>
      <c r="C198" s="122">
        <f t="shared" ref="C198:C261" si="8">IF(D198&gt;0,MONTH(D198),0)</f>
        <v>0</v>
      </c>
      <c r="D198" s="123"/>
      <c r="E198" s="124"/>
      <c r="F198" s="125"/>
      <c r="G198" s="125"/>
      <c r="H198" s="126"/>
      <c r="I198" s="127"/>
      <c r="J198" s="118">
        <f>IF(ISERROR(VLOOKUP(H198,#REF!,9,0)),0,VLOOKUP(H198,#REF!,9,0)*I198)/3600</f>
        <v>0</v>
      </c>
    </row>
    <row r="199" spans="2:10" x14ac:dyDescent="0.3">
      <c r="B199" s="121">
        <f t="shared" si="7"/>
        <v>0</v>
      </c>
      <c r="C199" s="122">
        <f t="shared" si="8"/>
        <v>0</v>
      </c>
      <c r="D199" s="123"/>
      <c r="E199" s="125"/>
      <c r="F199" s="125"/>
      <c r="G199" s="125"/>
      <c r="H199" s="126"/>
      <c r="I199" s="127"/>
      <c r="J199" s="118">
        <f>IF(ISERROR(VLOOKUP(H199,#REF!,9,0)),0,VLOOKUP(H199,#REF!,9,0)*I199)/3600</f>
        <v>0</v>
      </c>
    </row>
    <row r="200" spans="2:10" x14ac:dyDescent="0.3">
      <c r="B200" s="121">
        <f t="shared" si="7"/>
        <v>0</v>
      </c>
      <c r="C200" s="122">
        <f t="shared" si="8"/>
        <v>0</v>
      </c>
      <c r="D200" s="123"/>
      <c r="E200" s="124"/>
      <c r="F200" s="125"/>
      <c r="G200" s="125"/>
      <c r="H200" s="126"/>
      <c r="I200" s="127"/>
      <c r="J200" s="118">
        <f>IF(ISERROR(VLOOKUP(H200,#REF!,9,0)),0,VLOOKUP(H200,#REF!,9,0)*I200)/3600</f>
        <v>0</v>
      </c>
    </row>
    <row r="201" spans="2:10" x14ac:dyDescent="0.3">
      <c r="B201" s="121">
        <f t="shared" si="7"/>
        <v>0</v>
      </c>
      <c r="C201" s="122">
        <f t="shared" si="8"/>
        <v>0</v>
      </c>
      <c r="D201" s="123"/>
      <c r="E201" s="125"/>
      <c r="F201" s="125"/>
      <c r="G201" s="125"/>
      <c r="H201" s="126"/>
      <c r="I201" s="127"/>
      <c r="J201" s="118">
        <f>IF(ISERROR(VLOOKUP(H201,#REF!,9,0)),0,VLOOKUP(H201,#REF!,9,0)*I201)/3600</f>
        <v>0</v>
      </c>
    </row>
    <row r="202" spans="2:10" x14ac:dyDescent="0.3">
      <c r="B202" s="121">
        <f t="shared" si="7"/>
        <v>0</v>
      </c>
      <c r="C202" s="122">
        <f t="shared" si="8"/>
        <v>0</v>
      </c>
      <c r="D202" s="123"/>
      <c r="E202" s="124"/>
      <c r="F202" s="125"/>
      <c r="G202" s="125"/>
      <c r="H202" s="126"/>
      <c r="I202" s="127"/>
      <c r="J202" s="118">
        <f>IF(ISERROR(VLOOKUP(H202,#REF!,9,0)),0,VLOOKUP(H202,#REF!,9,0)*I202)/3600</f>
        <v>0</v>
      </c>
    </row>
    <row r="203" spans="2:10" x14ac:dyDescent="0.3">
      <c r="B203" s="121">
        <f t="shared" si="7"/>
        <v>0</v>
      </c>
      <c r="C203" s="122">
        <f t="shared" si="8"/>
        <v>0</v>
      </c>
      <c r="D203" s="123"/>
      <c r="E203" s="125"/>
      <c r="F203" s="125"/>
      <c r="G203" s="125"/>
      <c r="H203" s="126"/>
      <c r="I203" s="127"/>
      <c r="J203" s="118">
        <f>IF(ISERROR(VLOOKUP(H203,#REF!,9,0)),0,VLOOKUP(H203,#REF!,9,0)*I203)/3600</f>
        <v>0</v>
      </c>
    </row>
    <row r="204" spans="2:10" x14ac:dyDescent="0.3">
      <c r="B204" s="121">
        <f t="shared" si="7"/>
        <v>0</v>
      </c>
      <c r="C204" s="122">
        <f t="shared" si="8"/>
        <v>0</v>
      </c>
      <c r="D204" s="123"/>
      <c r="E204" s="124"/>
      <c r="F204" s="125"/>
      <c r="G204" s="125"/>
      <c r="H204" s="126"/>
      <c r="I204" s="127"/>
      <c r="J204" s="118">
        <f>IF(ISERROR(VLOOKUP(H204,#REF!,9,0)),0,VLOOKUP(H204,#REF!,9,0)*I204)/3600</f>
        <v>0</v>
      </c>
    </row>
    <row r="205" spans="2:10" x14ac:dyDescent="0.3">
      <c r="B205" s="121">
        <f t="shared" si="7"/>
        <v>0</v>
      </c>
      <c r="C205" s="122">
        <f t="shared" si="8"/>
        <v>0</v>
      </c>
      <c r="D205" s="123"/>
      <c r="E205" s="125"/>
      <c r="F205" s="125"/>
      <c r="G205" s="125"/>
      <c r="H205" s="126"/>
      <c r="I205" s="127"/>
      <c r="J205" s="118">
        <f>IF(ISERROR(VLOOKUP(H205,#REF!,9,0)),0,VLOOKUP(H205,#REF!,9,0)*I205)/3600</f>
        <v>0</v>
      </c>
    </row>
    <row r="206" spans="2:10" x14ac:dyDescent="0.3">
      <c r="B206" s="121">
        <f t="shared" si="7"/>
        <v>0</v>
      </c>
      <c r="C206" s="122">
        <f t="shared" si="8"/>
        <v>0</v>
      </c>
      <c r="D206" s="123"/>
      <c r="E206" s="124"/>
      <c r="F206" s="125"/>
      <c r="G206" s="125"/>
      <c r="H206" s="126"/>
      <c r="I206" s="127"/>
      <c r="J206" s="118">
        <f>IF(ISERROR(VLOOKUP(H206,#REF!,9,0)),0,VLOOKUP(H206,#REF!,9,0)*I206)/3600</f>
        <v>0</v>
      </c>
    </row>
    <row r="207" spans="2:10" x14ac:dyDescent="0.3">
      <c r="B207" s="121">
        <f t="shared" si="7"/>
        <v>0</v>
      </c>
      <c r="C207" s="122">
        <f t="shared" si="8"/>
        <v>0</v>
      </c>
      <c r="D207" s="123"/>
      <c r="E207" s="125"/>
      <c r="F207" s="125"/>
      <c r="G207" s="125"/>
      <c r="H207" s="126"/>
      <c r="I207" s="127"/>
      <c r="J207" s="118">
        <f>IF(ISERROR(VLOOKUP(H207,#REF!,9,0)),0,VLOOKUP(H207,#REF!,9,0)*I207)/3600</f>
        <v>0</v>
      </c>
    </row>
    <row r="208" spans="2:10" x14ac:dyDescent="0.3">
      <c r="B208" s="121">
        <f t="shared" si="7"/>
        <v>0</v>
      </c>
      <c r="C208" s="122">
        <f t="shared" si="8"/>
        <v>0</v>
      </c>
      <c r="D208" s="123"/>
      <c r="E208" s="124"/>
      <c r="F208" s="125"/>
      <c r="G208" s="125"/>
      <c r="H208" s="126"/>
      <c r="I208" s="127"/>
      <c r="J208" s="118">
        <f>IF(ISERROR(VLOOKUP(H208,#REF!,9,0)),0,VLOOKUP(H208,#REF!,9,0)*I208)/3600</f>
        <v>0</v>
      </c>
    </row>
    <row r="209" spans="2:10" x14ac:dyDescent="0.3">
      <c r="B209" s="121">
        <f t="shared" si="7"/>
        <v>0</v>
      </c>
      <c r="C209" s="122">
        <f t="shared" si="8"/>
        <v>0</v>
      </c>
      <c r="D209" s="123"/>
      <c r="E209" s="125"/>
      <c r="F209" s="125"/>
      <c r="G209" s="125"/>
      <c r="H209" s="126"/>
      <c r="I209" s="127"/>
      <c r="J209" s="118">
        <f>IF(ISERROR(VLOOKUP(H209,#REF!,9,0)),0,VLOOKUP(H209,#REF!,9,0)*I209)/3600</f>
        <v>0</v>
      </c>
    </row>
    <row r="210" spans="2:10" x14ac:dyDescent="0.3">
      <c r="B210" s="121">
        <f t="shared" si="7"/>
        <v>0</v>
      </c>
      <c r="C210" s="122">
        <f t="shared" si="8"/>
        <v>0</v>
      </c>
      <c r="D210" s="123"/>
      <c r="E210" s="124"/>
      <c r="F210" s="125"/>
      <c r="G210" s="125"/>
      <c r="H210" s="126"/>
      <c r="I210" s="127"/>
      <c r="J210" s="118">
        <f>IF(ISERROR(VLOOKUP(H210,#REF!,9,0)),0,VLOOKUP(H210,#REF!,9,0)*I210)/3600</f>
        <v>0</v>
      </c>
    </row>
    <row r="211" spans="2:10" x14ac:dyDescent="0.3">
      <c r="B211" s="121">
        <f t="shared" si="7"/>
        <v>0</v>
      </c>
      <c r="C211" s="122">
        <f t="shared" si="8"/>
        <v>0</v>
      </c>
      <c r="D211" s="123"/>
      <c r="E211" s="125"/>
      <c r="F211" s="125"/>
      <c r="G211" s="125"/>
      <c r="H211" s="126"/>
      <c r="I211" s="127"/>
      <c r="J211" s="118">
        <f>IF(ISERROR(VLOOKUP(H211,#REF!,9,0)),0,VLOOKUP(H211,#REF!,9,0)*I211)/3600</f>
        <v>0</v>
      </c>
    </row>
    <row r="212" spans="2:10" x14ac:dyDescent="0.3">
      <c r="B212" s="121">
        <f t="shared" si="7"/>
        <v>0</v>
      </c>
      <c r="C212" s="122">
        <f t="shared" si="8"/>
        <v>0</v>
      </c>
      <c r="D212" s="123"/>
      <c r="E212" s="124"/>
      <c r="F212" s="125"/>
      <c r="G212" s="125"/>
      <c r="H212" s="126"/>
      <c r="I212" s="127"/>
      <c r="J212" s="118">
        <f>IF(ISERROR(VLOOKUP(H212,#REF!,9,0)),0,VLOOKUP(H212,#REF!,9,0)*I212)/3600</f>
        <v>0</v>
      </c>
    </row>
    <row r="213" spans="2:10" x14ac:dyDescent="0.3">
      <c r="B213" s="121">
        <f t="shared" si="7"/>
        <v>0</v>
      </c>
      <c r="C213" s="122">
        <f t="shared" si="8"/>
        <v>0</v>
      </c>
      <c r="D213" s="123"/>
      <c r="E213" s="125"/>
      <c r="F213" s="125"/>
      <c r="G213" s="125"/>
      <c r="H213" s="126"/>
      <c r="I213" s="127"/>
      <c r="J213" s="118">
        <f>IF(ISERROR(VLOOKUP(H213,#REF!,9,0)),0,VLOOKUP(H213,#REF!,9,0)*I213)/3600</f>
        <v>0</v>
      </c>
    </row>
    <row r="214" spans="2:10" x14ac:dyDescent="0.3">
      <c r="B214" s="121">
        <f t="shared" si="7"/>
        <v>0</v>
      </c>
      <c r="C214" s="122">
        <f t="shared" si="8"/>
        <v>0</v>
      </c>
      <c r="D214" s="123"/>
      <c r="E214" s="124"/>
      <c r="F214" s="125"/>
      <c r="G214" s="125"/>
      <c r="H214" s="126"/>
      <c r="I214" s="127"/>
      <c r="J214" s="118">
        <f>IF(ISERROR(VLOOKUP(H214,#REF!,9,0)),0,VLOOKUP(H214,#REF!,9,0)*I214)/3600</f>
        <v>0</v>
      </c>
    </row>
    <row r="215" spans="2:10" x14ac:dyDescent="0.3">
      <c r="B215" s="121">
        <f t="shared" si="7"/>
        <v>0</v>
      </c>
      <c r="C215" s="122">
        <f t="shared" si="8"/>
        <v>0</v>
      </c>
      <c r="D215" s="123"/>
      <c r="E215" s="125"/>
      <c r="F215" s="125"/>
      <c r="G215" s="125"/>
      <c r="H215" s="126"/>
      <c r="I215" s="127"/>
      <c r="J215" s="118">
        <f>IF(ISERROR(VLOOKUP(H215,#REF!,9,0)),0,VLOOKUP(H215,#REF!,9,0)*I215)/3600</f>
        <v>0</v>
      </c>
    </row>
    <row r="216" spans="2:10" x14ac:dyDescent="0.3">
      <c r="B216" s="121">
        <f t="shared" si="7"/>
        <v>0</v>
      </c>
      <c r="C216" s="122">
        <f t="shared" si="8"/>
        <v>0</v>
      </c>
      <c r="D216" s="123"/>
      <c r="E216" s="124"/>
      <c r="F216" s="125"/>
      <c r="G216" s="125"/>
      <c r="H216" s="126"/>
      <c r="I216" s="127"/>
      <c r="J216" s="118">
        <f>IF(ISERROR(VLOOKUP(H216,#REF!,9,0)),0,VLOOKUP(H216,#REF!,9,0)*I216)/3600</f>
        <v>0</v>
      </c>
    </row>
    <row r="217" spans="2:10" x14ac:dyDescent="0.3">
      <c r="B217" s="121">
        <f t="shared" si="7"/>
        <v>0</v>
      </c>
      <c r="C217" s="122">
        <f t="shared" si="8"/>
        <v>0</v>
      </c>
      <c r="D217" s="123"/>
      <c r="E217" s="125"/>
      <c r="F217" s="125"/>
      <c r="G217" s="125"/>
      <c r="H217" s="126"/>
      <c r="I217" s="127"/>
      <c r="J217" s="118">
        <f>IF(ISERROR(VLOOKUP(H217,#REF!,9,0)),0,VLOOKUP(H217,#REF!,9,0)*I217)/3600</f>
        <v>0</v>
      </c>
    </row>
    <row r="218" spans="2:10" x14ac:dyDescent="0.3">
      <c r="B218" s="121">
        <f t="shared" si="7"/>
        <v>0</v>
      </c>
      <c r="C218" s="122">
        <f t="shared" si="8"/>
        <v>0</v>
      </c>
      <c r="D218" s="123"/>
      <c r="E218" s="124"/>
      <c r="F218" s="125"/>
      <c r="G218" s="125"/>
      <c r="H218" s="126"/>
      <c r="I218" s="127"/>
      <c r="J218" s="118">
        <f>IF(ISERROR(VLOOKUP(H218,#REF!,9,0)),0,VLOOKUP(H218,#REF!,9,0)*I218)/3600</f>
        <v>0</v>
      </c>
    </row>
    <row r="219" spans="2:10" x14ac:dyDescent="0.3">
      <c r="B219" s="121">
        <f t="shared" si="7"/>
        <v>0</v>
      </c>
      <c r="C219" s="122">
        <f t="shared" si="8"/>
        <v>0</v>
      </c>
      <c r="D219" s="123"/>
      <c r="E219" s="125"/>
      <c r="F219" s="125"/>
      <c r="G219" s="125"/>
      <c r="H219" s="126"/>
      <c r="I219" s="127"/>
      <c r="J219" s="118">
        <f>IF(ISERROR(VLOOKUP(H219,#REF!,9,0)),0,VLOOKUP(H219,#REF!,9,0)*I219)/3600</f>
        <v>0</v>
      </c>
    </row>
    <row r="220" spans="2:10" x14ac:dyDescent="0.3">
      <c r="B220" s="121">
        <f t="shared" si="7"/>
        <v>0</v>
      </c>
      <c r="C220" s="122">
        <f t="shared" si="8"/>
        <v>0</v>
      </c>
      <c r="D220" s="123"/>
      <c r="E220" s="124"/>
      <c r="F220" s="125"/>
      <c r="G220" s="125"/>
      <c r="H220" s="126"/>
      <c r="I220" s="127"/>
      <c r="J220" s="118">
        <f>IF(ISERROR(VLOOKUP(H220,#REF!,9,0)),0,VLOOKUP(H220,#REF!,9,0)*I220)/3600</f>
        <v>0</v>
      </c>
    </row>
    <row r="221" spans="2:10" x14ac:dyDescent="0.3">
      <c r="B221" s="121">
        <f t="shared" si="7"/>
        <v>0</v>
      </c>
      <c r="C221" s="122">
        <f t="shared" si="8"/>
        <v>0</v>
      </c>
      <c r="D221" s="123"/>
      <c r="E221" s="125"/>
      <c r="F221" s="125"/>
      <c r="G221" s="125"/>
      <c r="H221" s="126"/>
      <c r="I221" s="127"/>
      <c r="J221" s="118">
        <f>IF(ISERROR(VLOOKUP(H221,#REF!,9,0)),0,VLOOKUP(H221,#REF!,9,0)*I221)/3600</f>
        <v>0</v>
      </c>
    </row>
    <row r="222" spans="2:10" x14ac:dyDescent="0.3">
      <c r="B222" s="121">
        <f t="shared" si="7"/>
        <v>0</v>
      </c>
      <c r="C222" s="122">
        <f t="shared" si="8"/>
        <v>0</v>
      </c>
      <c r="D222" s="123"/>
      <c r="E222" s="124"/>
      <c r="F222" s="125"/>
      <c r="G222" s="125"/>
      <c r="H222" s="126"/>
      <c r="I222" s="127"/>
      <c r="J222" s="118">
        <f>IF(ISERROR(VLOOKUP(H222,#REF!,9,0)),0,VLOOKUP(H222,#REF!,9,0)*I222)/3600</f>
        <v>0</v>
      </c>
    </row>
    <row r="223" spans="2:10" x14ac:dyDescent="0.3">
      <c r="B223" s="121">
        <f t="shared" si="7"/>
        <v>0</v>
      </c>
      <c r="C223" s="122">
        <f t="shared" si="8"/>
        <v>0</v>
      </c>
      <c r="D223" s="123"/>
      <c r="E223" s="125"/>
      <c r="F223" s="125"/>
      <c r="G223" s="125"/>
      <c r="H223" s="126"/>
      <c r="I223" s="127"/>
      <c r="J223" s="118">
        <f>IF(ISERROR(VLOOKUP(H223,#REF!,9,0)),0,VLOOKUP(H223,#REF!,9,0)*I223)/3600</f>
        <v>0</v>
      </c>
    </row>
    <row r="224" spans="2:10" x14ac:dyDescent="0.3">
      <c r="B224" s="121">
        <f t="shared" si="7"/>
        <v>0</v>
      </c>
      <c r="C224" s="122">
        <f t="shared" si="8"/>
        <v>0</v>
      </c>
      <c r="D224" s="123"/>
      <c r="E224" s="124"/>
      <c r="F224" s="125"/>
      <c r="G224" s="125"/>
      <c r="H224" s="126"/>
      <c r="I224" s="127"/>
      <c r="J224" s="118">
        <f>IF(ISERROR(VLOOKUP(H224,#REF!,9,0)),0,VLOOKUP(H224,#REF!,9,0)*I224)/3600</f>
        <v>0</v>
      </c>
    </row>
    <row r="225" spans="2:10" x14ac:dyDescent="0.3">
      <c r="B225" s="121">
        <f t="shared" si="7"/>
        <v>0</v>
      </c>
      <c r="C225" s="122">
        <f t="shared" si="8"/>
        <v>0</v>
      </c>
      <c r="D225" s="123"/>
      <c r="E225" s="125"/>
      <c r="F225" s="125"/>
      <c r="G225" s="125"/>
      <c r="H225" s="126"/>
      <c r="I225" s="127"/>
      <c r="J225" s="118">
        <f>IF(ISERROR(VLOOKUP(H225,#REF!,9,0)),0,VLOOKUP(H225,#REF!,9,0)*I225)/3600</f>
        <v>0</v>
      </c>
    </row>
    <row r="226" spans="2:10" x14ac:dyDescent="0.3">
      <c r="B226" s="121">
        <f t="shared" si="7"/>
        <v>0</v>
      </c>
      <c r="C226" s="122">
        <f t="shared" si="8"/>
        <v>0</v>
      </c>
      <c r="D226" s="123"/>
      <c r="E226" s="124"/>
      <c r="F226" s="125"/>
      <c r="G226" s="125"/>
      <c r="H226" s="126"/>
      <c r="I226" s="127"/>
      <c r="J226" s="118">
        <f>IF(ISERROR(VLOOKUP(H226,#REF!,9,0)),0,VLOOKUP(H226,#REF!,9,0)*I226)/3600</f>
        <v>0</v>
      </c>
    </row>
    <row r="227" spans="2:10" x14ac:dyDescent="0.3">
      <c r="B227" s="121">
        <f t="shared" si="7"/>
        <v>0</v>
      </c>
      <c r="C227" s="122">
        <f t="shared" si="8"/>
        <v>0</v>
      </c>
      <c r="D227" s="123"/>
      <c r="E227" s="125"/>
      <c r="F227" s="125"/>
      <c r="G227" s="125"/>
      <c r="H227" s="126"/>
      <c r="I227" s="127"/>
      <c r="J227" s="118">
        <f>IF(ISERROR(VLOOKUP(H227,#REF!,9,0)),0,VLOOKUP(H227,#REF!,9,0)*I227)/3600</f>
        <v>0</v>
      </c>
    </row>
    <row r="228" spans="2:10" x14ac:dyDescent="0.3">
      <c r="B228" s="121">
        <f t="shared" si="7"/>
        <v>0</v>
      </c>
      <c r="C228" s="122">
        <f t="shared" si="8"/>
        <v>0</v>
      </c>
      <c r="D228" s="123"/>
      <c r="E228" s="124"/>
      <c r="F228" s="125"/>
      <c r="G228" s="125"/>
      <c r="H228" s="126"/>
      <c r="I228" s="127"/>
      <c r="J228" s="118">
        <f>IF(ISERROR(VLOOKUP(H228,#REF!,9,0)),0,VLOOKUP(H228,#REF!,9,0)*I228)/3600</f>
        <v>0</v>
      </c>
    </row>
    <row r="229" spans="2:10" x14ac:dyDescent="0.3">
      <c r="B229" s="121">
        <f t="shared" si="7"/>
        <v>0</v>
      </c>
      <c r="C229" s="122">
        <f t="shared" si="8"/>
        <v>0</v>
      </c>
      <c r="D229" s="123"/>
      <c r="E229" s="125"/>
      <c r="F229" s="125"/>
      <c r="G229" s="125"/>
      <c r="H229" s="126"/>
      <c r="I229" s="127"/>
      <c r="J229" s="118">
        <f>IF(ISERROR(VLOOKUP(H229,#REF!,9,0)),0,VLOOKUP(H229,#REF!,9,0)*I229)/3600</f>
        <v>0</v>
      </c>
    </row>
    <row r="230" spans="2:10" x14ac:dyDescent="0.3">
      <c r="B230" s="121">
        <f t="shared" si="7"/>
        <v>0</v>
      </c>
      <c r="C230" s="122">
        <f t="shared" si="8"/>
        <v>0</v>
      </c>
      <c r="D230" s="123"/>
      <c r="E230" s="124"/>
      <c r="F230" s="125"/>
      <c r="G230" s="125"/>
      <c r="H230" s="126"/>
      <c r="I230" s="127"/>
      <c r="J230" s="118">
        <f>IF(ISERROR(VLOOKUP(H230,#REF!,9,0)),0,VLOOKUP(H230,#REF!,9,0)*I230)/3600</f>
        <v>0</v>
      </c>
    </row>
    <row r="231" spans="2:10" x14ac:dyDescent="0.3">
      <c r="B231" s="121">
        <f t="shared" si="7"/>
        <v>0</v>
      </c>
      <c r="C231" s="122">
        <f t="shared" si="8"/>
        <v>0</v>
      </c>
      <c r="D231" s="123"/>
      <c r="E231" s="125"/>
      <c r="F231" s="125"/>
      <c r="G231" s="125"/>
      <c r="H231" s="126"/>
      <c r="I231" s="127"/>
      <c r="J231" s="118">
        <f>IF(ISERROR(VLOOKUP(H231,#REF!,9,0)),0,VLOOKUP(H231,#REF!,9,0)*I231)/3600</f>
        <v>0</v>
      </c>
    </row>
    <row r="232" spans="2:10" x14ac:dyDescent="0.3">
      <c r="B232" s="121">
        <f t="shared" si="7"/>
        <v>0</v>
      </c>
      <c r="C232" s="122">
        <f t="shared" si="8"/>
        <v>0</v>
      </c>
      <c r="D232" s="123"/>
      <c r="E232" s="124"/>
      <c r="F232" s="125"/>
      <c r="G232" s="125"/>
      <c r="H232" s="126"/>
      <c r="I232" s="127"/>
      <c r="J232" s="118">
        <f>IF(ISERROR(VLOOKUP(H232,#REF!,9,0)),0,VLOOKUP(H232,#REF!,9,0)*I232)/3600</f>
        <v>0</v>
      </c>
    </row>
    <row r="233" spans="2:10" x14ac:dyDescent="0.3">
      <c r="B233" s="121">
        <f t="shared" si="7"/>
        <v>0</v>
      </c>
      <c r="C233" s="122">
        <f t="shared" si="8"/>
        <v>0</v>
      </c>
      <c r="D233" s="123"/>
      <c r="E233" s="125"/>
      <c r="F233" s="125"/>
      <c r="G233" s="125"/>
      <c r="H233" s="126"/>
      <c r="I233" s="127"/>
      <c r="J233" s="118">
        <f>IF(ISERROR(VLOOKUP(H233,#REF!,9,0)),0,VLOOKUP(H233,#REF!,9,0)*I233)/3600</f>
        <v>0</v>
      </c>
    </row>
    <row r="234" spans="2:10" x14ac:dyDescent="0.3">
      <c r="B234" s="121">
        <f t="shared" si="7"/>
        <v>0</v>
      </c>
      <c r="C234" s="122">
        <f t="shared" si="8"/>
        <v>0</v>
      </c>
      <c r="D234" s="123"/>
      <c r="E234" s="124"/>
      <c r="F234" s="125"/>
      <c r="G234" s="125"/>
      <c r="H234" s="126"/>
      <c r="I234" s="127"/>
      <c r="J234" s="118">
        <f>IF(ISERROR(VLOOKUP(H234,#REF!,9,0)),0,VLOOKUP(H234,#REF!,9,0)*I234)/3600</f>
        <v>0</v>
      </c>
    </row>
    <row r="235" spans="2:10" x14ac:dyDescent="0.3">
      <c r="B235" s="121">
        <f t="shared" si="7"/>
        <v>0</v>
      </c>
      <c r="C235" s="122">
        <f t="shared" si="8"/>
        <v>0</v>
      </c>
      <c r="D235" s="123"/>
      <c r="E235" s="125"/>
      <c r="F235" s="125"/>
      <c r="G235" s="125"/>
      <c r="H235" s="126"/>
      <c r="I235" s="127"/>
      <c r="J235" s="118">
        <f>IF(ISERROR(VLOOKUP(H235,#REF!,9,0)),0,VLOOKUP(H235,#REF!,9,0)*I235)/3600</f>
        <v>0</v>
      </c>
    </row>
    <row r="236" spans="2:10" x14ac:dyDescent="0.3">
      <c r="B236" s="121">
        <f t="shared" si="7"/>
        <v>0</v>
      </c>
      <c r="C236" s="122">
        <f t="shared" si="8"/>
        <v>0</v>
      </c>
      <c r="D236" s="123"/>
      <c r="E236" s="124"/>
      <c r="F236" s="125"/>
      <c r="G236" s="125"/>
      <c r="H236" s="126"/>
      <c r="I236" s="127"/>
      <c r="J236" s="118">
        <f>IF(ISERROR(VLOOKUP(H236,#REF!,9,0)),0,VLOOKUP(H236,#REF!,9,0)*I236)/3600</f>
        <v>0</v>
      </c>
    </row>
    <row r="237" spans="2:10" x14ac:dyDescent="0.3">
      <c r="B237" s="121">
        <f t="shared" si="7"/>
        <v>0</v>
      </c>
      <c r="C237" s="122">
        <f t="shared" si="8"/>
        <v>0</v>
      </c>
      <c r="D237" s="123"/>
      <c r="E237" s="125"/>
      <c r="F237" s="125"/>
      <c r="G237" s="125"/>
      <c r="H237" s="126"/>
      <c r="I237" s="127"/>
      <c r="J237" s="118">
        <f>IF(ISERROR(VLOOKUP(H237,#REF!,9,0)),0,VLOOKUP(H237,#REF!,9,0)*I237)/3600</f>
        <v>0</v>
      </c>
    </row>
    <row r="238" spans="2:10" x14ac:dyDescent="0.3">
      <c r="B238" s="121">
        <f t="shared" si="7"/>
        <v>0</v>
      </c>
      <c r="C238" s="122">
        <f t="shared" si="8"/>
        <v>0</v>
      </c>
      <c r="D238" s="123"/>
      <c r="E238" s="124"/>
      <c r="F238" s="125"/>
      <c r="G238" s="125"/>
      <c r="H238" s="126"/>
      <c r="I238" s="127"/>
      <c r="J238" s="118">
        <f>IF(ISERROR(VLOOKUP(H238,#REF!,9,0)),0,VLOOKUP(H238,#REF!,9,0)*I238)/3600</f>
        <v>0</v>
      </c>
    </row>
    <row r="239" spans="2:10" x14ac:dyDescent="0.3">
      <c r="B239" s="121">
        <f t="shared" si="7"/>
        <v>0</v>
      </c>
      <c r="C239" s="122">
        <f t="shared" si="8"/>
        <v>0</v>
      </c>
      <c r="D239" s="123"/>
      <c r="E239" s="125"/>
      <c r="F239" s="125"/>
      <c r="G239" s="125"/>
      <c r="H239" s="126"/>
      <c r="I239" s="127"/>
      <c r="J239" s="118">
        <f>IF(ISERROR(VLOOKUP(H239,#REF!,9,0)),0,VLOOKUP(H239,#REF!,9,0)*I239)/3600</f>
        <v>0</v>
      </c>
    </row>
    <row r="240" spans="2:10" x14ac:dyDescent="0.3">
      <c r="B240" s="121">
        <f t="shared" si="7"/>
        <v>0</v>
      </c>
      <c r="C240" s="122">
        <f t="shared" si="8"/>
        <v>0</v>
      </c>
      <c r="D240" s="123"/>
      <c r="E240" s="124"/>
      <c r="F240" s="125"/>
      <c r="G240" s="125"/>
      <c r="H240" s="126"/>
      <c r="I240" s="127"/>
      <c r="J240" s="118">
        <f>IF(ISERROR(VLOOKUP(H240,#REF!,9,0)),0,VLOOKUP(H240,#REF!,9,0)*I240)/3600</f>
        <v>0</v>
      </c>
    </row>
    <row r="241" spans="2:10" x14ac:dyDescent="0.3">
      <c r="B241" s="121">
        <f t="shared" si="7"/>
        <v>0</v>
      </c>
      <c r="C241" s="122">
        <f t="shared" si="8"/>
        <v>0</v>
      </c>
      <c r="D241" s="123"/>
      <c r="E241" s="125"/>
      <c r="F241" s="125"/>
      <c r="G241" s="125"/>
      <c r="H241" s="126"/>
      <c r="I241" s="127"/>
      <c r="J241" s="118">
        <f>IF(ISERROR(VLOOKUP(H241,#REF!,9,0)),0,VLOOKUP(H241,#REF!,9,0)*I241)/3600</f>
        <v>0</v>
      </c>
    </row>
    <row r="242" spans="2:10" x14ac:dyDescent="0.3">
      <c r="B242" s="121">
        <f t="shared" si="7"/>
        <v>0</v>
      </c>
      <c r="C242" s="122">
        <f t="shared" si="8"/>
        <v>0</v>
      </c>
      <c r="D242" s="123"/>
      <c r="E242" s="124"/>
      <c r="F242" s="125"/>
      <c r="G242" s="125"/>
      <c r="H242" s="126"/>
      <c r="I242" s="127"/>
      <c r="J242" s="118">
        <f>IF(ISERROR(VLOOKUP(H242,#REF!,9,0)),0,VLOOKUP(H242,#REF!,9,0)*I242)/3600</f>
        <v>0</v>
      </c>
    </row>
    <row r="243" spans="2:10" x14ac:dyDescent="0.3">
      <c r="B243" s="121">
        <f t="shared" si="7"/>
        <v>0</v>
      </c>
      <c r="C243" s="122">
        <f t="shared" si="8"/>
        <v>0</v>
      </c>
      <c r="D243" s="123"/>
      <c r="E243" s="125"/>
      <c r="F243" s="125"/>
      <c r="G243" s="125"/>
      <c r="H243" s="126"/>
      <c r="I243" s="127"/>
      <c r="J243" s="118">
        <f>IF(ISERROR(VLOOKUP(H243,#REF!,9,0)),0,VLOOKUP(H243,#REF!,9,0)*I243)/3600</f>
        <v>0</v>
      </c>
    </row>
    <row r="244" spans="2:10" x14ac:dyDescent="0.3">
      <c r="B244" s="121">
        <f t="shared" si="7"/>
        <v>0</v>
      </c>
      <c r="C244" s="122">
        <f t="shared" si="8"/>
        <v>0</v>
      </c>
      <c r="D244" s="123"/>
      <c r="E244" s="124"/>
      <c r="F244" s="125"/>
      <c r="G244" s="125"/>
      <c r="H244" s="126"/>
      <c r="I244" s="127"/>
      <c r="J244" s="118">
        <f>IF(ISERROR(VLOOKUP(H244,#REF!,9,0)),0,VLOOKUP(H244,#REF!,9,0)*I244)/3600</f>
        <v>0</v>
      </c>
    </row>
    <row r="245" spans="2:10" x14ac:dyDescent="0.3">
      <c r="B245" s="121">
        <f t="shared" si="7"/>
        <v>0</v>
      </c>
      <c r="C245" s="122">
        <f t="shared" si="8"/>
        <v>0</v>
      </c>
      <c r="D245" s="123"/>
      <c r="E245" s="125"/>
      <c r="F245" s="125"/>
      <c r="G245" s="125"/>
      <c r="H245" s="126"/>
      <c r="I245" s="127"/>
      <c r="J245" s="118">
        <f>IF(ISERROR(VLOOKUP(H245,#REF!,9,0)),0,VLOOKUP(H245,#REF!,9,0)*I245)/3600</f>
        <v>0</v>
      </c>
    </row>
    <row r="246" spans="2:10" x14ac:dyDescent="0.3">
      <c r="B246" s="121">
        <f t="shared" si="7"/>
        <v>0</v>
      </c>
      <c r="C246" s="122">
        <f t="shared" si="8"/>
        <v>0</v>
      </c>
      <c r="D246" s="123"/>
      <c r="E246" s="124"/>
      <c r="F246" s="125"/>
      <c r="G246" s="125"/>
      <c r="H246" s="126"/>
      <c r="I246" s="127"/>
      <c r="J246" s="118">
        <f>IF(ISERROR(VLOOKUP(H246,#REF!,9,0)),0,VLOOKUP(H246,#REF!,9,0)*I246)/3600</f>
        <v>0</v>
      </c>
    </row>
    <row r="247" spans="2:10" x14ac:dyDescent="0.3">
      <c r="B247" s="121">
        <f t="shared" si="7"/>
        <v>0</v>
      </c>
      <c r="C247" s="122">
        <f t="shared" si="8"/>
        <v>0</v>
      </c>
      <c r="D247" s="123"/>
      <c r="E247" s="125"/>
      <c r="F247" s="125"/>
      <c r="G247" s="125"/>
      <c r="H247" s="126"/>
      <c r="I247" s="127"/>
      <c r="J247" s="118">
        <f>IF(ISERROR(VLOOKUP(H247,#REF!,9,0)),0,VLOOKUP(H247,#REF!,9,0)*I247)/3600</f>
        <v>0</v>
      </c>
    </row>
    <row r="248" spans="2:10" x14ac:dyDescent="0.3">
      <c r="B248" s="121">
        <f t="shared" si="7"/>
        <v>0</v>
      </c>
      <c r="C248" s="122">
        <f t="shared" si="8"/>
        <v>0</v>
      </c>
      <c r="D248" s="123"/>
      <c r="E248" s="124"/>
      <c r="F248" s="125"/>
      <c r="G248" s="125"/>
      <c r="H248" s="126"/>
      <c r="I248" s="127"/>
      <c r="J248" s="118">
        <f>IF(ISERROR(VLOOKUP(H248,#REF!,9,0)),0,VLOOKUP(H248,#REF!,9,0)*I248)/3600</f>
        <v>0</v>
      </c>
    </row>
    <row r="249" spans="2:10" x14ac:dyDescent="0.3">
      <c r="B249" s="121">
        <f t="shared" si="7"/>
        <v>0</v>
      </c>
      <c r="C249" s="122">
        <f t="shared" si="8"/>
        <v>0</v>
      </c>
      <c r="D249" s="123"/>
      <c r="E249" s="125"/>
      <c r="F249" s="125"/>
      <c r="G249" s="125"/>
      <c r="H249" s="126"/>
      <c r="I249" s="127"/>
      <c r="J249" s="118">
        <f>IF(ISERROR(VLOOKUP(H249,#REF!,9,0)),0,VLOOKUP(H249,#REF!,9,0)*I249)/3600</f>
        <v>0</v>
      </c>
    </row>
    <row r="250" spans="2:10" x14ac:dyDescent="0.3">
      <c r="B250" s="121">
        <f t="shared" si="7"/>
        <v>0</v>
      </c>
      <c r="C250" s="122">
        <f t="shared" si="8"/>
        <v>0</v>
      </c>
      <c r="D250" s="123"/>
      <c r="E250" s="124"/>
      <c r="F250" s="125"/>
      <c r="G250" s="125"/>
      <c r="H250" s="126"/>
      <c r="I250" s="127"/>
      <c r="J250" s="118">
        <f>IF(ISERROR(VLOOKUP(H250,#REF!,9,0)),0,VLOOKUP(H250,#REF!,9,0)*I250)/3600</f>
        <v>0</v>
      </c>
    </row>
    <row r="251" spans="2:10" x14ac:dyDescent="0.3">
      <c r="B251" s="121">
        <f t="shared" si="7"/>
        <v>0</v>
      </c>
      <c r="C251" s="122">
        <f t="shared" si="8"/>
        <v>0</v>
      </c>
      <c r="D251" s="123"/>
      <c r="E251" s="125"/>
      <c r="F251" s="125"/>
      <c r="G251" s="125"/>
      <c r="H251" s="126"/>
      <c r="I251" s="127"/>
      <c r="J251" s="118">
        <f>IF(ISERROR(VLOOKUP(H251,#REF!,9,0)),0,VLOOKUP(H251,#REF!,9,0)*I251)/3600</f>
        <v>0</v>
      </c>
    </row>
    <row r="252" spans="2:10" x14ac:dyDescent="0.3">
      <c r="B252" s="121">
        <f t="shared" si="7"/>
        <v>0</v>
      </c>
      <c r="C252" s="122">
        <f t="shared" si="8"/>
        <v>0</v>
      </c>
      <c r="D252" s="123"/>
      <c r="E252" s="124"/>
      <c r="F252" s="125"/>
      <c r="G252" s="125"/>
      <c r="H252" s="126"/>
      <c r="I252" s="127"/>
      <c r="J252" s="118">
        <f>IF(ISERROR(VLOOKUP(H252,#REF!,9,0)),0,VLOOKUP(H252,#REF!,9,0)*I252)/3600</f>
        <v>0</v>
      </c>
    </row>
    <row r="253" spans="2:10" x14ac:dyDescent="0.3">
      <c r="B253" s="121">
        <f t="shared" si="7"/>
        <v>0</v>
      </c>
      <c r="C253" s="122">
        <f t="shared" si="8"/>
        <v>0</v>
      </c>
      <c r="D253" s="123"/>
      <c r="E253" s="125"/>
      <c r="F253" s="125"/>
      <c r="G253" s="125"/>
      <c r="H253" s="126"/>
      <c r="I253" s="127"/>
      <c r="J253" s="118">
        <f>IF(ISERROR(VLOOKUP(H253,#REF!,9,0)),0,VLOOKUP(H253,#REF!,9,0)*I253)/3600</f>
        <v>0</v>
      </c>
    </row>
    <row r="254" spans="2:10" x14ac:dyDescent="0.3">
      <c r="B254" s="121">
        <f t="shared" si="7"/>
        <v>0</v>
      </c>
      <c r="C254" s="122">
        <f t="shared" si="8"/>
        <v>0</v>
      </c>
      <c r="D254" s="123"/>
      <c r="E254" s="124"/>
      <c r="F254" s="125"/>
      <c r="G254" s="125"/>
      <c r="H254" s="126"/>
      <c r="I254" s="127"/>
      <c r="J254" s="118">
        <f>IF(ISERROR(VLOOKUP(H254,#REF!,9,0)),0,VLOOKUP(H254,#REF!,9,0)*I254)/3600</f>
        <v>0</v>
      </c>
    </row>
    <row r="255" spans="2:10" x14ac:dyDescent="0.3">
      <c r="B255" s="121">
        <f t="shared" si="7"/>
        <v>0</v>
      </c>
      <c r="C255" s="122">
        <f t="shared" si="8"/>
        <v>0</v>
      </c>
      <c r="D255" s="123"/>
      <c r="E255" s="125"/>
      <c r="F255" s="125"/>
      <c r="G255" s="125"/>
      <c r="H255" s="126"/>
      <c r="I255" s="127"/>
      <c r="J255" s="118">
        <f>IF(ISERROR(VLOOKUP(H255,#REF!,9,0)),0,VLOOKUP(H255,#REF!,9,0)*I255)/3600</f>
        <v>0</v>
      </c>
    </row>
    <row r="256" spans="2:10" x14ac:dyDescent="0.3">
      <c r="B256" s="121">
        <f t="shared" si="7"/>
        <v>0</v>
      </c>
      <c r="C256" s="122">
        <f t="shared" si="8"/>
        <v>0</v>
      </c>
      <c r="D256" s="123"/>
      <c r="E256" s="124"/>
      <c r="F256" s="125"/>
      <c r="G256" s="125"/>
      <c r="H256" s="126"/>
      <c r="I256" s="127"/>
      <c r="J256" s="118">
        <f>IF(ISERROR(VLOOKUP(H256,#REF!,9,0)),0,VLOOKUP(H256,#REF!,9,0)*I256)/3600</f>
        <v>0</v>
      </c>
    </row>
    <row r="257" spans="2:10" x14ac:dyDescent="0.3">
      <c r="B257" s="121">
        <f t="shared" si="7"/>
        <v>0</v>
      </c>
      <c r="C257" s="122">
        <f t="shared" si="8"/>
        <v>0</v>
      </c>
      <c r="D257" s="123"/>
      <c r="E257" s="125"/>
      <c r="F257" s="125"/>
      <c r="G257" s="125"/>
      <c r="H257" s="126"/>
      <c r="I257" s="127"/>
      <c r="J257" s="118">
        <f>IF(ISERROR(VLOOKUP(H257,#REF!,9,0)),0,VLOOKUP(H257,#REF!,9,0)*I257)/3600</f>
        <v>0</v>
      </c>
    </row>
    <row r="258" spans="2:10" x14ac:dyDescent="0.3">
      <c r="B258" s="121">
        <f t="shared" si="7"/>
        <v>0</v>
      </c>
      <c r="C258" s="122">
        <f t="shared" si="8"/>
        <v>0</v>
      </c>
      <c r="D258" s="123"/>
      <c r="E258" s="124"/>
      <c r="F258" s="125"/>
      <c r="G258" s="125"/>
      <c r="H258" s="126"/>
      <c r="I258" s="127"/>
      <c r="J258" s="118">
        <f>IF(ISERROR(VLOOKUP(H258,#REF!,9,0)),0,VLOOKUP(H258,#REF!,9,0)*I258)/3600</f>
        <v>0</v>
      </c>
    </row>
    <row r="259" spans="2:10" x14ac:dyDescent="0.3">
      <c r="B259" s="121">
        <f t="shared" si="7"/>
        <v>0</v>
      </c>
      <c r="C259" s="122">
        <f t="shared" si="8"/>
        <v>0</v>
      </c>
      <c r="D259" s="123"/>
      <c r="E259" s="125"/>
      <c r="F259" s="125"/>
      <c r="G259" s="125"/>
      <c r="H259" s="126"/>
      <c r="I259" s="127"/>
      <c r="J259" s="118">
        <f>IF(ISERROR(VLOOKUP(H259,#REF!,9,0)),0,VLOOKUP(H259,#REF!,9,0)*I259)/3600</f>
        <v>0</v>
      </c>
    </row>
    <row r="260" spans="2:10" x14ac:dyDescent="0.3">
      <c r="B260" s="121">
        <f t="shared" si="7"/>
        <v>0</v>
      </c>
      <c r="C260" s="122">
        <f t="shared" si="8"/>
        <v>0</v>
      </c>
      <c r="D260" s="123"/>
      <c r="E260" s="124"/>
      <c r="F260" s="125"/>
      <c r="G260" s="125"/>
      <c r="H260" s="126"/>
      <c r="I260" s="127"/>
      <c r="J260" s="118">
        <f>IF(ISERROR(VLOOKUP(H260,#REF!,9,0)),0,VLOOKUP(H260,#REF!,9,0)*I260)/3600</f>
        <v>0</v>
      </c>
    </row>
    <row r="261" spans="2:10" x14ac:dyDescent="0.3">
      <c r="B261" s="121">
        <f t="shared" si="7"/>
        <v>0</v>
      </c>
      <c r="C261" s="122">
        <f t="shared" si="8"/>
        <v>0</v>
      </c>
      <c r="D261" s="123"/>
      <c r="E261" s="125"/>
      <c r="F261" s="125"/>
      <c r="G261" s="125"/>
      <c r="H261" s="126"/>
      <c r="I261" s="127"/>
      <c r="J261" s="118">
        <f>IF(ISERROR(VLOOKUP(H261,#REF!,9,0)),0,VLOOKUP(H261,#REF!,9,0)*I261)/3600</f>
        <v>0</v>
      </c>
    </row>
    <row r="262" spans="2:10" x14ac:dyDescent="0.3">
      <c r="B262" s="121">
        <f t="shared" ref="B262:B325" si="9">IF(D262&gt;0,YEAR(D262),0)</f>
        <v>0</v>
      </c>
      <c r="C262" s="122">
        <f t="shared" ref="C262:C325" si="10">IF(D262&gt;0,MONTH(D262),0)</f>
        <v>0</v>
      </c>
      <c r="D262" s="123"/>
      <c r="E262" s="124"/>
      <c r="F262" s="125"/>
      <c r="G262" s="125"/>
      <c r="H262" s="126"/>
      <c r="I262" s="127"/>
      <c r="J262" s="118">
        <f>IF(ISERROR(VLOOKUP(H262,#REF!,9,0)),0,VLOOKUP(H262,#REF!,9,0)*I262)/3600</f>
        <v>0</v>
      </c>
    </row>
    <row r="263" spans="2:10" x14ac:dyDescent="0.3">
      <c r="B263" s="121">
        <f t="shared" si="9"/>
        <v>0</v>
      </c>
      <c r="C263" s="122">
        <f t="shared" si="10"/>
        <v>0</v>
      </c>
      <c r="D263" s="123"/>
      <c r="E263" s="125"/>
      <c r="F263" s="125"/>
      <c r="G263" s="125"/>
      <c r="H263" s="126"/>
      <c r="I263" s="127"/>
      <c r="J263" s="118">
        <f>IF(ISERROR(VLOOKUP(H263,#REF!,9,0)),0,VLOOKUP(H263,#REF!,9,0)*I263)/3600</f>
        <v>0</v>
      </c>
    </row>
    <row r="264" spans="2:10" x14ac:dyDescent="0.3">
      <c r="B264" s="121">
        <f t="shared" si="9"/>
        <v>0</v>
      </c>
      <c r="C264" s="122">
        <f t="shared" si="10"/>
        <v>0</v>
      </c>
      <c r="D264" s="123"/>
      <c r="E264" s="124"/>
      <c r="F264" s="125"/>
      <c r="G264" s="125"/>
      <c r="H264" s="126"/>
      <c r="I264" s="127"/>
      <c r="J264" s="118">
        <f>IF(ISERROR(VLOOKUP(H264,#REF!,9,0)),0,VLOOKUP(H264,#REF!,9,0)*I264)/3600</f>
        <v>0</v>
      </c>
    </row>
    <row r="265" spans="2:10" x14ac:dyDescent="0.3">
      <c r="B265" s="121">
        <f t="shared" si="9"/>
        <v>0</v>
      </c>
      <c r="C265" s="122">
        <f t="shared" si="10"/>
        <v>0</v>
      </c>
      <c r="D265" s="123"/>
      <c r="E265" s="125"/>
      <c r="F265" s="125"/>
      <c r="G265" s="125"/>
      <c r="H265" s="126"/>
      <c r="I265" s="127"/>
      <c r="J265" s="118">
        <f>IF(ISERROR(VLOOKUP(H265,#REF!,9,0)),0,VLOOKUP(H265,#REF!,9,0)*I265)/3600</f>
        <v>0</v>
      </c>
    </row>
    <row r="266" spans="2:10" x14ac:dyDescent="0.3">
      <c r="B266" s="121">
        <f t="shared" si="9"/>
        <v>0</v>
      </c>
      <c r="C266" s="122">
        <f t="shared" si="10"/>
        <v>0</v>
      </c>
      <c r="D266" s="123"/>
      <c r="E266" s="124"/>
      <c r="F266" s="125"/>
      <c r="G266" s="125"/>
      <c r="H266" s="126"/>
      <c r="I266" s="127"/>
      <c r="J266" s="118">
        <f>IF(ISERROR(VLOOKUP(H266,#REF!,9,0)),0,VLOOKUP(H266,#REF!,9,0)*I266)/3600</f>
        <v>0</v>
      </c>
    </row>
    <row r="267" spans="2:10" x14ac:dyDescent="0.3">
      <c r="B267" s="121">
        <f t="shared" si="9"/>
        <v>0</v>
      </c>
      <c r="C267" s="122">
        <f t="shared" si="10"/>
        <v>0</v>
      </c>
      <c r="D267" s="123"/>
      <c r="E267" s="125"/>
      <c r="F267" s="125"/>
      <c r="G267" s="125"/>
      <c r="H267" s="126"/>
      <c r="I267" s="127"/>
      <c r="J267" s="118">
        <f>IF(ISERROR(VLOOKUP(H267,#REF!,9,0)),0,VLOOKUP(H267,#REF!,9,0)*I267)/3600</f>
        <v>0</v>
      </c>
    </row>
    <row r="268" spans="2:10" x14ac:dyDescent="0.3">
      <c r="B268" s="121">
        <f t="shared" si="9"/>
        <v>0</v>
      </c>
      <c r="C268" s="122">
        <f t="shared" si="10"/>
        <v>0</v>
      </c>
      <c r="D268" s="123"/>
      <c r="E268" s="124"/>
      <c r="F268" s="125"/>
      <c r="G268" s="125"/>
      <c r="H268" s="126"/>
      <c r="I268" s="127"/>
      <c r="J268" s="118">
        <f>IF(ISERROR(VLOOKUP(H268,#REF!,9,0)),0,VLOOKUP(H268,#REF!,9,0)*I268)/3600</f>
        <v>0</v>
      </c>
    </row>
    <row r="269" spans="2:10" x14ac:dyDescent="0.3">
      <c r="B269" s="121">
        <f t="shared" si="9"/>
        <v>0</v>
      </c>
      <c r="C269" s="122">
        <f t="shared" si="10"/>
        <v>0</v>
      </c>
      <c r="D269" s="123"/>
      <c r="E269" s="125"/>
      <c r="F269" s="125"/>
      <c r="G269" s="125"/>
      <c r="H269" s="126"/>
      <c r="I269" s="127"/>
      <c r="J269" s="118">
        <f>IF(ISERROR(VLOOKUP(H269,#REF!,9,0)),0,VLOOKUP(H269,#REF!,9,0)*I269)/3600</f>
        <v>0</v>
      </c>
    </row>
    <row r="270" spans="2:10" x14ac:dyDescent="0.3">
      <c r="B270" s="121">
        <f t="shared" si="9"/>
        <v>0</v>
      </c>
      <c r="C270" s="122">
        <f t="shared" si="10"/>
        <v>0</v>
      </c>
      <c r="D270" s="123"/>
      <c r="E270" s="124"/>
      <c r="F270" s="125"/>
      <c r="G270" s="125"/>
      <c r="H270" s="126"/>
      <c r="I270" s="127"/>
      <c r="J270" s="118">
        <f>IF(ISERROR(VLOOKUP(H270,#REF!,9,0)),0,VLOOKUP(H270,#REF!,9,0)*I270)/3600</f>
        <v>0</v>
      </c>
    </row>
    <row r="271" spans="2:10" x14ac:dyDescent="0.3">
      <c r="B271" s="121">
        <f t="shared" si="9"/>
        <v>0</v>
      </c>
      <c r="C271" s="122">
        <f t="shared" si="10"/>
        <v>0</v>
      </c>
      <c r="D271" s="123"/>
      <c r="E271" s="125"/>
      <c r="F271" s="125"/>
      <c r="G271" s="125"/>
      <c r="H271" s="126"/>
      <c r="I271" s="127"/>
      <c r="J271" s="118">
        <f>IF(ISERROR(VLOOKUP(H271,#REF!,9,0)),0,VLOOKUP(H271,#REF!,9,0)*I271)/3600</f>
        <v>0</v>
      </c>
    </row>
    <row r="272" spans="2:10" x14ac:dyDescent="0.3">
      <c r="B272" s="121">
        <f t="shared" si="9"/>
        <v>0</v>
      </c>
      <c r="C272" s="122">
        <f t="shared" si="10"/>
        <v>0</v>
      </c>
      <c r="D272" s="123"/>
      <c r="E272" s="124"/>
      <c r="F272" s="125"/>
      <c r="G272" s="125"/>
      <c r="H272" s="126"/>
      <c r="I272" s="127"/>
      <c r="J272" s="118">
        <f>IF(ISERROR(VLOOKUP(H272,#REF!,9,0)),0,VLOOKUP(H272,#REF!,9,0)*I272)/3600</f>
        <v>0</v>
      </c>
    </row>
    <row r="273" spans="2:10" x14ac:dyDescent="0.3">
      <c r="B273" s="121">
        <f t="shared" si="9"/>
        <v>0</v>
      </c>
      <c r="C273" s="122">
        <f t="shared" si="10"/>
        <v>0</v>
      </c>
      <c r="D273" s="123"/>
      <c r="E273" s="125"/>
      <c r="F273" s="125"/>
      <c r="G273" s="125"/>
      <c r="H273" s="126"/>
      <c r="I273" s="127"/>
      <c r="J273" s="118">
        <f>IF(ISERROR(VLOOKUP(H273,#REF!,9,0)),0,VLOOKUP(H273,#REF!,9,0)*I273)/3600</f>
        <v>0</v>
      </c>
    </row>
    <row r="274" spans="2:10" x14ac:dyDescent="0.3">
      <c r="B274" s="121">
        <f t="shared" si="9"/>
        <v>0</v>
      </c>
      <c r="C274" s="122">
        <f t="shared" si="10"/>
        <v>0</v>
      </c>
      <c r="D274" s="123"/>
      <c r="E274" s="124"/>
      <c r="F274" s="125"/>
      <c r="G274" s="125"/>
      <c r="H274" s="126"/>
      <c r="I274" s="127"/>
      <c r="J274" s="118">
        <f>IF(ISERROR(VLOOKUP(H274,#REF!,9,0)),0,VLOOKUP(H274,#REF!,9,0)*I274)/3600</f>
        <v>0</v>
      </c>
    </row>
    <row r="275" spans="2:10" x14ac:dyDescent="0.3">
      <c r="B275" s="121">
        <f t="shared" si="9"/>
        <v>0</v>
      </c>
      <c r="C275" s="122">
        <f t="shared" si="10"/>
        <v>0</v>
      </c>
      <c r="D275" s="123"/>
      <c r="E275" s="125"/>
      <c r="F275" s="125"/>
      <c r="G275" s="125"/>
      <c r="H275" s="126"/>
      <c r="I275" s="127"/>
      <c r="J275" s="118">
        <f>IF(ISERROR(VLOOKUP(H275,#REF!,9,0)),0,VLOOKUP(H275,#REF!,9,0)*I275)/3600</f>
        <v>0</v>
      </c>
    </row>
    <row r="276" spans="2:10" x14ac:dyDescent="0.3">
      <c r="B276" s="121">
        <f t="shared" si="9"/>
        <v>0</v>
      </c>
      <c r="C276" s="122">
        <f t="shared" si="10"/>
        <v>0</v>
      </c>
      <c r="D276" s="123"/>
      <c r="E276" s="124"/>
      <c r="F276" s="125"/>
      <c r="G276" s="125"/>
      <c r="H276" s="126"/>
      <c r="I276" s="127"/>
      <c r="J276" s="118">
        <f>IF(ISERROR(VLOOKUP(H276,#REF!,9,0)),0,VLOOKUP(H276,#REF!,9,0)*I276)/3600</f>
        <v>0</v>
      </c>
    </row>
    <row r="277" spans="2:10" x14ac:dyDescent="0.3">
      <c r="B277" s="121">
        <f t="shared" si="9"/>
        <v>0</v>
      </c>
      <c r="C277" s="122">
        <f t="shared" si="10"/>
        <v>0</v>
      </c>
      <c r="D277" s="123"/>
      <c r="E277" s="125"/>
      <c r="F277" s="125"/>
      <c r="G277" s="125"/>
      <c r="H277" s="126"/>
      <c r="I277" s="127"/>
      <c r="J277" s="118">
        <f>IF(ISERROR(VLOOKUP(H277,#REF!,9,0)),0,VLOOKUP(H277,#REF!,9,0)*I277)/3600</f>
        <v>0</v>
      </c>
    </row>
    <row r="278" spans="2:10" x14ac:dyDescent="0.3">
      <c r="B278" s="121">
        <f t="shared" si="9"/>
        <v>0</v>
      </c>
      <c r="C278" s="122">
        <f t="shared" si="10"/>
        <v>0</v>
      </c>
      <c r="D278" s="123"/>
      <c r="E278" s="124"/>
      <c r="F278" s="125"/>
      <c r="G278" s="125"/>
      <c r="H278" s="126"/>
      <c r="I278" s="127"/>
      <c r="J278" s="118">
        <f>IF(ISERROR(VLOOKUP(H278,#REF!,9,0)),0,VLOOKUP(H278,#REF!,9,0)*I278)/3600</f>
        <v>0</v>
      </c>
    </row>
    <row r="279" spans="2:10" x14ac:dyDescent="0.3">
      <c r="B279" s="121">
        <f t="shared" si="9"/>
        <v>0</v>
      </c>
      <c r="C279" s="122">
        <f t="shared" si="10"/>
        <v>0</v>
      </c>
      <c r="D279" s="123"/>
      <c r="E279" s="125"/>
      <c r="F279" s="125"/>
      <c r="G279" s="125"/>
      <c r="H279" s="126"/>
      <c r="I279" s="127"/>
      <c r="J279" s="118">
        <f>IF(ISERROR(VLOOKUP(H279,#REF!,9,0)),0,VLOOKUP(H279,#REF!,9,0)*I279)/3600</f>
        <v>0</v>
      </c>
    </row>
    <row r="280" spans="2:10" x14ac:dyDescent="0.3">
      <c r="B280" s="121">
        <f t="shared" si="9"/>
        <v>0</v>
      </c>
      <c r="C280" s="122">
        <f t="shared" si="10"/>
        <v>0</v>
      </c>
      <c r="D280" s="123"/>
      <c r="E280" s="124"/>
      <c r="F280" s="125"/>
      <c r="G280" s="125"/>
      <c r="H280" s="126"/>
      <c r="I280" s="127"/>
      <c r="J280" s="118">
        <f>IF(ISERROR(VLOOKUP(H280,#REF!,9,0)),0,VLOOKUP(H280,#REF!,9,0)*I280)/3600</f>
        <v>0</v>
      </c>
    </row>
    <row r="281" spans="2:10" x14ac:dyDescent="0.3">
      <c r="B281" s="121">
        <f t="shared" si="9"/>
        <v>0</v>
      </c>
      <c r="C281" s="122">
        <f t="shared" si="10"/>
        <v>0</v>
      </c>
      <c r="D281" s="123"/>
      <c r="E281" s="125"/>
      <c r="F281" s="125"/>
      <c r="G281" s="125"/>
      <c r="H281" s="126"/>
      <c r="I281" s="127"/>
      <c r="J281" s="118">
        <f>IF(ISERROR(VLOOKUP(H281,#REF!,9,0)),0,VLOOKUP(H281,#REF!,9,0)*I281)/3600</f>
        <v>0</v>
      </c>
    </row>
    <row r="282" spans="2:10" x14ac:dyDescent="0.3">
      <c r="B282" s="121">
        <f t="shared" si="9"/>
        <v>0</v>
      </c>
      <c r="C282" s="122">
        <f t="shared" si="10"/>
        <v>0</v>
      </c>
      <c r="D282" s="123"/>
      <c r="E282" s="124"/>
      <c r="F282" s="125"/>
      <c r="G282" s="125"/>
      <c r="H282" s="126"/>
      <c r="I282" s="127"/>
      <c r="J282" s="118">
        <f>IF(ISERROR(VLOOKUP(H282,#REF!,9,0)),0,VLOOKUP(H282,#REF!,9,0)*I282)/3600</f>
        <v>0</v>
      </c>
    </row>
    <row r="283" spans="2:10" x14ac:dyDescent="0.3">
      <c r="B283" s="121">
        <f t="shared" si="9"/>
        <v>0</v>
      </c>
      <c r="C283" s="122">
        <f t="shared" si="10"/>
        <v>0</v>
      </c>
      <c r="D283" s="123"/>
      <c r="E283" s="125"/>
      <c r="F283" s="125"/>
      <c r="G283" s="125"/>
      <c r="H283" s="126"/>
      <c r="I283" s="127"/>
      <c r="J283" s="118">
        <f>IF(ISERROR(VLOOKUP(H283,#REF!,9,0)),0,VLOOKUP(H283,#REF!,9,0)*I283)/3600</f>
        <v>0</v>
      </c>
    </row>
    <row r="284" spans="2:10" x14ac:dyDescent="0.3">
      <c r="B284" s="121">
        <f t="shared" si="9"/>
        <v>0</v>
      </c>
      <c r="C284" s="122">
        <f t="shared" si="10"/>
        <v>0</v>
      </c>
      <c r="D284" s="123"/>
      <c r="E284" s="124"/>
      <c r="F284" s="125"/>
      <c r="G284" s="125"/>
      <c r="H284" s="126"/>
      <c r="I284" s="127"/>
      <c r="J284" s="118">
        <f>IF(ISERROR(VLOOKUP(H284,#REF!,9,0)),0,VLOOKUP(H284,#REF!,9,0)*I284)/3600</f>
        <v>0</v>
      </c>
    </row>
    <row r="285" spans="2:10" x14ac:dyDescent="0.3">
      <c r="B285" s="121">
        <f t="shared" si="9"/>
        <v>0</v>
      </c>
      <c r="C285" s="122">
        <f t="shared" si="10"/>
        <v>0</v>
      </c>
      <c r="D285" s="123"/>
      <c r="E285" s="125"/>
      <c r="F285" s="125"/>
      <c r="G285" s="125"/>
      <c r="H285" s="126"/>
      <c r="I285" s="127"/>
      <c r="J285" s="118">
        <f>IF(ISERROR(VLOOKUP(H285,#REF!,9,0)),0,VLOOKUP(H285,#REF!,9,0)*I285)/3600</f>
        <v>0</v>
      </c>
    </row>
    <row r="286" spans="2:10" x14ac:dyDescent="0.3">
      <c r="B286" s="121">
        <f t="shared" si="9"/>
        <v>0</v>
      </c>
      <c r="C286" s="122">
        <f t="shared" si="10"/>
        <v>0</v>
      </c>
      <c r="D286" s="123"/>
      <c r="E286" s="124"/>
      <c r="F286" s="125"/>
      <c r="G286" s="125"/>
      <c r="H286" s="126"/>
      <c r="I286" s="127"/>
      <c r="J286" s="118">
        <f>IF(ISERROR(VLOOKUP(H286,#REF!,9,0)),0,VLOOKUP(H286,#REF!,9,0)*I286)/3600</f>
        <v>0</v>
      </c>
    </row>
    <row r="287" spans="2:10" x14ac:dyDescent="0.3">
      <c r="B287" s="121">
        <f t="shared" si="9"/>
        <v>0</v>
      </c>
      <c r="C287" s="122">
        <f t="shared" si="10"/>
        <v>0</v>
      </c>
      <c r="D287" s="123"/>
      <c r="E287" s="125"/>
      <c r="F287" s="125"/>
      <c r="G287" s="125"/>
      <c r="H287" s="126"/>
      <c r="I287" s="127"/>
      <c r="J287" s="118">
        <f>IF(ISERROR(VLOOKUP(H287,#REF!,9,0)),0,VLOOKUP(H287,#REF!,9,0)*I287)/3600</f>
        <v>0</v>
      </c>
    </row>
    <row r="288" spans="2:10" x14ac:dyDescent="0.3">
      <c r="B288" s="121">
        <f t="shared" si="9"/>
        <v>0</v>
      </c>
      <c r="C288" s="122">
        <f t="shared" si="10"/>
        <v>0</v>
      </c>
      <c r="D288" s="123"/>
      <c r="E288" s="124"/>
      <c r="F288" s="125"/>
      <c r="G288" s="125"/>
      <c r="H288" s="126"/>
      <c r="I288" s="127"/>
      <c r="J288" s="118">
        <f>IF(ISERROR(VLOOKUP(H288,#REF!,9,0)),0,VLOOKUP(H288,#REF!,9,0)*I288)/3600</f>
        <v>0</v>
      </c>
    </row>
    <row r="289" spans="2:10" x14ac:dyDescent="0.3">
      <c r="B289" s="121">
        <f t="shared" si="9"/>
        <v>0</v>
      </c>
      <c r="C289" s="122">
        <f t="shared" si="10"/>
        <v>0</v>
      </c>
      <c r="D289" s="123"/>
      <c r="E289" s="125"/>
      <c r="F289" s="125"/>
      <c r="G289" s="125"/>
      <c r="H289" s="126"/>
      <c r="I289" s="127"/>
      <c r="J289" s="118">
        <f>IF(ISERROR(VLOOKUP(H289,#REF!,9,0)),0,VLOOKUP(H289,#REF!,9,0)*I289)/3600</f>
        <v>0</v>
      </c>
    </row>
    <row r="290" spans="2:10" x14ac:dyDescent="0.3">
      <c r="B290" s="121">
        <f t="shared" si="9"/>
        <v>0</v>
      </c>
      <c r="C290" s="122">
        <f t="shared" si="10"/>
        <v>0</v>
      </c>
      <c r="D290" s="123"/>
      <c r="E290" s="124"/>
      <c r="F290" s="125"/>
      <c r="G290" s="125"/>
      <c r="H290" s="126"/>
      <c r="I290" s="127"/>
      <c r="J290" s="118">
        <f>IF(ISERROR(VLOOKUP(H290,#REF!,9,0)),0,VLOOKUP(H290,#REF!,9,0)*I290)/3600</f>
        <v>0</v>
      </c>
    </row>
    <row r="291" spans="2:10" x14ac:dyDescent="0.3">
      <c r="B291" s="121">
        <f t="shared" si="9"/>
        <v>0</v>
      </c>
      <c r="C291" s="122">
        <f t="shared" si="10"/>
        <v>0</v>
      </c>
      <c r="D291" s="123"/>
      <c r="E291" s="125"/>
      <c r="F291" s="125"/>
      <c r="G291" s="125"/>
      <c r="H291" s="126"/>
      <c r="I291" s="127"/>
      <c r="J291" s="118">
        <f>IF(ISERROR(VLOOKUP(H291,#REF!,9,0)),0,VLOOKUP(H291,#REF!,9,0)*I291)/3600</f>
        <v>0</v>
      </c>
    </row>
    <row r="292" spans="2:10" x14ac:dyDescent="0.3">
      <c r="B292" s="121">
        <f t="shared" si="9"/>
        <v>0</v>
      </c>
      <c r="C292" s="122">
        <f t="shared" si="10"/>
        <v>0</v>
      </c>
      <c r="D292" s="123"/>
      <c r="E292" s="124"/>
      <c r="F292" s="125"/>
      <c r="G292" s="125"/>
      <c r="H292" s="126"/>
      <c r="I292" s="127"/>
      <c r="J292" s="118">
        <f>IF(ISERROR(VLOOKUP(H292,#REF!,9,0)),0,VLOOKUP(H292,#REF!,9,0)*I292)/3600</f>
        <v>0</v>
      </c>
    </row>
    <row r="293" spans="2:10" x14ac:dyDescent="0.3">
      <c r="B293" s="121">
        <f t="shared" si="9"/>
        <v>0</v>
      </c>
      <c r="C293" s="122">
        <f t="shared" si="10"/>
        <v>0</v>
      </c>
      <c r="D293" s="123"/>
      <c r="E293" s="125"/>
      <c r="F293" s="125"/>
      <c r="G293" s="125"/>
      <c r="H293" s="126"/>
      <c r="I293" s="127"/>
      <c r="J293" s="118">
        <f>IF(ISERROR(VLOOKUP(H293,#REF!,9,0)),0,VLOOKUP(H293,#REF!,9,0)*I293)/3600</f>
        <v>0</v>
      </c>
    </row>
    <row r="294" spans="2:10" x14ac:dyDescent="0.3">
      <c r="B294" s="121">
        <f t="shared" si="9"/>
        <v>0</v>
      </c>
      <c r="C294" s="122">
        <f t="shared" si="10"/>
        <v>0</v>
      </c>
      <c r="D294" s="123"/>
      <c r="E294" s="124"/>
      <c r="F294" s="125"/>
      <c r="G294" s="125"/>
      <c r="H294" s="126"/>
      <c r="I294" s="127"/>
      <c r="J294" s="118">
        <f>IF(ISERROR(VLOOKUP(H294,#REF!,9,0)),0,VLOOKUP(H294,#REF!,9,0)*I294)/3600</f>
        <v>0</v>
      </c>
    </row>
    <row r="295" spans="2:10" x14ac:dyDescent="0.3">
      <c r="B295" s="121">
        <f t="shared" si="9"/>
        <v>0</v>
      </c>
      <c r="C295" s="122">
        <f t="shared" si="10"/>
        <v>0</v>
      </c>
      <c r="D295" s="123"/>
      <c r="E295" s="125"/>
      <c r="F295" s="125"/>
      <c r="G295" s="125"/>
      <c r="H295" s="126"/>
      <c r="I295" s="127"/>
      <c r="J295" s="118">
        <f>IF(ISERROR(VLOOKUP(H295,#REF!,9,0)),0,VLOOKUP(H295,#REF!,9,0)*I295)/3600</f>
        <v>0</v>
      </c>
    </row>
    <row r="296" spans="2:10" x14ac:dyDescent="0.3">
      <c r="B296" s="121">
        <f t="shared" si="9"/>
        <v>0</v>
      </c>
      <c r="C296" s="122">
        <f t="shared" si="10"/>
        <v>0</v>
      </c>
      <c r="D296" s="123"/>
      <c r="E296" s="124"/>
      <c r="F296" s="125"/>
      <c r="G296" s="125"/>
      <c r="H296" s="126"/>
      <c r="I296" s="127"/>
      <c r="J296" s="118">
        <f>IF(ISERROR(VLOOKUP(H296,#REF!,9,0)),0,VLOOKUP(H296,#REF!,9,0)*I296)/3600</f>
        <v>0</v>
      </c>
    </row>
    <row r="297" spans="2:10" x14ac:dyDescent="0.3">
      <c r="B297" s="121">
        <f t="shared" si="9"/>
        <v>0</v>
      </c>
      <c r="C297" s="122">
        <f t="shared" si="10"/>
        <v>0</v>
      </c>
      <c r="D297" s="123"/>
      <c r="E297" s="125"/>
      <c r="F297" s="125"/>
      <c r="G297" s="125"/>
      <c r="H297" s="126"/>
      <c r="I297" s="127"/>
      <c r="J297" s="118">
        <f>IF(ISERROR(VLOOKUP(H297,#REF!,9,0)),0,VLOOKUP(H297,#REF!,9,0)*I297)/3600</f>
        <v>0</v>
      </c>
    </row>
    <row r="298" spans="2:10" x14ac:dyDescent="0.3">
      <c r="B298" s="121">
        <f t="shared" si="9"/>
        <v>0</v>
      </c>
      <c r="C298" s="122">
        <f t="shared" si="10"/>
        <v>0</v>
      </c>
      <c r="D298" s="123"/>
      <c r="E298" s="124"/>
      <c r="F298" s="125"/>
      <c r="G298" s="125"/>
      <c r="H298" s="126"/>
      <c r="I298" s="127"/>
      <c r="J298" s="118">
        <f>IF(ISERROR(VLOOKUP(H298,#REF!,9,0)),0,VLOOKUP(H298,#REF!,9,0)*I298)/3600</f>
        <v>0</v>
      </c>
    </row>
    <row r="299" spans="2:10" x14ac:dyDescent="0.3">
      <c r="B299" s="121">
        <f t="shared" si="9"/>
        <v>0</v>
      </c>
      <c r="C299" s="122">
        <f t="shared" si="10"/>
        <v>0</v>
      </c>
      <c r="D299" s="123"/>
      <c r="E299" s="125"/>
      <c r="F299" s="125"/>
      <c r="G299" s="125"/>
      <c r="H299" s="126"/>
      <c r="I299" s="127"/>
      <c r="J299" s="118">
        <f>IF(ISERROR(VLOOKUP(H299,#REF!,9,0)),0,VLOOKUP(H299,#REF!,9,0)*I299)/3600</f>
        <v>0</v>
      </c>
    </row>
    <row r="300" spans="2:10" x14ac:dyDescent="0.3">
      <c r="B300" s="121">
        <f t="shared" si="9"/>
        <v>0</v>
      </c>
      <c r="C300" s="122">
        <f t="shared" si="10"/>
        <v>0</v>
      </c>
      <c r="D300" s="123"/>
      <c r="E300" s="124"/>
      <c r="F300" s="125"/>
      <c r="G300" s="125"/>
      <c r="H300" s="126"/>
      <c r="I300" s="127"/>
      <c r="J300" s="118">
        <f>IF(ISERROR(VLOOKUP(H300,#REF!,9,0)),0,VLOOKUP(H300,#REF!,9,0)*I300)/3600</f>
        <v>0</v>
      </c>
    </row>
    <row r="301" spans="2:10" x14ac:dyDescent="0.3">
      <c r="B301" s="121">
        <f t="shared" si="9"/>
        <v>0</v>
      </c>
      <c r="C301" s="122">
        <f t="shared" si="10"/>
        <v>0</v>
      </c>
      <c r="D301" s="123"/>
      <c r="E301" s="125"/>
      <c r="F301" s="125"/>
      <c r="G301" s="125"/>
      <c r="H301" s="126"/>
      <c r="I301" s="127"/>
      <c r="J301" s="118">
        <f>IF(ISERROR(VLOOKUP(H301,#REF!,9,0)),0,VLOOKUP(H301,#REF!,9,0)*I301)/3600</f>
        <v>0</v>
      </c>
    </row>
    <row r="302" spans="2:10" x14ac:dyDescent="0.3">
      <c r="B302" s="121">
        <f t="shared" si="9"/>
        <v>0</v>
      </c>
      <c r="C302" s="122">
        <f t="shared" si="10"/>
        <v>0</v>
      </c>
      <c r="D302" s="123"/>
      <c r="E302" s="124"/>
      <c r="F302" s="125"/>
      <c r="G302" s="125"/>
      <c r="H302" s="126"/>
      <c r="I302" s="127"/>
      <c r="J302" s="118">
        <f>IF(ISERROR(VLOOKUP(H302,#REF!,9,0)),0,VLOOKUP(H302,#REF!,9,0)*I302)/3600</f>
        <v>0</v>
      </c>
    </row>
    <row r="303" spans="2:10" x14ac:dyDescent="0.3">
      <c r="B303" s="121">
        <f t="shared" si="9"/>
        <v>0</v>
      </c>
      <c r="C303" s="122">
        <f t="shared" si="10"/>
        <v>0</v>
      </c>
      <c r="D303" s="123"/>
      <c r="E303" s="125"/>
      <c r="F303" s="125"/>
      <c r="G303" s="125"/>
      <c r="H303" s="126"/>
      <c r="I303" s="127"/>
      <c r="J303" s="118">
        <f>IF(ISERROR(VLOOKUP(H303,#REF!,9,0)),0,VLOOKUP(H303,#REF!,9,0)*I303)/3600</f>
        <v>0</v>
      </c>
    </row>
    <row r="304" spans="2:10" x14ac:dyDescent="0.3">
      <c r="B304" s="121">
        <f t="shared" si="9"/>
        <v>0</v>
      </c>
      <c r="C304" s="122">
        <f t="shared" si="10"/>
        <v>0</v>
      </c>
      <c r="D304" s="123"/>
      <c r="E304" s="124"/>
      <c r="F304" s="125"/>
      <c r="G304" s="125"/>
      <c r="H304" s="126"/>
      <c r="I304" s="127"/>
      <c r="J304" s="118">
        <f>IF(ISERROR(VLOOKUP(H304,#REF!,9,0)),0,VLOOKUP(H304,#REF!,9,0)*I304)/3600</f>
        <v>0</v>
      </c>
    </row>
    <row r="305" spans="2:10" x14ac:dyDescent="0.3">
      <c r="B305" s="121">
        <f t="shared" si="9"/>
        <v>0</v>
      </c>
      <c r="C305" s="122">
        <f t="shared" si="10"/>
        <v>0</v>
      </c>
      <c r="D305" s="123"/>
      <c r="E305" s="125"/>
      <c r="F305" s="125"/>
      <c r="G305" s="125"/>
      <c r="H305" s="126"/>
      <c r="I305" s="127"/>
      <c r="J305" s="118">
        <f>IF(ISERROR(VLOOKUP(H305,#REF!,9,0)),0,VLOOKUP(H305,#REF!,9,0)*I305)/3600</f>
        <v>0</v>
      </c>
    </row>
    <row r="306" spans="2:10" x14ac:dyDescent="0.3">
      <c r="B306" s="121">
        <f t="shared" si="9"/>
        <v>0</v>
      </c>
      <c r="C306" s="122">
        <f t="shared" si="10"/>
        <v>0</v>
      </c>
      <c r="D306" s="123"/>
      <c r="E306" s="124"/>
      <c r="F306" s="125"/>
      <c r="G306" s="125"/>
      <c r="H306" s="126"/>
      <c r="I306" s="127"/>
      <c r="J306" s="118">
        <f>IF(ISERROR(VLOOKUP(H306,#REF!,9,0)),0,VLOOKUP(H306,#REF!,9,0)*I306)/3600</f>
        <v>0</v>
      </c>
    </row>
    <row r="307" spans="2:10" x14ac:dyDescent="0.3">
      <c r="B307" s="121">
        <f t="shared" si="9"/>
        <v>0</v>
      </c>
      <c r="C307" s="122">
        <f t="shared" si="10"/>
        <v>0</v>
      </c>
      <c r="D307" s="123"/>
      <c r="E307" s="125"/>
      <c r="F307" s="125"/>
      <c r="G307" s="125"/>
      <c r="H307" s="126"/>
      <c r="I307" s="127"/>
      <c r="J307" s="118">
        <f>IF(ISERROR(VLOOKUP(H307,#REF!,9,0)),0,VLOOKUP(H307,#REF!,9,0)*I307)/3600</f>
        <v>0</v>
      </c>
    </row>
    <row r="308" spans="2:10" x14ac:dyDescent="0.3">
      <c r="B308" s="121">
        <f t="shared" si="9"/>
        <v>0</v>
      </c>
      <c r="C308" s="122">
        <f t="shared" si="10"/>
        <v>0</v>
      </c>
      <c r="D308" s="123"/>
      <c r="E308" s="124"/>
      <c r="F308" s="125"/>
      <c r="G308" s="125"/>
      <c r="H308" s="126"/>
      <c r="I308" s="127"/>
      <c r="J308" s="118">
        <f>IF(ISERROR(VLOOKUP(H308,#REF!,9,0)),0,VLOOKUP(H308,#REF!,9,0)*I308)/3600</f>
        <v>0</v>
      </c>
    </row>
    <row r="309" spans="2:10" x14ac:dyDescent="0.3">
      <c r="B309" s="121">
        <f t="shared" si="9"/>
        <v>0</v>
      </c>
      <c r="C309" s="122">
        <f t="shared" si="10"/>
        <v>0</v>
      </c>
      <c r="D309" s="123"/>
      <c r="E309" s="125"/>
      <c r="F309" s="125"/>
      <c r="G309" s="125"/>
      <c r="H309" s="126"/>
      <c r="I309" s="127"/>
      <c r="J309" s="118">
        <f>IF(ISERROR(VLOOKUP(H309,#REF!,9,0)),0,VLOOKUP(H309,#REF!,9,0)*I309)/3600</f>
        <v>0</v>
      </c>
    </row>
    <row r="310" spans="2:10" x14ac:dyDescent="0.3">
      <c r="B310" s="121">
        <f t="shared" si="9"/>
        <v>0</v>
      </c>
      <c r="C310" s="122">
        <f t="shared" si="10"/>
        <v>0</v>
      </c>
      <c r="D310" s="123"/>
      <c r="E310" s="124"/>
      <c r="F310" s="125"/>
      <c r="G310" s="125"/>
      <c r="H310" s="126"/>
      <c r="I310" s="127"/>
      <c r="J310" s="118">
        <f>IF(ISERROR(VLOOKUP(H310,#REF!,9,0)),0,VLOOKUP(H310,#REF!,9,0)*I310)/3600</f>
        <v>0</v>
      </c>
    </row>
    <row r="311" spans="2:10" x14ac:dyDescent="0.3">
      <c r="B311" s="121">
        <f t="shared" si="9"/>
        <v>0</v>
      </c>
      <c r="C311" s="122">
        <f t="shared" si="10"/>
        <v>0</v>
      </c>
      <c r="D311" s="123"/>
      <c r="E311" s="125"/>
      <c r="F311" s="125"/>
      <c r="G311" s="125"/>
      <c r="H311" s="126"/>
      <c r="I311" s="127"/>
      <c r="J311" s="118">
        <f>IF(ISERROR(VLOOKUP(H311,#REF!,9,0)),0,VLOOKUP(H311,#REF!,9,0)*I311)/3600</f>
        <v>0</v>
      </c>
    </row>
    <row r="312" spans="2:10" x14ac:dyDescent="0.3">
      <c r="B312" s="121">
        <f t="shared" si="9"/>
        <v>0</v>
      </c>
      <c r="C312" s="122">
        <f t="shared" si="10"/>
        <v>0</v>
      </c>
      <c r="D312" s="123"/>
      <c r="E312" s="124"/>
      <c r="F312" s="125"/>
      <c r="G312" s="125"/>
      <c r="H312" s="126"/>
      <c r="I312" s="127"/>
      <c r="J312" s="118">
        <f>IF(ISERROR(VLOOKUP(H312,#REF!,9,0)),0,VLOOKUP(H312,#REF!,9,0)*I312)/3600</f>
        <v>0</v>
      </c>
    </row>
    <row r="313" spans="2:10" x14ac:dyDescent="0.3">
      <c r="B313" s="121">
        <f t="shared" si="9"/>
        <v>0</v>
      </c>
      <c r="C313" s="122">
        <f t="shared" si="10"/>
        <v>0</v>
      </c>
      <c r="D313" s="123"/>
      <c r="E313" s="125"/>
      <c r="F313" s="125"/>
      <c r="G313" s="125"/>
      <c r="H313" s="126"/>
      <c r="I313" s="127"/>
      <c r="J313" s="118">
        <f>IF(ISERROR(VLOOKUP(H313,#REF!,9,0)),0,VLOOKUP(H313,#REF!,9,0)*I313)/3600</f>
        <v>0</v>
      </c>
    </row>
    <row r="314" spans="2:10" x14ac:dyDescent="0.3">
      <c r="B314" s="121">
        <f t="shared" si="9"/>
        <v>0</v>
      </c>
      <c r="C314" s="122">
        <f t="shared" si="10"/>
        <v>0</v>
      </c>
      <c r="D314" s="123"/>
      <c r="E314" s="124"/>
      <c r="F314" s="125"/>
      <c r="G314" s="125"/>
      <c r="H314" s="126"/>
      <c r="I314" s="127"/>
      <c r="J314" s="118">
        <f>IF(ISERROR(VLOOKUP(H314,#REF!,9,0)),0,VLOOKUP(H314,#REF!,9,0)*I314)/3600</f>
        <v>0</v>
      </c>
    </row>
    <row r="315" spans="2:10" x14ac:dyDescent="0.3">
      <c r="B315" s="121">
        <f t="shared" si="9"/>
        <v>0</v>
      </c>
      <c r="C315" s="122">
        <f t="shared" si="10"/>
        <v>0</v>
      </c>
      <c r="D315" s="123"/>
      <c r="E315" s="125"/>
      <c r="F315" s="125"/>
      <c r="G315" s="125"/>
      <c r="H315" s="126"/>
      <c r="I315" s="127"/>
      <c r="J315" s="118">
        <f>IF(ISERROR(VLOOKUP(H315,#REF!,9,0)),0,VLOOKUP(H315,#REF!,9,0)*I315)/3600</f>
        <v>0</v>
      </c>
    </row>
    <row r="316" spans="2:10" x14ac:dyDescent="0.3">
      <c r="B316" s="121">
        <f t="shared" si="9"/>
        <v>0</v>
      </c>
      <c r="C316" s="122">
        <f t="shared" si="10"/>
        <v>0</v>
      </c>
      <c r="D316" s="123"/>
      <c r="E316" s="124"/>
      <c r="F316" s="125"/>
      <c r="G316" s="125"/>
      <c r="H316" s="126"/>
      <c r="I316" s="127"/>
      <c r="J316" s="118">
        <f>IF(ISERROR(VLOOKUP(H316,#REF!,9,0)),0,VLOOKUP(H316,#REF!,9,0)*I316)/3600</f>
        <v>0</v>
      </c>
    </row>
    <row r="317" spans="2:10" x14ac:dyDescent="0.3">
      <c r="B317" s="121">
        <f t="shared" si="9"/>
        <v>0</v>
      </c>
      <c r="C317" s="122">
        <f t="shared" si="10"/>
        <v>0</v>
      </c>
      <c r="D317" s="123"/>
      <c r="E317" s="125"/>
      <c r="F317" s="125"/>
      <c r="G317" s="125"/>
      <c r="H317" s="126"/>
      <c r="I317" s="127"/>
      <c r="J317" s="118">
        <f>IF(ISERROR(VLOOKUP(H317,#REF!,9,0)),0,VLOOKUP(H317,#REF!,9,0)*I317)/3600</f>
        <v>0</v>
      </c>
    </row>
    <row r="318" spans="2:10" x14ac:dyDescent="0.3">
      <c r="B318" s="121">
        <f t="shared" si="9"/>
        <v>0</v>
      </c>
      <c r="C318" s="122">
        <f t="shared" si="10"/>
        <v>0</v>
      </c>
      <c r="D318" s="123"/>
      <c r="E318" s="124"/>
      <c r="F318" s="125"/>
      <c r="G318" s="125"/>
      <c r="H318" s="126"/>
      <c r="I318" s="127"/>
      <c r="J318" s="118">
        <f>IF(ISERROR(VLOOKUP(H318,#REF!,9,0)),0,VLOOKUP(H318,#REF!,9,0)*I318)/3600</f>
        <v>0</v>
      </c>
    </row>
    <row r="319" spans="2:10" x14ac:dyDescent="0.3">
      <c r="B319" s="121">
        <f t="shared" si="9"/>
        <v>0</v>
      </c>
      <c r="C319" s="122">
        <f t="shared" si="10"/>
        <v>0</v>
      </c>
      <c r="D319" s="123"/>
      <c r="E319" s="125"/>
      <c r="F319" s="125"/>
      <c r="G319" s="125"/>
      <c r="H319" s="126"/>
      <c r="I319" s="127"/>
      <c r="J319" s="118">
        <f>IF(ISERROR(VLOOKUP(H319,#REF!,9,0)),0,VLOOKUP(H319,#REF!,9,0)*I319)/3600</f>
        <v>0</v>
      </c>
    </row>
    <row r="320" spans="2:10" x14ac:dyDescent="0.3">
      <c r="B320" s="121">
        <f t="shared" si="9"/>
        <v>0</v>
      </c>
      <c r="C320" s="122">
        <f t="shared" si="10"/>
        <v>0</v>
      </c>
      <c r="D320" s="123"/>
      <c r="E320" s="124"/>
      <c r="F320" s="125"/>
      <c r="G320" s="125"/>
      <c r="H320" s="126"/>
      <c r="I320" s="127"/>
      <c r="J320" s="118">
        <f>IF(ISERROR(VLOOKUP(H320,#REF!,9,0)),0,VLOOKUP(H320,#REF!,9,0)*I320)/3600</f>
        <v>0</v>
      </c>
    </row>
    <row r="321" spans="2:10" x14ac:dyDescent="0.3">
      <c r="B321" s="121">
        <f t="shared" si="9"/>
        <v>0</v>
      </c>
      <c r="C321" s="122">
        <f t="shared" si="10"/>
        <v>0</v>
      </c>
      <c r="D321" s="123"/>
      <c r="E321" s="125"/>
      <c r="F321" s="125"/>
      <c r="G321" s="125"/>
      <c r="H321" s="126"/>
      <c r="I321" s="127"/>
      <c r="J321" s="118">
        <f>IF(ISERROR(VLOOKUP(H321,#REF!,9,0)),0,VLOOKUP(H321,#REF!,9,0)*I321)/3600</f>
        <v>0</v>
      </c>
    </row>
    <row r="322" spans="2:10" x14ac:dyDescent="0.3">
      <c r="B322" s="121">
        <f t="shared" si="9"/>
        <v>0</v>
      </c>
      <c r="C322" s="122">
        <f t="shared" si="10"/>
        <v>0</v>
      </c>
      <c r="D322" s="123"/>
      <c r="E322" s="124"/>
      <c r="F322" s="125"/>
      <c r="G322" s="125"/>
      <c r="H322" s="126"/>
      <c r="I322" s="127"/>
      <c r="J322" s="118">
        <f>IF(ISERROR(VLOOKUP(H322,#REF!,9,0)),0,VLOOKUP(H322,#REF!,9,0)*I322)/3600</f>
        <v>0</v>
      </c>
    </row>
    <row r="323" spans="2:10" x14ac:dyDescent="0.3">
      <c r="B323" s="121">
        <f t="shared" si="9"/>
        <v>0</v>
      </c>
      <c r="C323" s="122">
        <f t="shared" si="10"/>
        <v>0</v>
      </c>
      <c r="D323" s="123"/>
      <c r="E323" s="125"/>
      <c r="F323" s="125"/>
      <c r="G323" s="125"/>
      <c r="H323" s="126"/>
      <c r="I323" s="127"/>
      <c r="J323" s="118">
        <f>IF(ISERROR(VLOOKUP(H323,#REF!,9,0)),0,VLOOKUP(H323,#REF!,9,0)*I323)/3600</f>
        <v>0</v>
      </c>
    </row>
    <row r="324" spans="2:10" x14ac:dyDescent="0.3">
      <c r="B324" s="121">
        <f t="shared" si="9"/>
        <v>0</v>
      </c>
      <c r="C324" s="122">
        <f t="shared" si="10"/>
        <v>0</v>
      </c>
      <c r="D324" s="123"/>
      <c r="E324" s="124"/>
      <c r="F324" s="125"/>
      <c r="G324" s="125"/>
      <c r="H324" s="126"/>
      <c r="I324" s="127"/>
      <c r="J324" s="118">
        <f>IF(ISERROR(VLOOKUP(H324,#REF!,9,0)),0,VLOOKUP(H324,#REF!,9,0)*I324)/3600</f>
        <v>0</v>
      </c>
    </row>
    <row r="325" spans="2:10" x14ac:dyDescent="0.3">
      <c r="B325" s="121">
        <f t="shared" si="9"/>
        <v>0</v>
      </c>
      <c r="C325" s="122">
        <f t="shared" si="10"/>
        <v>0</v>
      </c>
      <c r="D325" s="123"/>
      <c r="E325" s="125"/>
      <c r="F325" s="125"/>
      <c r="G325" s="125"/>
      <c r="H325" s="126"/>
      <c r="I325" s="127"/>
      <c r="J325" s="118">
        <f>IF(ISERROR(VLOOKUP(H325,#REF!,9,0)),0,VLOOKUP(H325,#REF!,9,0)*I325)/3600</f>
        <v>0</v>
      </c>
    </row>
    <row r="326" spans="2:10" x14ac:dyDescent="0.3">
      <c r="B326" s="121">
        <f t="shared" ref="B326:B389" si="11">IF(D326&gt;0,YEAR(D326),0)</f>
        <v>0</v>
      </c>
      <c r="C326" s="122">
        <f t="shared" ref="C326:C389" si="12">IF(D326&gt;0,MONTH(D326),0)</f>
        <v>0</v>
      </c>
      <c r="D326" s="123"/>
      <c r="E326" s="124"/>
      <c r="F326" s="125"/>
      <c r="G326" s="125"/>
      <c r="H326" s="126"/>
      <c r="I326" s="127"/>
      <c r="J326" s="118">
        <f>IF(ISERROR(VLOOKUP(H326,#REF!,9,0)),0,VLOOKUP(H326,#REF!,9,0)*I326)/3600</f>
        <v>0</v>
      </c>
    </row>
    <row r="327" spans="2:10" x14ac:dyDescent="0.3">
      <c r="B327" s="121">
        <f t="shared" si="11"/>
        <v>0</v>
      </c>
      <c r="C327" s="122">
        <f t="shared" si="12"/>
        <v>0</v>
      </c>
      <c r="D327" s="123"/>
      <c r="E327" s="125"/>
      <c r="F327" s="125"/>
      <c r="G327" s="125"/>
      <c r="H327" s="126"/>
      <c r="I327" s="127"/>
      <c r="J327" s="118">
        <f>IF(ISERROR(VLOOKUP(H327,#REF!,9,0)),0,VLOOKUP(H327,#REF!,9,0)*I327)/3600</f>
        <v>0</v>
      </c>
    </row>
    <row r="328" spans="2:10" x14ac:dyDescent="0.3">
      <c r="B328" s="121">
        <f t="shared" si="11"/>
        <v>0</v>
      </c>
      <c r="C328" s="122">
        <f t="shared" si="12"/>
        <v>0</v>
      </c>
      <c r="D328" s="123"/>
      <c r="E328" s="124"/>
      <c r="F328" s="125"/>
      <c r="G328" s="125"/>
      <c r="H328" s="126"/>
      <c r="I328" s="127"/>
      <c r="J328" s="118">
        <f>IF(ISERROR(VLOOKUP(H328,#REF!,9,0)),0,VLOOKUP(H328,#REF!,9,0)*I328)/3600</f>
        <v>0</v>
      </c>
    </row>
    <row r="329" spans="2:10" x14ac:dyDescent="0.3">
      <c r="B329" s="121">
        <f t="shared" si="11"/>
        <v>0</v>
      </c>
      <c r="C329" s="122">
        <f t="shared" si="12"/>
        <v>0</v>
      </c>
      <c r="D329" s="123"/>
      <c r="E329" s="125"/>
      <c r="F329" s="125"/>
      <c r="G329" s="125"/>
      <c r="H329" s="126"/>
      <c r="I329" s="127"/>
      <c r="J329" s="118">
        <f>IF(ISERROR(VLOOKUP(H329,#REF!,9,0)),0,VLOOKUP(H329,#REF!,9,0)*I329)/3600</f>
        <v>0</v>
      </c>
    </row>
    <row r="330" spans="2:10" x14ac:dyDescent="0.3">
      <c r="B330" s="121">
        <f t="shared" si="11"/>
        <v>0</v>
      </c>
      <c r="C330" s="122">
        <f t="shared" si="12"/>
        <v>0</v>
      </c>
      <c r="D330" s="123"/>
      <c r="E330" s="124"/>
      <c r="F330" s="125"/>
      <c r="G330" s="125"/>
      <c r="H330" s="126"/>
      <c r="I330" s="127"/>
      <c r="J330" s="118">
        <f>IF(ISERROR(VLOOKUP(H330,#REF!,9,0)),0,VLOOKUP(H330,#REF!,9,0)*I330)/3600</f>
        <v>0</v>
      </c>
    </row>
    <row r="331" spans="2:10" x14ac:dyDescent="0.3">
      <c r="B331" s="121">
        <f t="shared" si="11"/>
        <v>0</v>
      </c>
      <c r="C331" s="122">
        <f t="shared" si="12"/>
        <v>0</v>
      </c>
      <c r="D331" s="123"/>
      <c r="E331" s="125"/>
      <c r="F331" s="125"/>
      <c r="G331" s="125"/>
      <c r="H331" s="126"/>
      <c r="I331" s="127"/>
      <c r="J331" s="118">
        <f>IF(ISERROR(VLOOKUP(H331,#REF!,9,0)),0,VLOOKUP(H331,#REF!,9,0)*I331)/3600</f>
        <v>0</v>
      </c>
    </row>
    <row r="332" spans="2:10" x14ac:dyDescent="0.3">
      <c r="B332" s="121">
        <f t="shared" si="11"/>
        <v>0</v>
      </c>
      <c r="C332" s="122">
        <f t="shared" si="12"/>
        <v>0</v>
      </c>
      <c r="D332" s="123"/>
      <c r="E332" s="124"/>
      <c r="F332" s="125"/>
      <c r="G332" s="125"/>
      <c r="H332" s="126"/>
      <c r="I332" s="127"/>
      <c r="J332" s="118">
        <f>IF(ISERROR(VLOOKUP(H332,#REF!,9,0)),0,VLOOKUP(H332,#REF!,9,0)*I332)/3600</f>
        <v>0</v>
      </c>
    </row>
    <row r="333" spans="2:10" x14ac:dyDescent="0.3">
      <c r="B333" s="121">
        <f t="shared" si="11"/>
        <v>0</v>
      </c>
      <c r="C333" s="122">
        <f t="shared" si="12"/>
        <v>0</v>
      </c>
      <c r="D333" s="123"/>
      <c r="E333" s="125"/>
      <c r="F333" s="125"/>
      <c r="G333" s="125"/>
      <c r="H333" s="126"/>
      <c r="I333" s="127"/>
      <c r="J333" s="118">
        <f>IF(ISERROR(VLOOKUP(H333,#REF!,9,0)),0,VLOOKUP(H333,#REF!,9,0)*I333)/3600</f>
        <v>0</v>
      </c>
    </row>
    <row r="334" spans="2:10" x14ac:dyDescent="0.3">
      <c r="B334" s="121">
        <f t="shared" si="11"/>
        <v>0</v>
      </c>
      <c r="C334" s="122">
        <f t="shared" si="12"/>
        <v>0</v>
      </c>
      <c r="D334" s="123"/>
      <c r="E334" s="124"/>
      <c r="F334" s="125"/>
      <c r="G334" s="125"/>
      <c r="H334" s="126"/>
      <c r="I334" s="127"/>
      <c r="J334" s="118">
        <f>IF(ISERROR(VLOOKUP(H334,#REF!,9,0)),0,VLOOKUP(H334,#REF!,9,0)*I334)/3600</f>
        <v>0</v>
      </c>
    </row>
    <row r="335" spans="2:10" x14ac:dyDescent="0.3">
      <c r="B335" s="121">
        <f t="shared" si="11"/>
        <v>0</v>
      </c>
      <c r="C335" s="122">
        <f t="shared" si="12"/>
        <v>0</v>
      </c>
      <c r="D335" s="123"/>
      <c r="E335" s="125"/>
      <c r="F335" s="125"/>
      <c r="G335" s="125"/>
      <c r="H335" s="126"/>
      <c r="I335" s="127"/>
      <c r="J335" s="118">
        <f>IF(ISERROR(VLOOKUP(H335,#REF!,9,0)),0,VLOOKUP(H335,#REF!,9,0)*I335)/3600</f>
        <v>0</v>
      </c>
    </row>
    <row r="336" spans="2:10" x14ac:dyDescent="0.3">
      <c r="B336" s="121">
        <f t="shared" si="11"/>
        <v>0</v>
      </c>
      <c r="C336" s="122">
        <f t="shared" si="12"/>
        <v>0</v>
      </c>
      <c r="D336" s="123"/>
      <c r="E336" s="124"/>
      <c r="F336" s="125"/>
      <c r="G336" s="125"/>
      <c r="H336" s="126"/>
      <c r="I336" s="127"/>
      <c r="J336" s="118">
        <f>IF(ISERROR(VLOOKUP(H336,#REF!,9,0)),0,VLOOKUP(H336,#REF!,9,0)*I336)/3600</f>
        <v>0</v>
      </c>
    </row>
    <row r="337" spans="2:10" x14ac:dyDescent="0.3">
      <c r="B337" s="121">
        <f t="shared" si="11"/>
        <v>0</v>
      </c>
      <c r="C337" s="122">
        <f t="shared" si="12"/>
        <v>0</v>
      </c>
      <c r="D337" s="123"/>
      <c r="E337" s="125"/>
      <c r="F337" s="125"/>
      <c r="G337" s="125"/>
      <c r="H337" s="126"/>
      <c r="I337" s="127"/>
      <c r="J337" s="118">
        <f>IF(ISERROR(VLOOKUP(H337,#REF!,9,0)),0,VLOOKUP(H337,#REF!,9,0)*I337)/3600</f>
        <v>0</v>
      </c>
    </row>
    <row r="338" spans="2:10" x14ac:dyDescent="0.3">
      <c r="B338" s="121">
        <f t="shared" si="11"/>
        <v>0</v>
      </c>
      <c r="C338" s="122">
        <f t="shared" si="12"/>
        <v>0</v>
      </c>
      <c r="D338" s="123"/>
      <c r="E338" s="124"/>
      <c r="F338" s="125"/>
      <c r="G338" s="125"/>
      <c r="H338" s="126"/>
      <c r="I338" s="127"/>
      <c r="J338" s="118">
        <f>IF(ISERROR(VLOOKUP(H338,#REF!,9,0)),0,VLOOKUP(H338,#REF!,9,0)*I338)/3600</f>
        <v>0</v>
      </c>
    </row>
    <row r="339" spans="2:10" x14ac:dyDescent="0.3">
      <c r="B339" s="121">
        <f t="shared" si="11"/>
        <v>0</v>
      </c>
      <c r="C339" s="122">
        <f t="shared" si="12"/>
        <v>0</v>
      </c>
      <c r="D339" s="123"/>
      <c r="E339" s="125"/>
      <c r="F339" s="125"/>
      <c r="G339" s="125"/>
      <c r="H339" s="126"/>
      <c r="I339" s="127"/>
      <c r="J339" s="118">
        <f>IF(ISERROR(VLOOKUP(H339,#REF!,9,0)),0,VLOOKUP(H339,#REF!,9,0)*I339)/3600</f>
        <v>0</v>
      </c>
    </row>
    <row r="340" spans="2:10" x14ac:dyDescent="0.3">
      <c r="B340" s="121">
        <f t="shared" si="11"/>
        <v>0</v>
      </c>
      <c r="C340" s="122">
        <f t="shared" si="12"/>
        <v>0</v>
      </c>
      <c r="D340" s="123"/>
      <c r="E340" s="124"/>
      <c r="F340" s="125"/>
      <c r="G340" s="125"/>
      <c r="H340" s="126"/>
      <c r="I340" s="127"/>
      <c r="J340" s="118">
        <f>IF(ISERROR(VLOOKUP(H340,#REF!,9,0)),0,VLOOKUP(H340,#REF!,9,0)*I340)/3600</f>
        <v>0</v>
      </c>
    </row>
    <row r="341" spans="2:10" x14ac:dyDescent="0.3">
      <c r="B341" s="121">
        <f t="shared" si="11"/>
        <v>0</v>
      </c>
      <c r="C341" s="122">
        <f t="shared" si="12"/>
        <v>0</v>
      </c>
      <c r="D341" s="123"/>
      <c r="E341" s="125"/>
      <c r="F341" s="125"/>
      <c r="G341" s="125"/>
      <c r="H341" s="126"/>
      <c r="I341" s="127"/>
      <c r="J341" s="118">
        <f>IF(ISERROR(VLOOKUP(H341,#REF!,9,0)),0,VLOOKUP(H341,#REF!,9,0)*I341)/3600</f>
        <v>0</v>
      </c>
    </row>
    <row r="342" spans="2:10" x14ac:dyDescent="0.3">
      <c r="B342" s="121">
        <f t="shared" si="11"/>
        <v>0</v>
      </c>
      <c r="C342" s="122">
        <f t="shared" si="12"/>
        <v>0</v>
      </c>
      <c r="D342" s="123"/>
      <c r="E342" s="124"/>
      <c r="F342" s="125"/>
      <c r="G342" s="125"/>
      <c r="H342" s="126"/>
      <c r="I342" s="127"/>
      <c r="J342" s="118">
        <f>IF(ISERROR(VLOOKUP(H342,#REF!,9,0)),0,VLOOKUP(H342,#REF!,9,0)*I342)/3600</f>
        <v>0</v>
      </c>
    </row>
    <row r="343" spans="2:10" x14ac:dyDescent="0.3">
      <c r="B343" s="121">
        <f t="shared" si="11"/>
        <v>0</v>
      </c>
      <c r="C343" s="122">
        <f t="shared" si="12"/>
        <v>0</v>
      </c>
      <c r="D343" s="123"/>
      <c r="E343" s="125"/>
      <c r="F343" s="125"/>
      <c r="G343" s="125"/>
      <c r="H343" s="126"/>
      <c r="I343" s="127"/>
      <c r="J343" s="118">
        <f>IF(ISERROR(VLOOKUP(H343,#REF!,9,0)),0,VLOOKUP(H343,#REF!,9,0)*I343)/3600</f>
        <v>0</v>
      </c>
    </row>
    <row r="344" spans="2:10" x14ac:dyDescent="0.3">
      <c r="B344" s="121">
        <f t="shared" si="11"/>
        <v>0</v>
      </c>
      <c r="C344" s="122">
        <f t="shared" si="12"/>
        <v>0</v>
      </c>
      <c r="D344" s="123"/>
      <c r="E344" s="124"/>
      <c r="F344" s="125"/>
      <c r="G344" s="125"/>
      <c r="H344" s="126"/>
      <c r="I344" s="127"/>
      <c r="J344" s="118">
        <f>IF(ISERROR(VLOOKUP(H344,#REF!,9,0)),0,VLOOKUP(H344,#REF!,9,0)*I344)/3600</f>
        <v>0</v>
      </c>
    </row>
    <row r="345" spans="2:10" x14ac:dyDescent="0.3">
      <c r="B345" s="121">
        <f t="shared" si="11"/>
        <v>0</v>
      </c>
      <c r="C345" s="122">
        <f t="shared" si="12"/>
        <v>0</v>
      </c>
      <c r="D345" s="123"/>
      <c r="E345" s="125"/>
      <c r="F345" s="125"/>
      <c r="G345" s="125"/>
      <c r="H345" s="126"/>
      <c r="I345" s="127"/>
      <c r="J345" s="118">
        <f>IF(ISERROR(VLOOKUP(H345,#REF!,9,0)),0,VLOOKUP(H345,#REF!,9,0)*I345)/3600</f>
        <v>0</v>
      </c>
    </row>
    <row r="346" spans="2:10" x14ac:dyDescent="0.3">
      <c r="B346" s="121">
        <f t="shared" si="11"/>
        <v>0</v>
      </c>
      <c r="C346" s="122">
        <f t="shared" si="12"/>
        <v>0</v>
      </c>
      <c r="D346" s="123"/>
      <c r="E346" s="124"/>
      <c r="F346" s="125"/>
      <c r="G346" s="125"/>
      <c r="H346" s="126"/>
      <c r="I346" s="127"/>
      <c r="J346" s="118">
        <f>IF(ISERROR(VLOOKUP(H346,#REF!,9,0)),0,VLOOKUP(H346,#REF!,9,0)*I346)/3600</f>
        <v>0</v>
      </c>
    </row>
    <row r="347" spans="2:10" x14ac:dyDescent="0.3">
      <c r="B347" s="121">
        <f t="shared" si="11"/>
        <v>0</v>
      </c>
      <c r="C347" s="122">
        <f t="shared" si="12"/>
        <v>0</v>
      </c>
      <c r="D347" s="123"/>
      <c r="E347" s="125"/>
      <c r="F347" s="125"/>
      <c r="G347" s="125"/>
      <c r="H347" s="126"/>
      <c r="I347" s="127"/>
      <c r="J347" s="118">
        <f>IF(ISERROR(VLOOKUP(H347,#REF!,9,0)),0,VLOOKUP(H347,#REF!,9,0)*I347)/3600</f>
        <v>0</v>
      </c>
    </row>
    <row r="348" spans="2:10" x14ac:dyDescent="0.3">
      <c r="B348" s="121">
        <f t="shared" si="11"/>
        <v>0</v>
      </c>
      <c r="C348" s="122">
        <f t="shared" si="12"/>
        <v>0</v>
      </c>
      <c r="D348" s="123"/>
      <c r="E348" s="124"/>
      <c r="F348" s="125"/>
      <c r="G348" s="125"/>
      <c r="H348" s="126"/>
      <c r="I348" s="127"/>
      <c r="J348" s="118">
        <f>IF(ISERROR(VLOOKUP(H348,#REF!,9,0)),0,VLOOKUP(H348,#REF!,9,0)*I348)/3600</f>
        <v>0</v>
      </c>
    </row>
    <row r="349" spans="2:10" x14ac:dyDescent="0.3">
      <c r="B349" s="121">
        <f t="shared" si="11"/>
        <v>0</v>
      </c>
      <c r="C349" s="122">
        <f t="shared" si="12"/>
        <v>0</v>
      </c>
      <c r="D349" s="123"/>
      <c r="E349" s="125"/>
      <c r="F349" s="125"/>
      <c r="G349" s="125"/>
      <c r="H349" s="126"/>
      <c r="I349" s="127"/>
      <c r="J349" s="118">
        <f>IF(ISERROR(VLOOKUP(H349,#REF!,9,0)),0,VLOOKUP(H349,#REF!,9,0)*I349)/3600</f>
        <v>0</v>
      </c>
    </row>
    <row r="350" spans="2:10" x14ac:dyDescent="0.3">
      <c r="B350" s="121">
        <f t="shared" si="11"/>
        <v>0</v>
      </c>
      <c r="C350" s="122">
        <f t="shared" si="12"/>
        <v>0</v>
      </c>
      <c r="D350" s="123"/>
      <c r="E350" s="124"/>
      <c r="F350" s="125"/>
      <c r="G350" s="125"/>
      <c r="H350" s="126"/>
      <c r="I350" s="127"/>
      <c r="J350" s="118">
        <f>IF(ISERROR(VLOOKUP(H350,#REF!,9,0)),0,VLOOKUP(H350,#REF!,9,0)*I350)/3600</f>
        <v>0</v>
      </c>
    </row>
    <row r="351" spans="2:10" x14ac:dyDescent="0.3">
      <c r="B351" s="121">
        <f t="shared" si="11"/>
        <v>0</v>
      </c>
      <c r="C351" s="122">
        <f t="shared" si="12"/>
        <v>0</v>
      </c>
      <c r="D351" s="123"/>
      <c r="E351" s="125"/>
      <c r="F351" s="125"/>
      <c r="G351" s="125"/>
      <c r="H351" s="126"/>
      <c r="I351" s="127"/>
      <c r="J351" s="118">
        <f>IF(ISERROR(VLOOKUP(H351,#REF!,9,0)),0,VLOOKUP(H351,#REF!,9,0)*I351)/3600</f>
        <v>0</v>
      </c>
    </row>
    <row r="352" spans="2:10" x14ac:dyDescent="0.3">
      <c r="B352" s="121">
        <f t="shared" si="11"/>
        <v>0</v>
      </c>
      <c r="C352" s="122">
        <f t="shared" si="12"/>
        <v>0</v>
      </c>
      <c r="D352" s="123"/>
      <c r="E352" s="124"/>
      <c r="F352" s="125"/>
      <c r="G352" s="125"/>
      <c r="H352" s="126"/>
      <c r="I352" s="127"/>
      <c r="J352" s="118">
        <f>IF(ISERROR(VLOOKUP(H352,#REF!,9,0)),0,VLOOKUP(H352,#REF!,9,0)*I352)/3600</f>
        <v>0</v>
      </c>
    </row>
    <row r="353" spans="2:10" x14ac:dyDescent="0.3">
      <c r="B353" s="121">
        <f t="shared" si="11"/>
        <v>0</v>
      </c>
      <c r="C353" s="122">
        <f t="shared" si="12"/>
        <v>0</v>
      </c>
      <c r="D353" s="123"/>
      <c r="E353" s="125"/>
      <c r="F353" s="125"/>
      <c r="G353" s="125"/>
      <c r="H353" s="126"/>
      <c r="I353" s="127"/>
      <c r="J353" s="118">
        <f>IF(ISERROR(VLOOKUP(H353,#REF!,9,0)),0,VLOOKUP(H353,#REF!,9,0)*I353)/3600</f>
        <v>0</v>
      </c>
    </row>
    <row r="354" spans="2:10" x14ac:dyDescent="0.3">
      <c r="B354" s="121">
        <f t="shared" si="11"/>
        <v>0</v>
      </c>
      <c r="C354" s="122">
        <f t="shared" si="12"/>
        <v>0</v>
      </c>
      <c r="D354" s="123"/>
      <c r="E354" s="124"/>
      <c r="F354" s="125"/>
      <c r="G354" s="125"/>
      <c r="H354" s="126"/>
      <c r="I354" s="127"/>
      <c r="J354" s="118">
        <f>IF(ISERROR(VLOOKUP(H354,#REF!,9,0)),0,VLOOKUP(H354,#REF!,9,0)*I354)/3600</f>
        <v>0</v>
      </c>
    </row>
    <row r="355" spans="2:10" x14ac:dyDescent="0.3">
      <c r="B355" s="121">
        <f t="shared" si="11"/>
        <v>0</v>
      </c>
      <c r="C355" s="122">
        <f t="shared" si="12"/>
        <v>0</v>
      </c>
      <c r="D355" s="123"/>
      <c r="E355" s="125"/>
      <c r="F355" s="125"/>
      <c r="G355" s="125"/>
      <c r="H355" s="126"/>
      <c r="I355" s="127"/>
      <c r="J355" s="118">
        <f>IF(ISERROR(VLOOKUP(H355,#REF!,9,0)),0,VLOOKUP(H355,#REF!,9,0)*I355)/3600</f>
        <v>0</v>
      </c>
    </row>
    <row r="356" spans="2:10" x14ac:dyDescent="0.3">
      <c r="B356" s="121">
        <f t="shared" si="11"/>
        <v>0</v>
      </c>
      <c r="C356" s="122">
        <f t="shared" si="12"/>
        <v>0</v>
      </c>
      <c r="D356" s="123"/>
      <c r="E356" s="124"/>
      <c r="F356" s="125"/>
      <c r="G356" s="125"/>
      <c r="H356" s="126"/>
      <c r="I356" s="127"/>
      <c r="J356" s="118">
        <f>IF(ISERROR(VLOOKUP(H356,#REF!,9,0)),0,VLOOKUP(H356,#REF!,9,0)*I356)/3600</f>
        <v>0</v>
      </c>
    </row>
    <row r="357" spans="2:10" x14ac:dyDescent="0.3">
      <c r="B357" s="121">
        <f t="shared" si="11"/>
        <v>0</v>
      </c>
      <c r="C357" s="122">
        <f t="shared" si="12"/>
        <v>0</v>
      </c>
      <c r="D357" s="123"/>
      <c r="E357" s="125"/>
      <c r="F357" s="125"/>
      <c r="G357" s="125"/>
      <c r="H357" s="126"/>
      <c r="I357" s="127"/>
      <c r="J357" s="118">
        <f>IF(ISERROR(VLOOKUP(H357,#REF!,9,0)),0,VLOOKUP(H357,#REF!,9,0)*I357)/3600</f>
        <v>0</v>
      </c>
    </row>
    <row r="358" spans="2:10" x14ac:dyDescent="0.3">
      <c r="B358" s="121">
        <f t="shared" si="11"/>
        <v>0</v>
      </c>
      <c r="C358" s="122">
        <f t="shared" si="12"/>
        <v>0</v>
      </c>
      <c r="D358" s="123"/>
      <c r="E358" s="124"/>
      <c r="F358" s="125"/>
      <c r="G358" s="125"/>
      <c r="H358" s="126"/>
      <c r="I358" s="127"/>
      <c r="J358" s="118">
        <f>IF(ISERROR(VLOOKUP(H358,#REF!,9,0)),0,VLOOKUP(H358,#REF!,9,0)*I358)/3600</f>
        <v>0</v>
      </c>
    </row>
    <row r="359" spans="2:10" x14ac:dyDescent="0.3">
      <c r="B359" s="121">
        <f t="shared" si="11"/>
        <v>0</v>
      </c>
      <c r="C359" s="122">
        <f t="shared" si="12"/>
        <v>0</v>
      </c>
      <c r="D359" s="123"/>
      <c r="E359" s="125"/>
      <c r="F359" s="125"/>
      <c r="G359" s="125"/>
      <c r="H359" s="126"/>
      <c r="I359" s="127"/>
      <c r="J359" s="118">
        <f>IF(ISERROR(VLOOKUP(H359,#REF!,9,0)),0,VLOOKUP(H359,#REF!,9,0)*I359)/3600</f>
        <v>0</v>
      </c>
    </row>
    <row r="360" spans="2:10" x14ac:dyDescent="0.3">
      <c r="B360" s="121">
        <f t="shared" si="11"/>
        <v>0</v>
      </c>
      <c r="C360" s="122">
        <f t="shared" si="12"/>
        <v>0</v>
      </c>
      <c r="D360" s="123"/>
      <c r="E360" s="124"/>
      <c r="F360" s="125"/>
      <c r="G360" s="125"/>
      <c r="H360" s="126"/>
      <c r="I360" s="127"/>
      <c r="J360" s="118">
        <f>IF(ISERROR(VLOOKUP(H360,#REF!,9,0)),0,VLOOKUP(H360,#REF!,9,0)*I360)/3600</f>
        <v>0</v>
      </c>
    </row>
    <row r="361" spans="2:10" x14ac:dyDescent="0.3">
      <c r="B361" s="121">
        <f t="shared" si="11"/>
        <v>0</v>
      </c>
      <c r="C361" s="122">
        <f t="shared" si="12"/>
        <v>0</v>
      </c>
      <c r="D361" s="123"/>
      <c r="E361" s="125"/>
      <c r="F361" s="125"/>
      <c r="G361" s="125"/>
      <c r="H361" s="126"/>
      <c r="I361" s="127"/>
      <c r="J361" s="118">
        <f>IF(ISERROR(VLOOKUP(H361,#REF!,9,0)),0,VLOOKUP(H361,#REF!,9,0)*I361)/3600</f>
        <v>0</v>
      </c>
    </row>
    <row r="362" spans="2:10" x14ac:dyDescent="0.3">
      <c r="B362" s="121">
        <f t="shared" si="11"/>
        <v>0</v>
      </c>
      <c r="C362" s="122">
        <f t="shared" si="12"/>
        <v>0</v>
      </c>
      <c r="D362" s="123"/>
      <c r="E362" s="124"/>
      <c r="F362" s="125"/>
      <c r="G362" s="125"/>
      <c r="H362" s="126"/>
      <c r="I362" s="127"/>
      <c r="J362" s="118">
        <f>IF(ISERROR(VLOOKUP(H362,#REF!,9,0)),0,VLOOKUP(H362,#REF!,9,0)*I362)/3600</f>
        <v>0</v>
      </c>
    </row>
    <row r="363" spans="2:10" x14ac:dyDescent="0.3">
      <c r="B363" s="121">
        <f t="shared" si="11"/>
        <v>0</v>
      </c>
      <c r="C363" s="122">
        <f t="shared" si="12"/>
        <v>0</v>
      </c>
      <c r="D363" s="123"/>
      <c r="E363" s="125"/>
      <c r="F363" s="125"/>
      <c r="G363" s="125"/>
      <c r="H363" s="126"/>
      <c r="I363" s="127"/>
      <c r="J363" s="118">
        <f>IF(ISERROR(VLOOKUP(H363,#REF!,9,0)),0,VLOOKUP(H363,#REF!,9,0)*I363)/3600</f>
        <v>0</v>
      </c>
    </row>
    <row r="364" spans="2:10" x14ac:dyDescent="0.3">
      <c r="B364" s="121">
        <f t="shared" si="11"/>
        <v>0</v>
      </c>
      <c r="C364" s="122">
        <f t="shared" si="12"/>
        <v>0</v>
      </c>
      <c r="D364" s="123"/>
      <c r="E364" s="124"/>
      <c r="F364" s="125"/>
      <c r="G364" s="125"/>
      <c r="H364" s="126"/>
      <c r="I364" s="127"/>
      <c r="J364" s="118">
        <f>IF(ISERROR(VLOOKUP(H364,#REF!,9,0)),0,VLOOKUP(H364,#REF!,9,0)*I364)/3600</f>
        <v>0</v>
      </c>
    </row>
    <row r="365" spans="2:10" x14ac:dyDescent="0.3">
      <c r="B365" s="121">
        <f t="shared" si="11"/>
        <v>0</v>
      </c>
      <c r="C365" s="122">
        <f t="shared" si="12"/>
        <v>0</v>
      </c>
      <c r="D365" s="123"/>
      <c r="E365" s="125"/>
      <c r="F365" s="125"/>
      <c r="G365" s="125"/>
      <c r="H365" s="126"/>
      <c r="I365" s="127"/>
      <c r="J365" s="118">
        <f>IF(ISERROR(VLOOKUP(H365,#REF!,9,0)),0,VLOOKUP(H365,#REF!,9,0)*I365)/3600</f>
        <v>0</v>
      </c>
    </row>
    <row r="366" spans="2:10" x14ac:dyDescent="0.3">
      <c r="B366" s="121">
        <f t="shared" si="11"/>
        <v>0</v>
      </c>
      <c r="C366" s="122">
        <f t="shared" si="12"/>
        <v>0</v>
      </c>
      <c r="D366" s="123"/>
      <c r="E366" s="124"/>
      <c r="F366" s="125"/>
      <c r="G366" s="125"/>
      <c r="H366" s="126"/>
      <c r="I366" s="127"/>
      <c r="J366" s="118">
        <f>IF(ISERROR(VLOOKUP(H366,#REF!,9,0)),0,VLOOKUP(H366,#REF!,9,0)*I366)/3600</f>
        <v>0</v>
      </c>
    </row>
    <row r="367" spans="2:10" x14ac:dyDescent="0.3">
      <c r="B367" s="121">
        <f t="shared" si="11"/>
        <v>0</v>
      </c>
      <c r="C367" s="122">
        <f t="shared" si="12"/>
        <v>0</v>
      </c>
      <c r="D367" s="123"/>
      <c r="E367" s="125"/>
      <c r="F367" s="125"/>
      <c r="G367" s="125"/>
      <c r="H367" s="126"/>
      <c r="I367" s="127"/>
      <c r="J367" s="118">
        <f>IF(ISERROR(VLOOKUP(H367,#REF!,9,0)),0,VLOOKUP(H367,#REF!,9,0)*I367)/3600</f>
        <v>0</v>
      </c>
    </row>
    <row r="368" spans="2:10" x14ac:dyDescent="0.3">
      <c r="B368" s="121">
        <f t="shared" si="11"/>
        <v>0</v>
      </c>
      <c r="C368" s="122">
        <f t="shared" si="12"/>
        <v>0</v>
      </c>
      <c r="D368" s="123"/>
      <c r="E368" s="124"/>
      <c r="F368" s="125"/>
      <c r="G368" s="125"/>
      <c r="H368" s="126"/>
      <c r="I368" s="127"/>
      <c r="J368" s="118">
        <f>IF(ISERROR(VLOOKUP(H368,#REF!,9,0)),0,VLOOKUP(H368,#REF!,9,0)*I368)/3600</f>
        <v>0</v>
      </c>
    </row>
    <row r="369" spans="2:10" x14ac:dyDescent="0.3">
      <c r="B369" s="121">
        <f t="shared" si="11"/>
        <v>0</v>
      </c>
      <c r="C369" s="122">
        <f t="shared" si="12"/>
        <v>0</v>
      </c>
      <c r="D369" s="123"/>
      <c r="E369" s="125"/>
      <c r="F369" s="125"/>
      <c r="G369" s="125"/>
      <c r="H369" s="126"/>
      <c r="I369" s="127"/>
      <c r="J369" s="118">
        <f>IF(ISERROR(VLOOKUP(H369,#REF!,9,0)),0,VLOOKUP(H369,#REF!,9,0)*I369)/3600</f>
        <v>0</v>
      </c>
    </row>
    <row r="370" spans="2:10" x14ac:dyDescent="0.3">
      <c r="B370" s="121">
        <f t="shared" si="11"/>
        <v>0</v>
      </c>
      <c r="C370" s="122">
        <f t="shared" si="12"/>
        <v>0</v>
      </c>
      <c r="D370" s="123"/>
      <c r="E370" s="124"/>
      <c r="F370" s="125"/>
      <c r="G370" s="125"/>
      <c r="H370" s="126"/>
      <c r="I370" s="127"/>
      <c r="J370" s="118">
        <f>IF(ISERROR(VLOOKUP(H370,#REF!,9,0)),0,VLOOKUP(H370,#REF!,9,0)*I370)/3600</f>
        <v>0</v>
      </c>
    </row>
    <row r="371" spans="2:10" x14ac:dyDescent="0.3">
      <c r="B371" s="121">
        <f t="shared" si="11"/>
        <v>0</v>
      </c>
      <c r="C371" s="122">
        <f t="shared" si="12"/>
        <v>0</v>
      </c>
      <c r="D371" s="123"/>
      <c r="E371" s="125"/>
      <c r="F371" s="125"/>
      <c r="G371" s="125"/>
      <c r="H371" s="126"/>
      <c r="I371" s="127"/>
      <c r="J371" s="118">
        <f>IF(ISERROR(VLOOKUP(H371,#REF!,9,0)),0,VLOOKUP(H371,#REF!,9,0)*I371)/3600</f>
        <v>0</v>
      </c>
    </row>
    <row r="372" spans="2:10" x14ac:dyDescent="0.3">
      <c r="B372" s="121">
        <f t="shared" si="11"/>
        <v>0</v>
      </c>
      <c r="C372" s="122">
        <f t="shared" si="12"/>
        <v>0</v>
      </c>
      <c r="D372" s="123"/>
      <c r="E372" s="124"/>
      <c r="F372" s="125"/>
      <c r="G372" s="125"/>
      <c r="H372" s="126"/>
      <c r="I372" s="127"/>
      <c r="J372" s="118">
        <f>IF(ISERROR(VLOOKUP(H372,#REF!,9,0)),0,VLOOKUP(H372,#REF!,9,0)*I372)/3600</f>
        <v>0</v>
      </c>
    </row>
    <row r="373" spans="2:10" x14ac:dyDescent="0.3">
      <c r="B373" s="121">
        <f t="shared" si="11"/>
        <v>0</v>
      </c>
      <c r="C373" s="122">
        <f t="shared" si="12"/>
        <v>0</v>
      </c>
      <c r="D373" s="123"/>
      <c r="E373" s="125"/>
      <c r="F373" s="125"/>
      <c r="G373" s="125"/>
      <c r="H373" s="126"/>
      <c r="I373" s="127"/>
      <c r="J373" s="118">
        <f>IF(ISERROR(VLOOKUP(H373,#REF!,9,0)),0,VLOOKUP(H373,#REF!,9,0)*I373)/3600</f>
        <v>0</v>
      </c>
    </row>
    <row r="374" spans="2:10" x14ac:dyDescent="0.3">
      <c r="B374" s="121">
        <f t="shared" si="11"/>
        <v>0</v>
      </c>
      <c r="C374" s="122">
        <f t="shared" si="12"/>
        <v>0</v>
      </c>
      <c r="D374" s="123"/>
      <c r="E374" s="124"/>
      <c r="F374" s="125"/>
      <c r="G374" s="125"/>
      <c r="H374" s="126"/>
      <c r="I374" s="127"/>
      <c r="J374" s="118">
        <f>IF(ISERROR(VLOOKUP(H374,#REF!,9,0)),0,VLOOKUP(H374,#REF!,9,0)*I374)/3600</f>
        <v>0</v>
      </c>
    </row>
    <row r="375" spans="2:10" x14ac:dyDescent="0.3">
      <c r="B375" s="121">
        <f t="shared" si="11"/>
        <v>0</v>
      </c>
      <c r="C375" s="122">
        <f t="shared" si="12"/>
        <v>0</v>
      </c>
      <c r="D375" s="123"/>
      <c r="E375" s="125"/>
      <c r="F375" s="125"/>
      <c r="G375" s="125"/>
      <c r="H375" s="126"/>
      <c r="I375" s="127"/>
      <c r="J375" s="118">
        <f>IF(ISERROR(VLOOKUP(H375,#REF!,9,0)),0,VLOOKUP(H375,#REF!,9,0)*I375)/3600</f>
        <v>0</v>
      </c>
    </row>
    <row r="376" spans="2:10" x14ac:dyDescent="0.3">
      <c r="B376" s="121">
        <f t="shared" si="11"/>
        <v>0</v>
      </c>
      <c r="C376" s="122">
        <f t="shared" si="12"/>
        <v>0</v>
      </c>
      <c r="D376" s="123"/>
      <c r="E376" s="124"/>
      <c r="F376" s="125"/>
      <c r="G376" s="125"/>
      <c r="H376" s="126"/>
      <c r="I376" s="127"/>
      <c r="J376" s="118">
        <f>IF(ISERROR(VLOOKUP(H376,#REF!,9,0)),0,VLOOKUP(H376,#REF!,9,0)*I376)/3600</f>
        <v>0</v>
      </c>
    </row>
    <row r="377" spans="2:10" x14ac:dyDescent="0.3">
      <c r="B377" s="121">
        <f t="shared" si="11"/>
        <v>0</v>
      </c>
      <c r="C377" s="122">
        <f t="shared" si="12"/>
        <v>0</v>
      </c>
      <c r="D377" s="123"/>
      <c r="E377" s="125"/>
      <c r="F377" s="125"/>
      <c r="G377" s="125"/>
      <c r="H377" s="126"/>
      <c r="I377" s="127"/>
      <c r="J377" s="118">
        <f>IF(ISERROR(VLOOKUP(H377,#REF!,9,0)),0,VLOOKUP(H377,#REF!,9,0)*I377)/3600</f>
        <v>0</v>
      </c>
    </row>
    <row r="378" spans="2:10" x14ac:dyDescent="0.3">
      <c r="B378" s="121">
        <f t="shared" si="11"/>
        <v>0</v>
      </c>
      <c r="C378" s="122">
        <f t="shared" si="12"/>
        <v>0</v>
      </c>
      <c r="D378" s="123"/>
      <c r="E378" s="124"/>
      <c r="F378" s="125"/>
      <c r="G378" s="125"/>
      <c r="H378" s="126"/>
      <c r="I378" s="127"/>
      <c r="J378" s="118">
        <f>IF(ISERROR(VLOOKUP(H378,#REF!,9,0)),0,VLOOKUP(H378,#REF!,9,0)*I378)/3600</f>
        <v>0</v>
      </c>
    </row>
    <row r="379" spans="2:10" x14ac:dyDescent="0.3">
      <c r="B379" s="121">
        <f t="shared" si="11"/>
        <v>0</v>
      </c>
      <c r="C379" s="122">
        <f t="shared" si="12"/>
        <v>0</v>
      </c>
      <c r="D379" s="123"/>
      <c r="E379" s="125"/>
      <c r="F379" s="125"/>
      <c r="G379" s="125"/>
      <c r="H379" s="126"/>
      <c r="I379" s="127"/>
      <c r="J379" s="118">
        <f>IF(ISERROR(VLOOKUP(H379,#REF!,9,0)),0,VLOOKUP(H379,#REF!,9,0)*I379)/3600</f>
        <v>0</v>
      </c>
    </row>
    <row r="380" spans="2:10" x14ac:dyDescent="0.3">
      <c r="B380" s="121">
        <f t="shared" si="11"/>
        <v>0</v>
      </c>
      <c r="C380" s="122">
        <f t="shared" si="12"/>
        <v>0</v>
      </c>
      <c r="D380" s="123"/>
      <c r="E380" s="124"/>
      <c r="F380" s="125"/>
      <c r="G380" s="125"/>
      <c r="H380" s="126"/>
      <c r="I380" s="127"/>
      <c r="J380" s="118">
        <f>IF(ISERROR(VLOOKUP(H380,#REF!,9,0)),0,VLOOKUP(H380,#REF!,9,0)*I380)/3600</f>
        <v>0</v>
      </c>
    </row>
    <row r="381" spans="2:10" x14ac:dyDescent="0.3">
      <c r="B381" s="121">
        <f t="shared" si="11"/>
        <v>0</v>
      </c>
      <c r="C381" s="122">
        <f t="shared" si="12"/>
        <v>0</v>
      </c>
      <c r="D381" s="123"/>
      <c r="E381" s="125"/>
      <c r="F381" s="125"/>
      <c r="G381" s="125"/>
      <c r="H381" s="126"/>
      <c r="I381" s="127"/>
      <c r="J381" s="118">
        <f>IF(ISERROR(VLOOKUP(H381,#REF!,9,0)),0,VLOOKUP(H381,#REF!,9,0)*I381)/3600</f>
        <v>0</v>
      </c>
    </row>
    <row r="382" spans="2:10" x14ac:dyDescent="0.3">
      <c r="B382" s="121">
        <f t="shared" si="11"/>
        <v>0</v>
      </c>
      <c r="C382" s="122">
        <f t="shared" si="12"/>
        <v>0</v>
      </c>
      <c r="D382" s="123"/>
      <c r="E382" s="124"/>
      <c r="F382" s="125"/>
      <c r="G382" s="125"/>
      <c r="H382" s="126"/>
      <c r="I382" s="127"/>
      <c r="J382" s="118">
        <f>IF(ISERROR(VLOOKUP(H382,#REF!,9,0)),0,VLOOKUP(H382,#REF!,9,0)*I382)/3600</f>
        <v>0</v>
      </c>
    </row>
    <row r="383" spans="2:10" x14ac:dyDescent="0.3">
      <c r="B383" s="121">
        <f t="shared" si="11"/>
        <v>0</v>
      </c>
      <c r="C383" s="122">
        <f t="shared" si="12"/>
        <v>0</v>
      </c>
      <c r="D383" s="123"/>
      <c r="E383" s="125"/>
      <c r="F383" s="125"/>
      <c r="G383" s="125"/>
      <c r="H383" s="126"/>
      <c r="I383" s="127"/>
      <c r="J383" s="118">
        <f>IF(ISERROR(VLOOKUP(H383,#REF!,9,0)),0,VLOOKUP(H383,#REF!,9,0)*I383)/3600</f>
        <v>0</v>
      </c>
    </row>
    <row r="384" spans="2:10" x14ac:dyDescent="0.3">
      <c r="B384" s="121">
        <f t="shared" si="11"/>
        <v>0</v>
      </c>
      <c r="C384" s="122">
        <f t="shared" si="12"/>
        <v>0</v>
      </c>
      <c r="D384" s="123"/>
      <c r="E384" s="124"/>
      <c r="F384" s="125"/>
      <c r="G384" s="125"/>
      <c r="H384" s="126"/>
      <c r="I384" s="127"/>
      <c r="J384" s="118">
        <f>IF(ISERROR(VLOOKUP(H384,#REF!,9,0)),0,VLOOKUP(H384,#REF!,9,0)*I384)/3600</f>
        <v>0</v>
      </c>
    </row>
    <row r="385" spans="2:10" x14ac:dyDescent="0.3">
      <c r="B385" s="121">
        <f t="shared" si="11"/>
        <v>0</v>
      </c>
      <c r="C385" s="122">
        <f t="shared" si="12"/>
        <v>0</v>
      </c>
      <c r="D385" s="123"/>
      <c r="E385" s="125"/>
      <c r="F385" s="125"/>
      <c r="G385" s="125"/>
      <c r="H385" s="126"/>
      <c r="I385" s="127"/>
      <c r="J385" s="118">
        <f>IF(ISERROR(VLOOKUP(H385,#REF!,9,0)),0,VLOOKUP(H385,#REF!,9,0)*I385)/3600</f>
        <v>0</v>
      </c>
    </row>
    <row r="386" spans="2:10" x14ac:dyDescent="0.3">
      <c r="B386" s="121">
        <f t="shared" si="11"/>
        <v>0</v>
      </c>
      <c r="C386" s="122">
        <f t="shared" si="12"/>
        <v>0</v>
      </c>
      <c r="D386" s="123"/>
      <c r="E386" s="124"/>
      <c r="F386" s="125"/>
      <c r="G386" s="125"/>
      <c r="H386" s="126"/>
      <c r="I386" s="127"/>
      <c r="J386" s="118">
        <f>IF(ISERROR(VLOOKUP(H386,#REF!,9,0)),0,VLOOKUP(H386,#REF!,9,0)*I386)/3600</f>
        <v>0</v>
      </c>
    </row>
    <row r="387" spans="2:10" x14ac:dyDescent="0.3">
      <c r="B387" s="121">
        <f t="shared" si="11"/>
        <v>0</v>
      </c>
      <c r="C387" s="122">
        <f t="shared" si="12"/>
        <v>0</v>
      </c>
      <c r="D387" s="123"/>
      <c r="E387" s="125"/>
      <c r="F387" s="125"/>
      <c r="G387" s="125"/>
      <c r="H387" s="126"/>
      <c r="I387" s="127"/>
      <c r="J387" s="118">
        <f>IF(ISERROR(VLOOKUP(H387,#REF!,9,0)),0,VLOOKUP(H387,#REF!,9,0)*I387)/3600</f>
        <v>0</v>
      </c>
    </row>
    <row r="388" spans="2:10" x14ac:dyDescent="0.3">
      <c r="B388" s="121">
        <f t="shared" si="11"/>
        <v>0</v>
      </c>
      <c r="C388" s="122">
        <f t="shared" si="12"/>
        <v>0</v>
      </c>
      <c r="D388" s="123"/>
      <c r="E388" s="124"/>
      <c r="F388" s="125"/>
      <c r="G388" s="125"/>
      <c r="H388" s="126"/>
      <c r="I388" s="127"/>
      <c r="J388" s="118">
        <f>IF(ISERROR(VLOOKUP(H388,#REF!,9,0)),0,VLOOKUP(H388,#REF!,9,0)*I388)/3600</f>
        <v>0</v>
      </c>
    </row>
    <row r="389" spans="2:10" x14ac:dyDescent="0.3">
      <c r="B389" s="121">
        <f t="shared" si="11"/>
        <v>0</v>
      </c>
      <c r="C389" s="122">
        <f t="shared" si="12"/>
        <v>0</v>
      </c>
      <c r="D389" s="123"/>
      <c r="E389" s="125"/>
      <c r="F389" s="125"/>
      <c r="G389" s="125"/>
      <c r="H389" s="126"/>
      <c r="I389" s="127"/>
      <c r="J389" s="118">
        <f>IF(ISERROR(VLOOKUP(H389,#REF!,9,0)),0,VLOOKUP(H389,#REF!,9,0)*I389)/3600</f>
        <v>0</v>
      </c>
    </row>
    <row r="390" spans="2:10" x14ac:dyDescent="0.3">
      <c r="B390" s="121">
        <f t="shared" ref="B390:B453" si="13">IF(D390&gt;0,YEAR(D390),0)</f>
        <v>0</v>
      </c>
      <c r="C390" s="122">
        <f t="shared" ref="C390:C453" si="14">IF(D390&gt;0,MONTH(D390),0)</f>
        <v>0</v>
      </c>
      <c r="D390" s="123"/>
      <c r="E390" s="124"/>
      <c r="F390" s="125"/>
      <c r="G390" s="125"/>
      <c r="H390" s="126"/>
      <c r="I390" s="127"/>
      <c r="J390" s="118">
        <f>IF(ISERROR(VLOOKUP(H390,#REF!,9,0)),0,VLOOKUP(H390,#REF!,9,0)*I390)/3600</f>
        <v>0</v>
      </c>
    </row>
    <row r="391" spans="2:10" x14ac:dyDescent="0.3">
      <c r="B391" s="121">
        <f t="shared" si="13"/>
        <v>0</v>
      </c>
      <c r="C391" s="122">
        <f t="shared" si="14"/>
        <v>0</v>
      </c>
      <c r="D391" s="123"/>
      <c r="E391" s="125"/>
      <c r="F391" s="125"/>
      <c r="G391" s="125"/>
      <c r="H391" s="126"/>
      <c r="I391" s="127"/>
      <c r="J391" s="118">
        <f>IF(ISERROR(VLOOKUP(H391,#REF!,9,0)),0,VLOOKUP(H391,#REF!,9,0)*I391)/3600</f>
        <v>0</v>
      </c>
    </row>
    <row r="392" spans="2:10" x14ac:dyDescent="0.3">
      <c r="B392" s="121">
        <f t="shared" si="13"/>
        <v>0</v>
      </c>
      <c r="C392" s="122">
        <f t="shared" si="14"/>
        <v>0</v>
      </c>
      <c r="D392" s="123"/>
      <c r="E392" s="124"/>
      <c r="F392" s="125"/>
      <c r="G392" s="125"/>
      <c r="H392" s="126"/>
      <c r="I392" s="127"/>
      <c r="J392" s="118">
        <f>IF(ISERROR(VLOOKUP(H392,#REF!,9,0)),0,VLOOKUP(H392,#REF!,9,0)*I392)/3600</f>
        <v>0</v>
      </c>
    </row>
    <row r="393" spans="2:10" x14ac:dyDescent="0.3">
      <c r="B393" s="121">
        <f t="shared" si="13"/>
        <v>0</v>
      </c>
      <c r="C393" s="122">
        <f t="shared" si="14"/>
        <v>0</v>
      </c>
      <c r="D393" s="123"/>
      <c r="E393" s="125"/>
      <c r="F393" s="125"/>
      <c r="G393" s="125"/>
      <c r="H393" s="126"/>
      <c r="I393" s="127"/>
      <c r="J393" s="118">
        <f>IF(ISERROR(VLOOKUP(H393,#REF!,9,0)),0,VLOOKUP(H393,#REF!,9,0)*I393)/3600</f>
        <v>0</v>
      </c>
    </row>
    <row r="394" spans="2:10" x14ac:dyDescent="0.3">
      <c r="B394" s="121">
        <f t="shared" si="13"/>
        <v>0</v>
      </c>
      <c r="C394" s="122">
        <f t="shared" si="14"/>
        <v>0</v>
      </c>
      <c r="D394" s="123"/>
      <c r="E394" s="124"/>
      <c r="F394" s="125"/>
      <c r="G394" s="125"/>
      <c r="H394" s="126"/>
      <c r="I394" s="127"/>
      <c r="J394" s="118">
        <f>IF(ISERROR(VLOOKUP(H394,#REF!,9,0)),0,VLOOKUP(H394,#REF!,9,0)*I394)/3600</f>
        <v>0</v>
      </c>
    </row>
    <row r="395" spans="2:10" x14ac:dyDescent="0.3">
      <c r="B395" s="121">
        <f t="shared" si="13"/>
        <v>0</v>
      </c>
      <c r="C395" s="122">
        <f t="shared" si="14"/>
        <v>0</v>
      </c>
      <c r="D395" s="123"/>
      <c r="E395" s="125"/>
      <c r="F395" s="125"/>
      <c r="G395" s="125"/>
      <c r="H395" s="126"/>
      <c r="I395" s="127"/>
      <c r="J395" s="118">
        <f>IF(ISERROR(VLOOKUP(H395,#REF!,9,0)),0,VLOOKUP(H395,#REF!,9,0)*I395)/3600</f>
        <v>0</v>
      </c>
    </row>
    <row r="396" spans="2:10" x14ac:dyDescent="0.3">
      <c r="B396" s="121">
        <f t="shared" si="13"/>
        <v>0</v>
      </c>
      <c r="C396" s="122">
        <f t="shared" si="14"/>
        <v>0</v>
      </c>
      <c r="D396" s="123"/>
      <c r="E396" s="124"/>
      <c r="F396" s="125"/>
      <c r="G396" s="125"/>
      <c r="H396" s="126"/>
      <c r="I396" s="127"/>
      <c r="J396" s="118">
        <f>IF(ISERROR(VLOOKUP(H396,#REF!,9,0)),0,VLOOKUP(H396,#REF!,9,0)*I396)/3600</f>
        <v>0</v>
      </c>
    </row>
    <row r="397" spans="2:10" x14ac:dyDescent="0.3">
      <c r="B397" s="121">
        <f t="shared" si="13"/>
        <v>0</v>
      </c>
      <c r="C397" s="122">
        <f t="shared" si="14"/>
        <v>0</v>
      </c>
      <c r="D397" s="123"/>
      <c r="E397" s="125"/>
      <c r="F397" s="125"/>
      <c r="G397" s="125"/>
      <c r="H397" s="126"/>
      <c r="I397" s="127"/>
      <c r="J397" s="118">
        <f>IF(ISERROR(VLOOKUP(H397,#REF!,9,0)),0,VLOOKUP(H397,#REF!,9,0)*I397)/3600</f>
        <v>0</v>
      </c>
    </row>
    <row r="398" spans="2:10" x14ac:dyDescent="0.3">
      <c r="B398" s="121">
        <f t="shared" si="13"/>
        <v>0</v>
      </c>
      <c r="C398" s="122">
        <f t="shared" si="14"/>
        <v>0</v>
      </c>
      <c r="D398" s="123"/>
      <c r="E398" s="124"/>
      <c r="F398" s="125"/>
      <c r="G398" s="125"/>
      <c r="H398" s="126"/>
      <c r="I398" s="127"/>
      <c r="J398" s="118">
        <f>IF(ISERROR(VLOOKUP(H398,#REF!,9,0)),0,VLOOKUP(H398,#REF!,9,0)*I398)/3600</f>
        <v>0</v>
      </c>
    </row>
    <row r="399" spans="2:10" x14ac:dyDescent="0.3">
      <c r="B399" s="121">
        <f t="shared" si="13"/>
        <v>0</v>
      </c>
      <c r="C399" s="122">
        <f t="shared" si="14"/>
        <v>0</v>
      </c>
      <c r="D399" s="123"/>
      <c r="E399" s="125"/>
      <c r="F399" s="125"/>
      <c r="G399" s="125"/>
      <c r="H399" s="126"/>
      <c r="I399" s="127"/>
      <c r="J399" s="118">
        <f>IF(ISERROR(VLOOKUP(H399,#REF!,9,0)),0,VLOOKUP(H399,#REF!,9,0)*I399)/3600</f>
        <v>0</v>
      </c>
    </row>
    <row r="400" spans="2:10" x14ac:dyDescent="0.3">
      <c r="B400" s="121">
        <f t="shared" si="13"/>
        <v>0</v>
      </c>
      <c r="C400" s="122">
        <f t="shared" si="14"/>
        <v>0</v>
      </c>
      <c r="D400" s="123"/>
      <c r="E400" s="124"/>
      <c r="F400" s="125"/>
      <c r="G400" s="125"/>
      <c r="H400" s="126"/>
      <c r="I400" s="127"/>
      <c r="J400" s="118">
        <f>IF(ISERROR(VLOOKUP(H400,#REF!,9,0)),0,VLOOKUP(H400,#REF!,9,0)*I400)/3600</f>
        <v>0</v>
      </c>
    </row>
    <row r="401" spans="2:10" x14ac:dyDescent="0.3">
      <c r="B401" s="121">
        <f t="shared" si="13"/>
        <v>0</v>
      </c>
      <c r="C401" s="122">
        <f t="shared" si="14"/>
        <v>0</v>
      </c>
      <c r="D401" s="123"/>
      <c r="E401" s="125"/>
      <c r="F401" s="125"/>
      <c r="G401" s="125"/>
      <c r="H401" s="126"/>
      <c r="I401" s="127"/>
      <c r="J401" s="118">
        <f>IF(ISERROR(VLOOKUP(H401,#REF!,9,0)),0,VLOOKUP(H401,#REF!,9,0)*I401)/3600</f>
        <v>0</v>
      </c>
    </row>
    <row r="402" spans="2:10" x14ac:dyDescent="0.3">
      <c r="B402" s="121">
        <f t="shared" si="13"/>
        <v>0</v>
      </c>
      <c r="C402" s="122">
        <f t="shared" si="14"/>
        <v>0</v>
      </c>
      <c r="D402" s="123"/>
      <c r="E402" s="124"/>
      <c r="F402" s="125"/>
      <c r="G402" s="125"/>
      <c r="H402" s="126"/>
      <c r="I402" s="127"/>
      <c r="J402" s="118">
        <f>IF(ISERROR(VLOOKUP(H402,#REF!,9,0)),0,VLOOKUP(H402,#REF!,9,0)*I402)/3600</f>
        <v>0</v>
      </c>
    </row>
    <row r="403" spans="2:10" x14ac:dyDescent="0.3">
      <c r="B403" s="121">
        <f t="shared" si="13"/>
        <v>0</v>
      </c>
      <c r="C403" s="122">
        <f t="shared" si="14"/>
        <v>0</v>
      </c>
      <c r="D403" s="123"/>
      <c r="E403" s="125"/>
      <c r="F403" s="125"/>
      <c r="G403" s="125"/>
      <c r="H403" s="126"/>
      <c r="I403" s="127"/>
      <c r="J403" s="118">
        <f>IF(ISERROR(VLOOKUP(H403,#REF!,9,0)),0,VLOOKUP(H403,#REF!,9,0)*I403)/3600</f>
        <v>0</v>
      </c>
    </row>
    <row r="404" spans="2:10" x14ac:dyDescent="0.3">
      <c r="B404" s="121">
        <f t="shared" si="13"/>
        <v>0</v>
      </c>
      <c r="C404" s="122">
        <f t="shared" si="14"/>
        <v>0</v>
      </c>
      <c r="D404" s="123"/>
      <c r="E404" s="124"/>
      <c r="F404" s="125"/>
      <c r="G404" s="125"/>
      <c r="H404" s="126"/>
      <c r="I404" s="127"/>
      <c r="J404" s="118">
        <f>IF(ISERROR(VLOOKUP(H404,#REF!,9,0)),0,VLOOKUP(H404,#REF!,9,0)*I404)/3600</f>
        <v>0</v>
      </c>
    </row>
    <row r="405" spans="2:10" x14ac:dyDescent="0.3">
      <c r="B405" s="121">
        <f t="shared" si="13"/>
        <v>0</v>
      </c>
      <c r="C405" s="122">
        <f t="shared" si="14"/>
        <v>0</v>
      </c>
      <c r="D405" s="123"/>
      <c r="E405" s="125"/>
      <c r="F405" s="125"/>
      <c r="G405" s="125"/>
      <c r="H405" s="126"/>
      <c r="I405" s="127"/>
      <c r="J405" s="118">
        <f>IF(ISERROR(VLOOKUP(H405,#REF!,9,0)),0,VLOOKUP(H405,#REF!,9,0)*I405)/3600</f>
        <v>0</v>
      </c>
    </row>
    <row r="406" spans="2:10" x14ac:dyDescent="0.3">
      <c r="B406" s="121">
        <f t="shared" si="13"/>
        <v>0</v>
      </c>
      <c r="C406" s="122">
        <f t="shared" si="14"/>
        <v>0</v>
      </c>
      <c r="D406" s="123"/>
      <c r="E406" s="124"/>
      <c r="F406" s="125"/>
      <c r="G406" s="125"/>
      <c r="H406" s="126"/>
      <c r="I406" s="127"/>
      <c r="J406" s="118">
        <f>IF(ISERROR(VLOOKUP(H406,#REF!,9,0)),0,VLOOKUP(H406,#REF!,9,0)*I406)/3600</f>
        <v>0</v>
      </c>
    </row>
    <row r="407" spans="2:10" x14ac:dyDescent="0.3">
      <c r="B407" s="121">
        <f t="shared" si="13"/>
        <v>0</v>
      </c>
      <c r="C407" s="122">
        <f t="shared" si="14"/>
        <v>0</v>
      </c>
      <c r="D407" s="123"/>
      <c r="E407" s="125"/>
      <c r="F407" s="125"/>
      <c r="G407" s="125"/>
      <c r="H407" s="126"/>
      <c r="I407" s="127"/>
      <c r="J407" s="118">
        <f>IF(ISERROR(VLOOKUP(H407,#REF!,9,0)),0,VLOOKUP(H407,#REF!,9,0)*I407)/3600</f>
        <v>0</v>
      </c>
    </row>
    <row r="408" spans="2:10" x14ac:dyDescent="0.3">
      <c r="B408" s="121">
        <f t="shared" si="13"/>
        <v>0</v>
      </c>
      <c r="C408" s="122">
        <f t="shared" si="14"/>
        <v>0</v>
      </c>
      <c r="D408" s="123"/>
      <c r="E408" s="124"/>
      <c r="F408" s="125"/>
      <c r="G408" s="125"/>
      <c r="H408" s="126"/>
      <c r="I408" s="127"/>
      <c r="J408" s="118">
        <f>IF(ISERROR(VLOOKUP(H408,#REF!,9,0)),0,VLOOKUP(H408,#REF!,9,0)*I408)/3600</f>
        <v>0</v>
      </c>
    </row>
    <row r="409" spans="2:10" x14ac:dyDescent="0.3">
      <c r="B409" s="121">
        <f t="shared" si="13"/>
        <v>0</v>
      </c>
      <c r="C409" s="122">
        <f t="shared" si="14"/>
        <v>0</v>
      </c>
      <c r="D409" s="123"/>
      <c r="E409" s="125"/>
      <c r="F409" s="125"/>
      <c r="G409" s="125"/>
      <c r="H409" s="126"/>
      <c r="I409" s="127"/>
      <c r="J409" s="118">
        <f>IF(ISERROR(VLOOKUP(H409,#REF!,9,0)),0,VLOOKUP(H409,#REF!,9,0)*I409)/3600</f>
        <v>0</v>
      </c>
    </row>
    <row r="410" spans="2:10" x14ac:dyDescent="0.3">
      <c r="B410" s="121">
        <f t="shared" si="13"/>
        <v>0</v>
      </c>
      <c r="C410" s="122">
        <f t="shared" si="14"/>
        <v>0</v>
      </c>
      <c r="D410" s="123"/>
      <c r="E410" s="124"/>
      <c r="F410" s="125"/>
      <c r="G410" s="125"/>
      <c r="H410" s="126"/>
      <c r="I410" s="127"/>
      <c r="J410" s="118">
        <f>IF(ISERROR(VLOOKUP(H410,#REF!,9,0)),0,VLOOKUP(H410,#REF!,9,0)*I410)/3600</f>
        <v>0</v>
      </c>
    </row>
    <row r="411" spans="2:10" x14ac:dyDescent="0.3">
      <c r="B411" s="121">
        <f t="shared" si="13"/>
        <v>0</v>
      </c>
      <c r="C411" s="122">
        <f t="shared" si="14"/>
        <v>0</v>
      </c>
      <c r="D411" s="123"/>
      <c r="E411" s="125"/>
      <c r="F411" s="125"/>
      <c r="G411" s="125"/>
      <c r="H411" s="126"/>
      <c r="I411" s="127"/>
      <c r="J411" s="118">
        <f>IF(ISERROR(VLOOKUP(H411,#REF!,9,0)),0,VLOOKUP(H411,#REF!,9,0)*I411)/3600</f>
        <v>0</v>
      </c>
    </row>
    <row r="412" spans="2:10" x14ac:dyDescent="0.3">
      <c r="B412" s="121">
        <f t="shared" si="13"/>
        <v>0</v>
      </c>
      <c r="C412" s="122">
        <f t="shared" si="14"/>
        <v>0</v>
      </c>
      <c r="D412" s="123"/>
      <c r="E412" s="124"/>
      <c r="F412" s="125"/>
      <c r="G412" s="125"/>
      <c r="H412" s="126"/>
      <c r="I412" s="127"/>
      <c r="J412" s="118">
        <f>IF(ISERROR(VLOOKUP(H412,#REF!,9,0)),0,VLOOKUP(H412,#REF!,9,0)*I412)/3600</f>
        <v>0</v>
      </c>
    </row>
    <row r="413" spans="2:10" x14ac:dyDescent="0.3">
      <c r="B413" s="121">
        <f t="shared" si="13"/>
        <v>0</v>
      </c>
      <c r="C413" s="122">
        <f t="shared" si="14"/>
        <v>0</v>
      </c>
      <c r="D413" s="123"/>
      <c r="E413" s="125"/>
      <c r="F413" s="125"/>
      <c r="G413" s="125"/>
      <c r="H413" s="126"/>
      <c r="I413" s="127"/>
      <c r="J413" s="118">
        <f>IF(ISERROR(VLOOKUP(H413,#REF!,9,0)),0,VLOOKUP(H413,#REF!,9,0)*I413)/3600</f>
        <v>0</v>
      </c>
    </row>
    <row r="414" spans="2:10" x14ac:dyDescent="0.3">
      <c r="B414" s="121">
        <f t="shared" si="13"/>
        <v>0</v>
      </c>
      <c r="C414" s="122">
        <f t="shared" si="14"/>
        <v>0</v>
      </c>
      <c r="D414" s="123"/>
      <c r="E414" s="124"/>
      <c r="F414" s="125"/>
      <c r="G414" s="125"/>
      <c r="H414" s="126"/>
      <c r="I414" s="127"/>
      <c r="J414" s="118">
        <f>IF(ISERROR(VLOOKUP(H414,#REF!,9,0)),0,VLOOKUP(H414,#REF!,9,0)*I414)/3600</f>
        <v>0</v>
      </c>
    </row>
    <row r="415" spans="2:10" x14ac:dyDescent="0.3">
      <c r="B415" s="121">
        <f t="shared" si="13"/>
        <v>0</v>
      </c>
      <c r="C415" s="122">
        <f t="shared" si="14"/>
        <v>0</v>
      </c>
      <c r="D415" s="123"/>
      <c r="E415" s="125"/>
      <c r="F415" s="125"/>
      <c r="G415" s="125"/>
      <c r="H415" s="126"/>
      <c r="I415" s="127"/>
      <c r="J415" s="118">
        <f>IF(ISERROR(VLOOKUP(H415,#REF!,9,0)),0,VLOOKUP(H415,#REF!,9,0)*I415)/3600</f>
        <v>0</v>
      </c>
    </row>
    <row r="416" spans="2:10" x14ac:dyDescent="0.3">
      <c r="B416" s="121">
        <f t="shared" si="13"/>
        <v>0</v>
      </c>
      <c r="C416" s="122">
        <f t="shared" si="14"/>
        <v>0</v>
      </c>
      <c r="D416" s="123"/>
      <c r="E416" s="124"/>
      <c r="F416" s="125"/>
      <c r="G416" s="125"/>
      <c r="H416" s="126"/>
      <c r="I416" s="127"/>
      <c r="J416" s="118">
        <f>IF(ISERROR(VLOOKUP(H416,#REF!,9,0)),0,VLOOKUP(H416,#REF!,9,0)*I416)/3600</f>
        <v>0</v>
      </c>
    </row>
    <row r="417" spans="2:10" x14ac:dyDescent="0.3">
      <c r="B417" s="121">
        <f t="shared" si="13"/>
        <v>0</v>
      </c>
      <c r="C417" s="122">
        <f t="shared" si="14"/>
        <v>0</v>
      </c>
      <c r="D417" s="123"/>
      <c r="E417" s="125"/>
      <c r="F417" s="125"/>
      <c r="G417" s="125"/>
      <c r="H417" s="126"/>
      <c r="I417" s="127"/>
      <c r="J417" s="118">
        <f>IF(ISERROR(VLOOKUP(H417,#REF!,9,0)),0,VLOOKUP(H417,#REF!,9,0)*I417)/3600</f>
        <v>0</v>
      </c>
    </row>
    <row r="418" spans="2:10" x14ac:dyDescent="0.3">
      <c r="B418" s="121">
        <f t="shared" si="13"/>
        <v>0</v>
      </c>
      <c r="C418" s="122">
        <f t="shared" si="14"/>
        <v>0</v>
      </c>
      <c r="D418" s="123"/>
      <c r="E418" s="124"/>
      <c r="F418" s="125"/>
      <c r="G418" s="125"/>
      <c r="H418" s="126"/>
      <c r="I418" s="127"/>
      <c r="J418" s="118">
        <f>IF(ISERROR(VLOOKUP(H418,#REF!,9,0)),0,VLOOKUP(H418,#REF!,9,0)*I418)/3600</f>
        <v>0</v>
      </c>
    </row>
    <row r="419" spans="2:10" x14ac:dyDescent="0.3">
      <c r="B419" s="121">
        <f t="shared" si="13"/>
        <v>0</v>
      </c>
      <c r="C419" s="122">
        <f t="shared" si="14"/>
        <v>0</v>
      </c>
      <c r="D419" s="123"/>
      <c r="E419" s="125"/>
      <c r="F419" s="125"/>
      <c r="G419" s="125"/>
      <c r="H419" s="126"/>
      <c r="I419" s="127"/>
      <c r="J419" s="118">
        <f>IF(ISERROR(VLOOKUP(H419,#REF!,9,0)),0,VLOOKUP(H419,#REF!,9,0)*I419)/3600</f>
        <v>0</v>
      </c>
    </row>
    <row r="420" spans="2:10" x14ac:dyDescent="0.3">
      <c r="B420" s="121">
        <f t="shared" si="13"/>
        <v>0</v>
      </c>
      <c r="C420" s="122">
        <f t="shared" si="14"/>
        <v>0</v>
      </c>
      <c r="D420" s="123"/>
      <c r="E420" s="124"/>
      <c r="F420" s="125"/>
      <c r="G420" s="125"/>
      <c r="H420" s="126"/>
      <c r="I420" s="127"/>
      <c r="J420" s="118">
        <f>IF(ISERROR(VLOOKUP(H420,#REF!,9,0)),0,VLOOKUP(H420,#REF!,9,0)*I420)/3600</f>
        <v>0</v>
      </c>
    </row>
    <row r="421" spans="2:10" x14ac:dyDescent="0.3">
      <c r="B421" s="121">
        <f t="shared" si="13"/>
        <v>0</v>
      </c>
      <c r="C421" s="122">
        <f t="shared" si="14"/>
        <v>0</v>
      </c>
      <c r="D421" s="123"/>
      <c r="E421" s="125"/>
      <c r="F421" s="125"/>
      <c r="G421" s="125"/>
      <c r="H421" s="126"/>
      <c r="I421" s="127"/>
      <c r="J421" s="118">
        <f>IF(ISERROR(VLOOKUP(H421,#REF!,9,0)),0,VLOOKUP(H421,#REF!,9,0)*I421)/3600</f>
        <v>0</v>
      </c>
    </row>
    <row r="422" spans="2:10" x14ac:dyDescent="0.3">
      <c r="B422" s="121">
        <f t="shared" si="13"/>
        <v>0</v>
      </c>
      <c r="C422" s="122">
        <f t="shared" si="14"/>
        <v>0</v>
      </c>
      <c r="D422" s="123"/>
      <c r="E422" s="124"/>
      <c r="F422" s="125"/>
      <c r="G422" s="125"/>
      <c r="H422" s="126"/>
      <c r="I422" s="127"/>
      <c r="J422" s="118">
        <f>IF(ISERROR(VLOOKUP(H422,#REF!,9,0)),0,VLOOKUP(H422,#REF!,9,0)*I422)/3600</f>
        <v>0</v>
      </c>
    </row>
    <row r="423" spans="2:10" x14ac:dyDescent="0.3">
      <c r="B423" s="121">
        <f t="shared" si="13"/>
        <v>0</v>
      </c>
      <c r="C423" s="122">
        <f t="shared" si="14"/>
        <v>0</v>
      </c>
      <c r="D423" s="123"/>
      <c r="E423" s="125"/>
      <c r="F423" s="125"/>
      <c r="G423" s="125"/>
      <c r="H423" s="126"/>
      <c r="I423" s="127"/>
      <c r="J423" s="118">
        <f>IF(ISERROR(VLOOKUP(H423,#REF!,9,0)),0,VLOOKUP(H423,#REF!,9,0)*I423)/3600</f>
        <v>0</v>
      </c>
    </row>
    <row r="424" spans="2:10" x14ac:dyDescent="0.3">
      <c r="B424" s="121">
        <f t="shared" si="13"/>
        <v>0</v>
      </c>
      <c r="C424" s="122">
        <f t="shared" si="14"/>
        <v>0</v>
      </c>
      <c r="D424" s="123"/>
      <c r="E424" s="124"/>
      <c r="F424" s="125"/>
      <c r="G424" s="125"/>
      <c r="H424" s="126"/>
      <c r="I424" s="127"/>
      <c r="J424" s="118">
        <f>IF(ISERROR(VLOOKUP(H424,#REF!,9,0)),0,VLOOKUP(H424,#REF!,9,0)*I424)/3600</f>
        <v>0</v>
      </c>
    </row>
    <row r="425" spans="2:10" x14ac:dyDescent="0.3">
      <c r="B425" s="121">
        <f t="shared" si="13"/>
        <v>0</v>
      </c>
      <c r="C425" s="122">
        <f t="shared" si="14"/>
        <v>0</v>
      </c>
      <c r="D425" s="123"/>
      <c r="E425" s="125"/>
      <c r="F425" s="125"/>
      <c r="G425" s="125"/>
      <c r="H425" s="126"/>
      <c r="I425" s="127"/>
      <c r="J425" s="118">
        <f>IF(ISERROR(VLOOKUP(H425,#REF!,9,0)),0,VLOOKUP(H425,#REF!,9,0)*I425)/3600</f>
        <v>0</v>
      </c>
    </row>
    <row r="426" spans="2:10" x14ac:dyDescent="0.3">
      <c r="B426" s="121">
        <f t="shared" si="13"/>
        <v>0</v>
      </c>
      <c r="C426" s="122">
        <f t="shared" si="14"/>
        <v>0</v>
      </c>
      <c r="D426" s="123"/>
      <c r="E426" s="124"/>
      <c r="F426" s="125"/>
      <c r="G426" s="125"/>
      <c r="H426" s="126"/>
      <c r="I426" s="127"/>
      <c r="J426" s="118">
        <f>IF(ISERROR(VLOOKUP(H426,#REF!,9,0)),0,VLOOKUP(H426,#REF!,9,0)*I426)/3600</f>
        <v>0</v>
      </c>
    </row>
    <row r="427" spans="2:10" x14ac:dyDescent="0.3">
      <c r="B427" s="121">
        <f t="shared" si="13"/>
        <v>0</v>
      </c>
      <c r="C427" s="122">
        <f t="shared" si="14"/>
        <v>0</v>
      </c>
      <c r="D427" s="123"/>
      <c r="E427" s="125"/>
      <c r="F427" s="125"/>
      <c r="G427" s="125"/>
      <c r="H427" s="126"/>
      <c r="I427" s="127"/>
      <c r="J427" s="118">
        <f>IF(ISERROR(VLOOKUP(H427,#REF!,9,0)),0,VLOOKUP(H427,#REF!,9,0)*I427)/3600</f>
        <v>0</v>
      </c>
    </row>
    <row r="428" spans="2:10" x14ac:dyDescent="0.3">
      <c r="B428" s="121">
        <f t="shared" si="13"/>
        <v>0</v>
      </c>
      <c r="C428" s="122">
        <f t="shared" si="14"/>
        <v>0</v>
      </c>
      <c r="D428" s="123"/>
      <c r="E428" s="124"/>
      <c r="F428" s="125"/>
      <c r="G428" s="125"/>
      <c r="H428" s="126"/>
      <c r="I428" s="127"/>
      <c r="J428" s="118">
        <f>IF(ISERROR(VLOOKUP(H428,#REF!,9,0)),0,VLOOKUP(H428,#REF!,9,0)*I428)/3600</f>
        <v>0</v>
      </c>
    </row>
    <row r="429" spans="2:10" x14ac:dyDescent="0.3">
      <c r="B429" s="121">
        <f t="shared" si="13"/>
        <v>0</v>
      </c>
      <c r="C429" s="122">
        <f t="shared" si="14"/>
        <v>0</v>
      </c>
      <c r="D429" s="123"/>
      <c r="E429" s="125"/>
      <c r="F429" s="125"/>
      <c r="G429" s="125"/>
      <c r="H429" s="126"/>
      <c r="I429" s="127"/>
      <c r="J429" s="118">
        <f>IF(ISERROR(VLOOKUP(H429,#REF!,9,0)),0,VLOOKUP(H429,#REF!,9,0)*I429)/3600</f>
        <v>0</v>
      </c>
    </row>
    <row r="430" spans="2:10" x14ac:dyDescent="0.3">
      <c r="B430" s="121">
        <f t="shared" si="13"/>
        <v>0</v>
      </c>
      <c r="C430" s="122">
        <f t="shared" si="14"/>
        <v>0</v>
      </c>
      <c r="D430" s="123"/>
      <c r="E430" s="124"/>
      <c r="F430" s="125"/>
      <c r="G430" s="125"/>
      <c r="H430" s="126"/>
      <c r="I430" s="127"/>
      <c r="J430" s="118">
        <f>IF(ISERROR(VLOOKUP(H430,#REF!,9,0)),0,VLOOKUP(H430,#REF!,9,0)*I430)/3600</f>
        <v>0</v>
      </c>
    </row>
    <row r="431" spans="2:10" x14ac:dyDescent="0.3">
      <c r="B431" s="121">
        <f t="shared" si="13"/>
        <v>0</v>
      </c>
      <c r="C431" s="122">
        <f t="shared" si="14"/>
        <v>0</v>
      </c>
      <c r="D431" s="123"/>
      <c r="E431" s="125"/>
      <c r="F431" s="125"/>
      <c r="G431" s="125"/>
      <c r="H431" s="126"/>
      <c r="I431" s="127"/>
      <c r="J431" s="118">
        <f>IF(ISERROR(VLOOKUP(H431,#REF!,9,0)),0,VLOOKUP(H431,#REF!,9,0)*I431)/3600</f>
        <v>0</v>
      </c>
    </row>
    <row r="432" spans="2:10" x14ac:dyDescent="0.3">
      <c r="B432" s="121">
        <f t="shared" si="13"/>
        <v>0</v>
      </c>
      <c r="C432" s="122">
        <f t="shared" si="14"/>
        <v>0</v>
      </c>
      <c r="D432" s="123"/>
      <c r="E432" s="124"/>
      <c r="F432" s="125"/>
      <c r="G432" s="125"/>
      <c r="H432" s="126"/>
      <c r="I432" s="127"/>
      <c r="J432" s="118">
        <f>IF(ISERROR(VLOOKUP(H432,#REF!,9,0)),0,VLOOKUP(H432,#REF!,9,0)*I432)/3600</f>
        <v>0</v>
      </c>
    </row>
    <row r="433" spans="2:10" x14ac:dyDescent="0.3">
      <c r="B433" s="121">
        <f t="shared" si="13"/>
        <v>0</v>
      </c>
      <c r="C433" s="122">
        <f t="shared" si="14"/>
        <v>0</v>
      </c>
      <c r="D433" s="123"/>
      <c r="E433" s="125"/>
      <c r="F433" s="125"/>
      <c r="G433" s="125"/>
      <c r="H433" s="126"/>
      <c r="I433" s="127"/>
      <c r="J433" s="118">
        <f>IF(ISERROR(VLOOKUP(H433,#REF!,9,0)),0,VLOOKUP(H433,#REF!,9,0)*I433)/3600</f>
        <v>0</v>
      </c>
    </row>
    <row r="434" spans="2:10" x14ac:dyDescent="0.3">
      <c r="B434" s="121">
        <f t="shared" si="13"/>
        <v>0</v>
      </c>
      <c r="C434" s="122">
        <f t="shared" si="14"/>
        <v>0</v>
      </c>
      <c r="D434" s="123"/>
      <c r="E434" s="124"/>
      <c r="F434" s="125"/>
      <c r="G434" s="125"/>
      <c r="H434" s="126"/>
      <c r="I434" s="127"/>
      <c r="J434" s="118">
        <f>IF(ISERROR(VLOOKUP(H434,#REF!,9,0)),0,VLOOKUP(H434,#REF!,9,0)*I434)/3600</f>
        <v>0</v>
      </c>
    </row>
    <row r="435" spans="2:10" x14ac:dyDescent="0.3">
      <c r="B435" s="121">
        <f t="shared" si="13"/>
        <v>0</v>
      </c>
      <c r="C435" s="122">
        <f t="shared" si="14"/>
        <v>0</v>
      </c>
      <c r="D435" s="123"/>
      <c r="E435" s="125"/>
      <c r="F435" s="125"/>
      <c r="G435" s="125"/>
      <c r="H435" s="126"/>
      <c r="I435" s="127"/>
      <c r="J435" s="118">
        <f>IF(ISERROR(VLOOKUP(H435,#REF!,9,0)),0,VLOOKUP(H435,#REF!,9,0)*I435)/3600</f>
        <v>0</v>
      </c>
    </row>
    <row r="436" spans="2:10" x14ac:dyDescent="0.3">
      <c r="B436" s="121">
        <f t="shared" si="13"/>
        <v>0</v>
      </c>
      <c r="C436" s="122">
        <f t="shared" si="14"/>
        <v>0</v>
      </c>
      <c r="D436" s="123"/>
      <c r="E436" s="124"/>
      <c r="F436" s="125"/>
      <c r="G436" s="125"/>
      <c r="H436" s="126"/>
      <c r="I436" s="127"/>
      <c r="J436" s="118">
        <f>IF(ISERROR(VLOOKUP(H436,#REF!,9,0)),0,VLOOKUP(H436,#REF!,9,0)*I436)/3600</f>
        <v>0</v>
      </c>
    </row>
    <row r="437" spans="2:10" x14ac:dyDescent="0.3">
      <c r="B437" s="121">
        <f t="shared" si="13"/>
        <v>0</v>
      </c>
      <c r="C437" s="122">
        <f t="shared" si="14"/>
        <v>0</v>
      </c>
      <c r="D437" s="123"/>
      <c r="E437" s="125"/>
      <c r="F437" s="125"/>
      <c r="G437" s="125"/>
      <c r="H437" s="126"/>
      <c r="I437" s="127"/>
      <c r="J437" s="118">
        <f>IF(ISERROR(VLOOKUP(H437,#REF!,9,0)),0,VLOOKUP(H437,#REF!,9,0)*I437)/3600</f>
        <v>0</v>
      </c>
    </row>
    <row r="438" spans="2:10" x14ac:dyDescent="0.3">
      <c r="B438" s="121">
        <f t="shared" si="13"/>
        <v>0</v>
      </c>
      <c r="C438" s="122">
        <f t="shared" si="14"/>
        <v>0</v>
      </c>
      <c r="D438" s="123"/>
      <c r="E438" s="124"/>
      <c r="F438" s="125"/>
      <c r="G438" s="125"/>
      <c r="H438" s="126"/>
      <c r="I438" s="127"/>
      <c r="J438" s="118">
        <f>IF(ISERROR(VLOOKUP(H438,#REF!,9,0)),0,VLOOKUP(H438,#REF!,9,0)*I438)/3600</f>
        <v>0</v>
      </c>
    </row>
    <row r="439" spans="2:10" x14ac:dyDescent="0.3">
      <c r="B439" s="121">
        <f t="shared" si="13"/>
        <v>0</v>
      </c>
      <c r="C439" s="122">
        <f t="shared" si="14"/>
        <v>0</v>
      </c>
      <c r="D439" s="123"/>
      <c r="E439" s="125"/>
      <c r="F439" s="125"/>
      <c r="G439" s="125"/>
      <c r="H439" s="126"/>
      <c r="I439" s="127"/>
      <c r="J439" s="118">
        <f>IF(ISERROR(VLOOKUP(H439,#REF!,9,0)),0,VLOOKUP(H439,#REF!,9,0)*I439)/3600</f>
        <v>0</v>
      </c>
    </row>
    <row r="440" spans="2:10" x14ac:dyDescent="0.3">
      <c r="B440" s="121">
        <f t="shared" si="13"/>
        <v>0</v>
      </c>
      <c r="C440" s="122">
        <f t="shared" si="14"/>
        <v>0</v>
      </c>
      <c r="D440" s="123"/>
      <c r="E440" s="124"/>
      <c r="F440" s="125"/>
      <c r="G440" s="125"/>
      <c r="H440" s="126"/>
      <c r="I440" s="127"/>
      <c r="J440" s="118">
        <f>IF(ISERROR(VLOOKUP(H440,#REF!,9,0)),0,VLOOKUP(H440,#REF!,9,0)*I440)/3600</f>
        <v>0</v>
      </c>
    </row>
    <row r="441" spans="2:10" x14ac:dyDescent="0.3">
      <c r="B441" s="121">
        <f t="shared" si="13"/>
        <v>0</v>
      </c>
      <c r="C441" s="122">
        <f t="shared" si="14"/>
        <v>0</v>
      </c>
      <c r="D441" s="123"/>
      <c r="E441" s="125"/>
      <c r="F441" s="125"/>
      <c r="G441" s="125"/>
      <c r="H441" s="126"/>
      <c r="I441" s="127"/>
      <c r="J441" s="118">
        <f>IF(ISERROR(VLOOKUP(H441,#REF!,9,0)),0,VLOOKUP(H441,#REF!,9,0)*I441)/3600</f>
        <v>0</v>
      </c>
    </row>
    <row r="442" spans="2:10" x14ac:dyDescent="0.3">
      <c r="B442" s="121">
        <f t="shared" si="13"/>
        <v>0</v>
      </c>
      <c r="C442" s="122">
        <f t="shared" si="14"/>
        <v>0</v>
      </c>
      <c r="D442" s="123"/>
      <c r="E442" s="124"/>
      <c r="F442" s="125"/>
      <c r="G442" s="125"/>
      <c r="H442" s="126"/>
      <c r="I442" s="127"/>
      <c r="J442" s="118">
        <f>IF(ISERROR(VLOOKUP(H442,#REF!,9,0)),0,VLOOKUP(H442,#REF!,9,0)*I442)/3600</f>
        <v>0</v>
      </c>
    </row>
    <row r="443" spans="2:10" x14ac:dyDescent="0.3">
      <c r="B443" s="121">
        <f t="shared" si="13"/>
        <v>0</v>
      </c>
      <c r="C443" s="122">
        <f t="shared" si="14"/>
        <v>0</v>
      </c>
      <c r="D443" s="123"/>
      <c r="E443" s="125"/>
      <c r="F443" s="125"/>
      <c r="G443" s="125"/>
      <c r="H443" s="126"/>
      <c r="I443" s="127"/>
      <c r="J443" s="118">
        <f>IF(ISERROR(VLOOKUP(H443,#REF!,9,0)),0,VLOOKUP(H443,#REF!,9,0)*I443)/3600</f>
        <v>0</v>
      </c>
    </row>
    <row r="444" spans="2:10" x14ac:dyDescent="0.3">
      <c r="B444" s="121">
        <f t="shared" si="13"/>
        <v>0</v>
      </c>
      <c r="C444" s="122">
        <f t="shared" si="14"/>
        <v>0</v>
      </c>
      <c r="D444" s="123"/>
      <c r="E444" s="124"/>
      <c r="F444" s="125"/>
      <c r="G444" s="125"/>
      <c r="H444" s="126"/>
      <c r="I444" s="127"/>
      <c r="J444" s="118">
        <f>IF(ISERROR(VLOOKUP(H444,#REF!,9,0)),0,VLOOKUP(H444,#REF!,9,0)*I444)/3600</f>
        <v>0</v>
      </c>
    </row>
    <row r="445" spans="2:10" x14ac:dyDescent="0.3">
      <c r="B445" s="121">
        <f t="shared" si="13"/>
        <v>0</v>
      </c>
      <c r="C445" s="122">
        <f t="shared" si="14"/>
        <v>0</v>
      </c>
      <c r="D445" s="123"/>
      <c r="E445" s="125"/>
      <c r="F445" s="125"/>
      <c r="G445" s="125"/>
      <c r="H445" s="126"/>
      <c r="I445" s="127"/>
      <c r="J445" s="118">
        <f>IF(ISERROR(VLOOKUP(H445,#REF!,9,0)),0,VLOOKUP(H445,#REF!,9,0)*I445)/3600</f>
        <v>0</v>
      </c>
    </row>
    <row r="446" spans="2:10" x14ac:dyDescent="0.3">
      <c r="B446" s="121">
        <f t="shared" si="13"/>
        <v>0</v>
      </c>
      <c r="C446" s="122">
        <f t="shared" si="14"/>
        <v>0</v>
      </c>
      <c r="D446" s="123"/>
      <c r="E446" s="124"/>
      <c r="F446" s="125"/>
      <c r="G446" s="125"/>
      <c r="H446" s="126"/>
      <c r="I446" s="127"/>
      <c r="J446" s="118">
        <f>IF(ISERROR(VLOOKUP(H446,#REF!,9,0)),0,VLOOKUP(H446,#REF!,9,0)*I446)/3600</f>
        <v>0</v>
      </c>
    </row>
    <row r="447" spans="2:10" x14ac:dyDescent="0.3">
      <c r="B447" s="121">
        <f t="shared" si="13"/>
        <v>0</v>
      </c>
      <c r="C447" s="122">
        <f t="shared" si="14"/>
        <v>0</v>
      </c>
      <c r="D447" s="123"/>
      <c r="E447" s="125"/>
      <c r="F447" s="125"/>
      <c r="G447" s="125"/>
      <c r="H447" s="126"/>
      <c r="I447" s="127"/>
      <c r="J447" s="118">
        <f>IF(ISERROR(VLOOKUP(H447,#REF!,9,0)),0,VLOOKUP(H447,#REF!,9,0)*I447)/3600</f>
        <v>0</v>
      </c>
    </row>
    <row r="448" spans="2:10" x14ac:dyDescent="0.3">
      <c r="B448" s="121">
        <f t="shared" si="13"/>
        <v>0</v>
      </c>
      <c r="C448" s="122">
        <f t="shared" si="14"/>
        <v>0</v>
      </c>
      <c r="D448" s="123"/>
      <c r="E448" s="124"/>
      <c r="F448" s="125"/>
      <c r="G448" s="125"/>
      <c r="H448" s="126"/>
      <c r="I448" s="127"/>
      <c r="J448" s="118">
        <f>IF(ISERROR(VLOOKUP(H448,#REF!,9,0)),0,VLOOKUP(H448,#REF!,9,0)*I448)/3600</f>
        <v>0</v>
      </c>
    </row>
    <row r="449" spans="2:10" x14ac:dyDescent="0.3">
      <c r="B449" s="121">
        <f t="shared" si="13"/>
        <v>0</v>
      </c>
      <c r="C449" s="122">
        <f t="shared" si="14"/>
        <v>0</v>
      </c>
      <c r="D449" s="123"/>
      <c r="E449" s="125"/>
      <c r="F449" s="125"/>
      <c r="G449" s="125"/>
      <c r="H449" s="126"/>
      <c r="I449" s="127"/>
      <c r="J449" s="118">
        <f>IF(ISERROR(VLOOKUP(H449,#REF!,9,0)),0,VLOOKUP(H449,#REF!,9,0)*I449)/3600</f>
        <v>0</v>
      </c>
    </row>
    <row r="450" spans="2:10" x14ac:dyDescent="0.3">
      <c r="B450" s="121">
        <f t="shared" si="13"/>
        <v>0</v>
      </c>
      <c r="C450" s="122">
        <f t="shared" si="14"/>
        <v>0</v>
      </c>
      <c r="D450" s="123"/>
      <c r="E450" s="124"/>
      <c r="F450" s="125"/>
      <c r="G450" s="125"/>
      <c r="H450" s="126"/>
      <c r="I450" s="127"/>
      <c r="J450" s="118">
        <f>IF(ISERROR(VLOOKUP(H450,#REF!,9,0)),0,VLOOKUP(H450,#REF!,9,0)*I450)/3600</f>
        <v>0</v>
      </c>
    </row>
    <row r="451" spans="2:10" x14ac:dyDescent="0.3">
      <c r="B451" s="121">
        <f t="shared" si="13"/>
        <v>0</v>
      </c>
      <c r="C451" s="122">
        <f t="shared" si="14"/>
        <v>0</v>
      </c>
      <c r="D451" s="123"/>
      <c r="E451" s="125"/>
      <c r="F451" s="125"/>
      <c r="G451" s="125"/>
      <c r="H451" s="126"/>
      <c r="I451" s="127"/>
      <c r="J451" s="118">
        <f>IF(ISERROR(VLOOKUP(H451,#REF!,9,0)),0,VLOOKUP(H451,#REF!,9,0)*I451)/3600</f>
        <v>0</v>
      </c>
    </row>
    <row r="452" spans="2:10" x14ac:dyDescent="0.3">
      <c r="B452" s="121">
        <f t="shared" si="13"/>
        <v>0</v>
      </c>
      <c r="C452" s="122">
        <f t="shared" si="14"/>
        <v>0</v>
      </c>
      <c r="D452" s="123"/>
      <c r="E452" s="124"/>
      <c r="F452" s="125"/>
      <c r="G452" s="125"/>
      <c r="H452" s="126"/>
      <c r="I452" s="127"/>
      <c r="J452" s="118">
        <f>IF(ISERROR(VLOOKUP(H452,#REF!,9,0)),0,VLOOKUP(H452,#REF!,9,0)*I452)/3600</f>
        <v>0</v>
      </c>
    </row>
    <row r="453" spans="2:10" x14ac:dyDescent="0.3">
      <c r="B453" s="121">
        <f t="shared" si="13"/>
        <v>0</v>
      </c>
      <c r="C453" s="122">
        <f t="shared" si="14"/>
        <v>0</v>
      </c>
      <c r="D453" s="123"/>
      <c r="E453" s="125"/>
      <c r="F453" s="125"/>
      <c r="G453" s="125"/>
      <c r="H453" s="126"/>
      <c r="I453" s="127"/>
      <c r="J453" s="118">
        <f>IF(ISERROR(VLOOKUP(H453,#REF!,9,0)),0,VLOOKUP(H453,#REF!,9,0)*I453)/3600</f>
        <v>0</v>
      </c>
    </row>
    <row r="454" spans="2:10" x14ac:dyDescent="0.3">
      <c r="B454" s="121">
        <f t="shared" ref="B454:B517" si="15">IF(D454&gt;0,YEAR(D454),0)</f>
        <v>0</v>
      </c>
      <c r="C454" s="122">
        <f t="shared" ref="C454:C517" si="16">IF(D454&gt;0,MONTH(D454),0)</f>
        <v>0</v>
      </c>
      <c r="D454" s="123"/>
      <c r="E454" s="124"/>
      <c r="F454" s="125"/>
      <c r="G454" s="125"/>
      <c r="H454" s="126"/>
      <c r="I454" s="127"/>
      <c r="J454" s="118">
        <f>IF(ISERROR(VLOOKUP(H454,#REF!,9,0)),0,VLOOKUP(H454,#REF!,9,0)*I454)/3600</f>
        <v>0</v>
      </c>
    </row>
    <row r="455" spans="2:10" x14ac:dyDescent="0.3">
      <c r="B455" s="121">
        <f t="shared" si="15"/>
        <v>0</v>
      </c>
      <c r="C455" s="122">
        <f t="shared" si="16"/>
        <v>0</v>
      </c>
      <c r="D455" s="123"/>
      <c r="E455" s="125"/>
      <c r="F455" s="125"/>
      <c r="G455" s="125"/>
      <c r="H455" s="126"/>
      <c r="I455" s="127"/>
      <c r="J455" s="118">
        <f>IF(ISERROR(VLOOKUP(H455,#REF!,9,0)),0,VLOOKUP(H455,#REF!,9,0)*I455)/3600</f>
        <v>0</v>
      </c>
    </row>
    <row r="456" spans="2:10" x14ac:dyDescent="0.3">
      <c r="B456" s="121">
        <f t="shared" si="15"/>
        <v>0</v>
      </c>
      <c r="C456" s="122">
        <f t="shared" si="16"/>
        <v>0</v>
      </c>
      <c r="D456" s="123"/>
      <c r="E456" s="124"/>
      <c r="F456" s="125"/>
      <c r="G456" s="125"/>
      <c r="H456" s="126"/>
      <c r="I456" s="127"/>
      <c r="J456" s="118">
        <f>IF(ISERROR(VLOOKUP(H456,#REF!,9,0)),0,VLOOKUP(H456,#REF!,9,0)*I456)/3600</f>
        <v>0</v>
      </c>
    </row>
    <row r="457" spans="2:10" x14ac:dyDescent="0.3">
      <c r="B457" s="121">
        <f t="shared" si="15"/>
        <v>0</v>
      </c>
      <c r="C457" s="122">
        <f t="shared" si="16"/>
        <v>0</v>
      </c>
      <c r="D457" s="123"/>
      <c r="E457" s="125"/>
      <c r="F457" s="125"/>
      <c r="G457" s="125"/>
      <c r="H457" s="126"/>
      <c r="I457" s="127"/>
      <c r="J457" s="118">
        <f>IF(ISERROR(VLOOKUP(H457,#REF!,9,0)),0,VLOOKUP(H457,#REF!,9,0)*I457)/3600</f>
        <v>0</v>
      </c>
    </row>
    <row r="458" spans="2:10" x14ac:dyDescent="0.3">
      <c r="B458" s="121">
        <f t="shared" si="15"/>
        <v>0</v>
      </c>
      <c r="C458" s="122">
        <f t="shared" si="16"/>
        <v>0</v>
      </c>
      <c r="D458" s="123"/>
      <c r="E458" s="124"/>
      <c r="F458" s="125"/>
      <c r="G458" s="125"/>
      <c r="H458" s="126"/>
      <c r="I458" s="127"/>
      <c r="J458" s="118">
        <f>IF(ISERROR(VLOOKUP(H458,#REF!,9,0)),0,VLOOKUP(H458,#REF!,9,0)*I458)/3600</f>
        <v>0</v>
      </c>
    </row>
    <row r="459" spans="2:10" x14ac:dyDescent="0.3">
      <c r="B459" s="121">
        <f t="shared" si="15"/>
        <v>0</v>
      </c>
      <c r="C459" s="122">
        <f t="shared" si="16"/>
        <v>0</v>
      </c>
      <c r="D459" s="123"/>
      <c r="E459" s="125"/>
      <c r="F459" s="125"/>
      <c r="G459" s="125"/>
      <c r="H459" s="126"/>
      <c r="I459" s="127"/>
      <c r="J459" s="118">
        <f>IF(ISERROR(VLOOKUP(H459,#REF!,9,0)),0,VLOOKUP(H459,#REF!,9,0)*I459)/3600</f>
        <v>0</v>
      </c>
    </row>
    <row r="460" spans="2:10" x14ac:dyDescent="0.3">
      <c r="B460" s="121">
        <f t="shared" si="15"/>
        <v>0</v>
      </c>
      <c r="C460" s="122">
        <f t="shared" si="16"/>
        <v>0</v>
      </c>
      <c r="D460" s="123"/>
      <c r="E460" s="124"/>
      <c r="F460" s="125"/>
      <c r="G460" s="125"/>
      <c r="H460" s="126"/>
      <c r="I460" s="127"/>
      <c r="J460" s="118">
        <f>IF(ISERROR(VLOOKUP(H460,#REF!,9,0)),0,VLOOKUP(H460,#REF!,9,0)*I460)/3600</f>
        <v>0</v>
      </c>
    </row>
    <row r="461" spans="2:10" x14ac:dyDescent="0.3">
      <c r="B461" s="121">
        <f t="shared" si="15"/>
        <v>0</v>
      </c>
      <c r="C461" s="122">
        <f t="shared" si="16"/>
        <v>0</v>
      </c>
      <c r="D461" s="123"/>
      <c r="E461" s="125"/>
      <c r="F461" s="125"/>
      <c r="G461" s="125"/>
      <c r="H461" s="126"/>
      <c r="I461" s="127"/>
      <c r="J461" s="118">
        <f>IF(ISERROR(VLOOKUP(H461,#REF!,9,0)),0,VLOOKUP(H461,#REF!,9,0)*I461)/3600</f>
        <v>0</v>
      </c>
    </row>
    <row r="462" spans="2:10" x14ac:dyDescent="0.3">
      <c r="B462" s="121">
        <f t="shared" si="15"/>
        <v>0</v>
      </c>
      <c r="C462" s="122">
        <f t="shared" si="16"/>
        <v>0</v>
      </c>
      <c r="D462" s="123"/>
      <c r="E462" s="124"/>
      <c r="F462" s="125"/>
      <c r="G462" s="125"/>
      <c r="H462" s="126"/>
      <c r="I462" s="127"/>
      <c r="J462" s="118">
        <f>IF(ISERROR(VLOOKUP(H462,#REF!,9,0)),0,VLOOKUP(H462,#REF!,9,0)*I462)/3600</f>
        <v>0</v>
      </c>
    </row>
    <row r="463" spans="2:10" x14ac:dyDescent="0.3">
      <c r="B463" s="121">
        <f t="shared" si="15"/>
        <v>0</v>
      </c>
      <c r="C463" s="122">
        <f t="shared" si="16"/>
        <v>0</v>
      </c>
      <c r="D463" s="123"/>
      <c r="E463" s="125"/>
      <c r="F463" s="125"/>
      <c r="G463" s="125"/>
      <c r="H463" s="126"/>
      <c r="I463" s="127"/>
      <c r="J463" s="118">
        <f>IF(ISERROR(VLOOKUP(H463,#REF!,9,0)),0,VLOOKUP(H463,#REF!,9,0)*I463)/3600</f>
        <v>0</v>
      </c>
    </row>
    <row r="464" spans="2:10" x14ac:dyDescent="0.3">
      <c r="B464" s="121">
        <f t="shared" si="15"/>
        <v>0</v>
      </c>
      <c r="C464" s="122">
        <f t="shared" si="16"/>
        <v>0</v>
      </c>
      <c r="D464" s="123"/>
      <c r="E464" s="124"/>
      <c r="F464" s="125"/>
      <c r="G464" s="125"/>
      <c r="H464" s="126"/>
      <c r="I464" s="127"/>
      <c r="J464" s="118">
        <f>IF(ISERROR(VLOOKUP(H464,#REF!,9,0)),0,VLOOKUP(H464,#REF!,9,0)*I464)/3600</f>
        <v>0</v>
      </c>
    </row>
    <row r="465" spans="2:10" x14ac:dyDescent="0.3">
      <c r="B465" s="121">
        <f t="shared" si="15"/>
        <v>0</v>
      </c>
      <c r="C465" s="122">
        <f t="shared" si="16"/>
        <v>0</v>
      </c>
      <c r="D465" s="123"/>
      <c r="E465" s="125"/>
      <c r="F465" s="125"/>
      <c r="G465" s="125"/>
      <c r="H465" s="126"/>
      <c r="I465" s="127"/>
      <c r="J465" s="118">
        <f>IF(ISERROR(VLOOKUP(H465,#REF!,9,0)),0,VLOOKUP(H465,#REF!,9,0)*I465)/3600</f>
        <v>0</v>
      </c>
    </row>
    <row r="466" spans="2:10" x14ac:dyDescent="0.3">
      <c r="B466" s="121">
        <f t="shared" si="15"/>
        <v>0</v>
      </c>
      <c r="C466" s="122">
        <f t="shared" si="16"/>
        <v>0</v>
      </c>
      <c r="D466" s="123"/>
      <c r="E466" s="124"/>
      <c r="F466" s="125"/>
      <c r="G466" s="125"/>
      <c r="H466" s="126"/>
      <c r="I466" s="127"/>
      <c r="J466" s="118">
        <f>IF(ISERROR(VLOOKUP(H466,#REF!,9,0)),0,VLOOKUP(H466,#REF!,9,0)*I466)/3600</f>
        <v>0</v>
      </c>
    </row>
    <row r="467" spans="2:10" x14ac:dyDescent="0.3">
      <c r="B467" s="121">
        <f t="shared" si="15"/>
        <v>0</v>
      </c>
      <c r="C467" s="122">
        <f t="shared" si="16"/>
        <v>0</v>
      </c>
      <c r="D467" s="123"/>
      <c r="E467" s="125"/>
      <c r="F467" s="125"/>
      <c r="G467" s="125"/>
      <c r="H467" s="126"/>
      <c r="I467" s="127"/>
      <c r="J467" s="118">
        <f>IF(ISERROR(VLOOKUP(H467,#REF!,9,0)),0,VLOOKUP(H467,#REF!,9,0)*I467)/3600</f>
        <v>0</v>
      </c>
    </row>
    <row r="468" spans="2:10" x14ac:dyDescent="0.3">
      <c r="B468" s="121">
        <f t="shared" si="15"/>
        <v>0</v>
      </c>
      <c r="C468" s="122">
        <f t="shared" si="16"/>
        <v>0</v>
      </c>
      <c r="D468" s="123"/>
      <c r="E468" s="124"/>
      <c r="F468" s="125"/>
      <c r="G468" s="125"/>
      <c r="H468" s="126"/>
      <c r="I468" s="127"/>
      <c r="J468" s="118">
        <f>IF(ISERROR(VLOOKUP(H468,#REF!,9,0)),0,VLOOKUP(H468,#REF!,9,0)*I468)/3600</f>
        <v>0</v>
      </c>
    </row>
    <row r="469" spans="2:10" x14ac:dyDescent="0.3">
      <c r="B469" s="121">
        <f t="shared" si="15"/>
        <v>0</v>
      </c>
      <c r="C469" s="122">
        <f t="shared" si="16"/>
        <v>0</v>
      </c>
      <c r="D469" s="123"/>
      <c r="E469" s="125"/>
      <c r="F469" s="125"/>
      <c r="G469" s="125"/>
      <c r="H469" s="126"/>
      <c r="I469" s="127"/>
      <c r="J469" s="118">
        <f>IF(ISERROR(VLOOKUP(H469,#REF!,9,0)),0,VLOOKUP(H469,#REF!,9,0)*I469)/3600</f>
        <v>0</v>
      </c>
    </row>
    <row r="470" spans="2:10" x14ac:dyDescent="0.3">
      <c r="B470" s="121">
        <f t="shared" si="15"/>
        <v>0</v>
      </c>
      <c r="C470" s="122">
        <f t="shared" si="16"/>
        <v>0</v>
      </c>
      <c r="D470" s="123"/>
      <c r="E470" s="124"/>
      <c r="F470" s="125"/>
      <c r="G470" s="125"/>
      <c r="H470" s="126"/>
      <c r="I470" s="127"/>
      <c r="J470" s="118">
        <f>IF(ISERROR(VLOOKUP(H470,#REF!,9,0)),0,VLOOKUP(H470,#REF!,9,0)*I470)/3600</f>
        <v>0</v>
      </c>
    </row>
    <row r="471" spans="2:10" x14ac:dyDescent="0.3">
      <c r="B471" s="121">
        <f t="shared" si="15"/>
        <v>0</v>
      </c>
      <c r="C471" s="122">
        <f t="shared" si="16"/>
        <v>0</v>
      </c>
      <c r="D471" s="123"/>
      <c r="E471" s="125"/>
      <c r="F471" s="125"/>
      <c r="G471" s="125"/>
      <c r="H471" s="126"/>
      <c r="I471" s="127"/>
      <c r="J471" s="118">
        <f>IF(ISERROR(VLOOKUP(H471,#REF!,9,0)),0,VLOOKUP(H471,#REF!,9,0)*I471)/3600</f>
        <v>0</v>
      </c>
    </row>
    <row r="472" spans="2:10" x14ac:dyDescent="0.3">
      <c r="B472" s="121">
        <f t="shared" si="15"/>
        <v>0</v>
      </c>
      <c r="C472" s="122">
        <f t="shared" si="16"/>
        <v>0</v>
      </c>
      <c r="D472" s="123"/>
      <c r="E472" s="124"/>
      <c r="F472" s="125"/>
      <c r="G472" s="125"/>
      <c r="H472" s="126"/>
      <c r="I472" s="127"/>
      <c r="J472" s="118">
        <f>IF(ISERROR(VLOOKUP(H472,#REF!,9,0)),0,VLOOKUP(H472,#REF!,9,0)*I472)/3600</f>
        <v>0</v>
      </c>
    </row>
    <row r="473" spans="2:10" x14ac:dyDescent="0.3">
      <c r="B473" s="121">
        <f t="shared" si="15"/>
        <v>0</v>
      </c>
      <c r="C473" s="122">
        <f t="shared" si="16"/>
        <v>0</v>
      </c>
      <c r="D473" s="123"/>
      <c r="E473" s="125"/>
      <c r="F473" s="125"/>
      <c r="G473" s="125"/>
      <c r="H473" s="126"/>
      <c r="I473" s="127"/>
      <c r="J473" s="118">
        <f>IF(ISERROR(VLOOKUP(H473,#REF!,9,0)),0,VLOOKUP(H473,#REF!,9,0)*I473)/3600</f>
        <v>0</v>
      </c>
    </row>
    <row r="474" spans="2:10" x14ac:dyDescent="0.3">
      <c r="B474" s="121">
        <f t="shared" si="15"/>
        <v>0</v>
      </c>
      <c r="C474" s="122">
        <f t="shared" si="16"/>
        <v>0</v>
      </c>
      <c r="D474" s="123"/>
      <c r="E474" s="124"/>
      <c r="F474" s="125"/>
      <c r="G474" s="125"/>
      <c r="H474" s="126"/>
      <c r="I474" s="127"/>
      <c r="J474" s="118">
        <f>IF(ISERROR(VLOOKUP(H474,#REF!,9,0)),0,VLOOKUP(H474,#REF!,9,0)*I474)/3600</f>
        <v>0</v>
      </c>
    </row>
    <row r="475" spans="2:10" x14ac:dyDescent="0.3">
      <c r="B475" s="121">
        <f t="shared" si="15"/>
        <v>0</v>
      </c>
      <c r="C475" s="122">
        <f t="shared" si="16"/>
        <v>0</v>
      </c>
      <c r="D475" s="123"/>
      <c r="E475" s="125"/>
      <c r="F475" s="125"/>
      <c r="G475" s="125"/>
      <c r="H475" s="126"/>
      <c r="I475" s="127"/>
      <c r="J475" s="118">
        <f>IF(ISERROR(VLOOKUP(H475,#REF!,9,0)),0,VLOOKUP(H475,#REF!,9,0)*I475)/3600</f>
        <v>0</v>
      </c>
    </row>
    <row r="476" spans="2:10" x14ac:dyDescent="0.3">
      <c r="B476" s="121">
        <f t="shared" si="15"/>
        <v>0</v>
      </c>
      <c r="C476" s="122">
        <f t="shared" si="16"/>
        <v>0</v>
      </c>
      <c r="D476" s="123"/>
      <c r="E476" s="124"/>
      <c r="F476" s="125"/>
      <c r="G476" s="125"/>
      <c r="H476" s="126"/>
      <c r="I476" s="127"/>
      <c r="J476" s="118">
        <f>IF(ISERROR(VLOOKUP(H476,#REF!,9,0)),0,VLOOKUP(H476,#REF!,9,0)*I476)/3600</f>
        <v>0</v>
      </c>
    </row>
    <row r="477" spans="2:10" x14ac:dyDescent="0.3">
      <c r="B477" s="121">
        <f t="shared" si="15"/>
        <v>0</v>
      </c>
      <c r="C477" s="122">
        <f t="shared" si="16"/>
        <v>0</v>
      </c>
      <c r="D477" s="123"/>
      <c r="E477" s="125"/>
      <c r="F477" s="125"/>
      <c r="G477" s="125"/>
      <c r="H477" s="126"/>
      <c r="I477" s="127"/>
      <c r="J477" s="118">
        <f>IF(ISERROR(VLOOKUP(H477,#REF!,9,0)),0,VLOOKUP(H477,#REF!,9,0)*I477)/3600</f>
        <v>0</v>
      </c>
    </row>
    <row r="478" spans="2:10" x14ac:dyDescent="0.3">
      <c r="B478" s="121">
        <f t="shared" si="15"/>
        <v>0</v>
      </c>
      <c r="C478" s="122">
        <f t="shared" si="16"/>
        <v>0</v>
      </c>
      <c r="D478" s="123"/>
      <c r="E478" s="124"/>
      <c r="F478" s="125"/>
      <c r="G478" s="125"/>
      <c r="H478" s="126"/>
      <c r="I478" s="127"/>
      <c r="J478" s="118">
        <f>IF(ISERROR(VLOOKUP(H478,#REF!,9,0)),0,VLOOKUP(H478,#REF!,9,0)*I478)/3600</f>
        <v>0</v>
      </c>
    </row>
    <row r="479" spans="2:10" x14ac:dyDescent="0.3">
      <c r="B479" s="121">
        <f t="shared" si="15"/>
        <v>0</v>
      </c>
      <c r="C479" s="122">
        <f t="shared" si="16"/>
        <v>0</v>
      </c>
      <c r="D479" s="123"/>
      <c r="E479" s="125"/>
      <c r="F479" s="125"/>
      <c r="G479" s="125"/>
      <c r="H479" s="126"/>
      <c r="I479" s="127"/>
      <c r="J479" s="118">
        <f>IF(ISERROR(VLOOKUP(H479,#REF!,9,0)),0,VLOOKUP(H479,#REF!,9,0)*I479)/3600</f>
        <v>0</v>
      </c>
    </row>
    <row r="480" spans="2:10" x14ac:dyDescent="0.3">
      <c r="B480" s="121">
        <f t="shared" si="15"/>
        <v>0</v>
      </c>
      <c r="C480" s="122">
        <f t="shared" si="16"/>
        <v>0</v>
      </c>
      <c r="D480" s="123"/>
      <c r="E480" s="124"/>
      <c r="F480" s="125"/>
      <c r="G480" s="125"/>
      <c r="H480" s="126"/>
      <c r="I480" s="127"/>
      <c r="J480" s="118">
        <f>IF(ISERROR(VLOOKUP(H480,#REF!,9,0)),0,VLOOKUP(H480,#REF!,9,0)*I480)/3600</f>
        <v>0</v>
      </c>
    </row>
    <row r="481" spans="2:10" x14ac:dyDescent="0.3">
      <c r="B481" s="121">
        <f t="shared" si="15"/>
        <v>0</v>
      </c>
      <c r="C481" s="122">
        <f t="shared" si="16"/>
        <v>0</v>
      </c>
      <c r="D481" s="123"/>
      <c r="E481" s="125"/>
      <c r="F481" s="125"/>
      <c r="G481" s="125"/>
      <c r="H481" s="126"/>
      <c r="I481" s="127"/>
      <c r="J481" s="118">
        <f>IF(ISERROR(VLOOKUP(H481,#REF!,9,0)),0,VLOOKUP(H481,#REF!,9,0)*I481)/3600</f>
        <v>0</v>
      </c>
    </row>
    <row r="482" spans="2:10" x14ac:dyDescent="0.3">
      <c r="B482" s="121">
        <f t="shared" si="15"/>
        <v>0</v>
      </c>
      <c r="C482" s="122">
        <f t="shared" si="16"/>
        <v>0</v>
      </c>
      <c r="D482" s="123"/>
      <c r="E482" s="124"/>
      <c r="F482" s="125"/>
      <c r="G482" s="125"/>
      <c r="H482" s="126"/>
      <c r="I482" s="127"/>
      <c r="J482" s="118">
        <f>IF(ISERROR(VLOOKUP(H482,#REF!,9,0)),0,VLOOKUP(H482,#REF!,9,0)*I482)/3600</f>
        <v>0</v>
      </c>
    </row>
    <row r="483" spans="2:10" x14ac:dyDescent="0.3">
      <c r="B483" s="121">
        <f t="shared" si="15"/>
        <v>0</v>
      </c>
      <c r="C483" s="122">
        <f t="shared" si="16"/>
        <v>0</v>
      </c>
      <c r="D483" s="123"/>
      <c r="E483" s="125"/>
      <c r="F483" s="125"/>
      <c r="G483" s="125"/>
      <c r="H483" s="126"/>
      <c r="I483" s="127"/>
      <c r="J483" s="118">
        <f>IF(ISERROR(VLOOKUP(H483,#REF!,9,0)),0,VLOOKUP(H483,#REF!,9,0)*I483)/3600</f>
        <v>0</v>
      </c>
    </row>
    <row r="484" spans="2:10" x14ac:dyDescent="0.3">
      <c r="B484" s="121">
        <f t="shared" si="15"/>
        <v>0</v>
      </c>
      <c r="C484" s="122">
        <f t="shared" si="16"/>
        <v>0</v>
      </c>
      <c r="D484" s="123"/>
      <c r="E484" s="124"/>
      <c r="F484" s="125"/>
      <c r="G484" s="125"/>
      <c r="H484" s="126"/>
      <c r="I484" s="127"/>
      <c r="J484" s="118">
        <f>IF(ISERROR(VLOOKUP(H484,#REF!,9,0)),0,VLOOKUP(H484,#REF!,9,0)*I484)/3600</f>
        <v>0</v>
      </c>
    </row>
    <row r="485" spans="2:10" x14ac:dyDescent="0.3">
      <c r="B485" s="121">
        <f t="shared" si="15"/>
        <v>0</v>
      </c>
      <c r="C485" s="122">
        <f t="shared" si="16"/>
        <v>0</v>
      </c>
      <c r="D485" s="123"/>
      <c r="E485" s="125"/>
      <c r="F485" s="125"/>
      <c r="G485" s="125"/>
      <c r="H485" s="126"/>
      <c r="I485" s="127"/>
      <c r="J485" s="118">
        <f>IF(ISERROR(VLOOKUP(H485,#REF!,9,0)),0,VLOOKUP(H485,#REF!,9,0)*I485)/3600</f>
        <v>0</v>
      </c>
    </row>
    <row r="486" spans="2:10" x14ac:dyDescent="0.3">
      <c r="B486" s="121">
        <f t="shared" si="15"/>
        <v>0</v>
      </c>
      <c r="C486" s="122">
        <f t="shared" si="16"/>
        <v>0</v>
      </c>
      <c r="D486" s="123"/>
      <c r="E486" s="124"/>
      <c r="F486" s="125"/>
      <c r="G486" s="125"/>
      <c r="H486" s="126"/>
      <c r="I486" s="127"/>
      <c r="J486" s="118">
        <f>IF(ISERROR(VLOOKUP(H486,#REF!,9,0)),0,VLOOKUP(H486,#REF!,9,0)*I486)/3600</f>
        <v>0</v>
      </c>
    </row>
    <row r="487" spans="2:10" x14ac:dyDescent="0.3">
      <c r="B487" s="121">
        <f t="shared" si="15"/>
        <v>0</v>
      </c>
      <c r="C487" s="122">
        <f t="shared" si="16"/>
        <v>0</v>
      </c>
      <c r="D487" s="123"/>
      <c r="E487" s="125"/>
      <c r="F487" s="125"/>
      <c r="G487" s="125"/>
      <c r="H487" s="126"/>
      <c r="I487" s="127"/>
      <c r="J487" s="118">
        <f>IF(ISERROR(VLOOKUP(H487,#REF!,9,0)),0,VLOOKUP(H487,#REF!,9,0)*I487)/3600</f>
        <v>0</v>
      </c>
    </row>
    <row r="488" spans="2:10" x14ac:dyDescent="0.3">
      <c r="B488" s="121">
        <f t="shared" si="15"/>
        <v>0</v>
      </c>
      <c r="C488" s="122">
        <f t="shared" si="16"/>
        <v>0</v>
      </c>
      <c r="D488" s="123"/>
      <c r="E488" s="124"/>
      <c r="F488" s="125"/>
      <c r="G488" s="125"/>
      <c r="H488" s="126"/>
      <c r="I488" s="127"/>
      <c r="J488" s="118">
        <f>IF(ISERROR(VLOOKUP(H488,#REF!,9,0)),0,VLOOKUP(H488,#REF!,9,0)*I488)/3600</f>
        <v>0</v>
      </c>
    </row>
    <row r="489" spans="2:10" x14ac:dyDescent="0.3">
      <c r="B489" s="121">
        <f t="shared" si="15"/>
        <v>0</v>
      </c>
      <c r="C489" s="122">
        <f t="shared" si="16"/>
        <v>0</v>
      </c>
      <c r="D489" s="123"/>
      <c r="E489" s="125"/>
      <c r="F489" s="125"/>
      <c r="G489" s="125"/>
      <c r="H489" s="126"/>
      <c r="I489" s="127"/>
      <c r="J489" s="118">
        <f>IF(ISERROR(VLOOKUP(H489,#REF!,9,0)),0,VLOOKUP(H489,#REF!,9,0)*I489)/3600</f>
        <v>0</v>
      </c>
    </row>
    <row r="490" spans="2:10" x14ac:dyDescent="0.3">
      <c r="B490" s="121">
        <f t="shared" si="15"/>
        <v>0</v>
      </c>
      <c r="C490" s="122">
        <f t="shared" si="16"/>
        <v>0</v>
      </c>
      <c r="D490" s="123"/>
      <c r="E490" s="124"/>
      <c r="F490" s="125"/>
      <c r="G490" s="125"/>
      <c r="H490" s="126"/>
      <c r="I490" s="127"/>
      <c r="J490" s="118">
        <f>IF(ISERROR(VLOOKUP(H490,#REF!,9,0)),0,VLOOKUP(H490,#REF!,9,0)*I490)/3600</f>
        <v>0</v>
      </c>
    </row>
    <row r="491" spans="2:10" x14ac:dyDescent="0.3">
      <c r="B491" s="121">
        <f t="shared" si="15"/>
        <v>0</v>
      </c>
      <c r="C491" s="122">
        <f t="shared" si="16"/>
        <v>0</v>
      </c>
      <c r="D491" s="123"/>
      <c r="E491" s="125"/>
      <c r="F491" s="125"/>
      <c r="G491" s="125"/>
      <c r="H491" s="126"/>
      <c r="I491" s="127"/>
      <c r="J491" s="118">
        <f>IF(ISERROR(VLOOKUP(H491,#REF!,9,0)),0,VLOOKUP(H491,#REF!,9,0)*I491)/3600</f>
        <v>0</v>
      </c>
    </row>
    <row r="492" spans="2:10" x14ac:dyDescent="0.3">
      <c r="B492" s="121">
        <f t="shared" si="15"/>
        <v>0</v>
      </c>
      <c r="C492" s="122">
        <f t="shared" si="16"/>
        <v>0</v>
      </c>
      <c r="D492" s="123"/>
      <c r="E492" s="124"/>
      <c r="F492" s="125"/>
      <c r="G492" s="125"/>
      <c r="H492" s="126"/>
      <c r="I492" s="127"/>
      <c r="J492" s="118">
        <f>IF(ISERROR(VLOOKUP(H492,#REF!,9,0)),0,VLOOKUP(H492,#REF!,9,0)*I492)/3600</f>
        <v>0</v>
      </c>
    </row>
    <row r="493" spans="2:10" x14ac:dyDescent="0.3">
      <c r="B493" s="121">
        <f t="shared" si="15"/>
        <v>0</v>
      </c>
      <c r="C493" s="122">
        <f t="shared" si="16"/>
        <v>0</v>
      </c>
      <c r="D493" s="123"/>
      <c r="E493" s="125"/>
      <c r="F493" s="125"/>
      <c r="G493" s="125"/>
      <c r="H493" s="126"/>
      <c r="I493" s="127"/>
      <c r="J493" s="118">
        <f>IF(ISERROR(VLOOKUP(H493,#REF!,9,0)),0,VLOOKUP(H493,#REF!,9,0)*I493)/3600</f>
        <v>0</v>
      </c>
    </row>
    <row r="494" spans="2:10" x14ac:dyDescent="0.3">
      <c r="B494" s="121">
        <f t="shared" si="15"/>
        <v>0</v>
      </c>
      <c r="C494" s="122">
        <f t="shared" si="16"/>
        <v>0</v>
      </c>
      <c r="D494" s="123"/>
      <c r="E494" s="124"/>
      <c r="F494" s="125"/>
      <c r="G494" s="125"/>
      <c r="H494" s="126"/>
      <c r="I494" s="127"/>
      <c r="J494" s="118">
        <f>IF(ISERROR(VLOOKUP(H494,#REF!,9,0)),0,VLOOKUP(H494,#REF!,9,0)*I494)/3600</f>
        <v>0</v>
      </c>
    </row>
    <row r="495" spans="2:10" x14ac:dyDescent="0.3">
      <c r="B495" s="121">
        <f t="shared" si="15"/>
        <v>0</v>
      </c>
      <c r="C495" s="122">
        <f t="shared" si="16"/>
        <v>0</v>
      </c>
      <c r="D495" s="123"/>
      <c r="E495" s="125"/>
      <c r="F495" s="125"/>
      <c r="G495" s="125"/>
      <c r="H495" s="126"/>
      <c r="I495" s="127"/>
      <c r="J495" s="118">
        <f>IF(ISERROR(VLOOKUP(H495,#REF!,9,0)),0,VLOOKUP(H495,#REF!,9,0)*I495)/3600</f>
        <v>0</v>
      </c>
    </row>
    <row r="496" spans="2:10" x14ac:dyDescent="0.3">
      <c r="B496" s="121">
        <f t="shared" si="15"/>
        <v>0</v>
      </c>
      <c r="C496" s="122">
        <f t="shared" si="16"/>
        <v>0</v>
      </c>
      <c r="D496" s="123"/>
      <c r="E496" s="124"/>
      <c r="F496" s="125"/>
      <c r="G496" s="125"/>
      <c r="H496" s="126"/>
      <c r="I496" s="127"/>
      <c r="J496" s="118">
        <f>IF(ISERROR(VLOOKUP(H496,#REF!,9,0)),0,VLOOKUP(H496,#REF!,9,0)*I496)/3600</f>
        <v>0</v>
      </c>
    </row>
    <row r="497" spans="2:10" x14ac:dyDescent="0.3">
      <c r="B497" s="121">
        <f t="shared" si="15"/>
        <v>0</v>
      </c>
      <c r="C497" s="122">
        <f t="shared" si="16"/>
        <v>0</v>
      </c>
      <c r="D497" s="123"/>
      <c r="E497" s="125"/>
      <c r="F497" s="125"/>
      <c r="G497" s="125"/>
      <c r="H497" s="126"/>
      <c r="I497" s="127"/>
      <c r="J497" s="118">
        <f>IF(ISERROR(VLOOKUP(H497,#REF!,9,0)),0,VLOOKUP(H497,#REF!,9,0)*I497)/3600</f>
        <v>0</v>
      </c>
    </row>
    <row r="498" spans="2:10" x14ac:dyDescent="0.3">
      <c r="B498" s="121">
        <f t="shared" si="15"/>
        <v>0</v>
      </c>
      <c r="C498" s="122">
        <f t="shared" si="16"/>
        <v>0</v>
      </c>
      <c r="D498" s="123"/>
      <c r="E498" s="124"/>
      <c r="F498" s="125"/>
      <c r="G498" s="125"/>
      <c r="H498" s="126"/>
      <c r="I498" s="127"/>
      <c r="J498" s="118">
        <f>IF(ISERROR(VLOOKUP(H498,#REF!,9,0)),0,VLOOKUP(H498,#REF!,9,0)*I498)/3600</f>
        <v>0</v>
      </c>
    </row>
    <row r="499" spans="2:10" x14ac:dyDescent="0.3">
      <c r="B499" s="121">
        <f t="shared" si="15"/>
        <v>0</v>
      </c>
      <c r="C499" s="122">
        <f t="shared" si="16"/>
        <v>0</v>
      </c>
      <c r="D499" s="123"/>
      <c r="E499" s="125"/>
      <c r="F499" s="125"/>
      <c r="G499" s="125"/>
      <c r="H499" s="126"/>
      <c r="I499" s="127"/>
      <c r="J499" s="118">
        <f>IF(ISERROR(VLOOKUP(H499,#REF!,9,0)),0,VLOOKUP(H499,#REF!,9,0)*I499)/3600</f>
        <v>0</v>
      </c>
    </row>
    <row r="500" spans="2:10" x14ac:dyDescent="0.3">
      <c r="B500" s="121">
        <f t="shared" si="15"/>
        <v>0</v>
      </c>
      <c r="C500" s="122">
        <f t="shared" si="16"/>
        <v>0</v>
      </c>
      <c r="D500" s="123"/>
      <c r="E500" s="124"/>
      <c r="F500" s="125"/>
      <c r="G500" s="125"/>
      <c r="H500" s="126"/>
      <c r="I500" s="127"/>
      <c r="J500" s="118">
        <f>IF(ISERROR(VLOOKUP(H500,#REF!,9,0)),0,VLOOKUP(H500,#REF!,9,0)*I500)/3600</f>
        <v>0</v>
      </c>
    </row>
    <row r="501" spans="2:10" x14ac:dyDescent="0.3">
      <c r="B501" s="121">
        <f t="shared" si="15"/>
        <v>0</v>
      </c>
      <c r="C501" s="122">
        <f t="shared" si="16"/>
        <v>0</v>
      </c>
      <c r="D501" s="123"/>
      <c r="E501" s="125"/>
      <c r="F501" s="125"/>
      <c r="G501" s="125"/>
      <c r="H501" s="126"/>
      <c r="I501" s="127"/>
      <c r="J501" s="118">
        <f>IF(ISERROR(VLOOKUP(H501,#REF!,9,0)),0,VLOOKUP(H501,#REF!,9,0)*I501)/3600</f>
        <v>0</v>
      </c>
    </row>
    <row r="502" spans="2:10" x14ac:dyDescent="0.3">
      <c r="B502" s="121">
        <f t="shared" si="15"/>
        <v>0</v>
      </c>
      <c r="C502" s="122">
        <f t="shared" si="16"/>
        <v>0</v>
      </c>
      <c r="D502" s="123"/>
      <c r="E502" s="124"/>
      <c r="F502" s="125"/>
      <c r="G502" s="125"/>
      <c r="H502" s="126"/>
      <c r="I502" s="127"/>
      <c r="J502" s="118">
        <f>IF(ISERROR(VLOOKUP(H502,#REF!,9,0)),0,VLOOKUP(H502,#REF!,9,0)*I502)/3600</f>
        <v>0</v>
      </c>
    </row>
    <row r="503" spans="2:10" x14ac:dyDescent="0.3">
      <c r="B503" s="121">
        <f t="shared" si="15"/>
        <v>0</v>
      </c>
      <c r="C503" s="122">
        <f t="shared" si="16"/>
        <v>0</v>
      </c>
      <c r="D503" s="123"/>
      <c r="E503" s="125"/>
      <c r="F503" s="125"/>
      <c r="G503" s="125"/>
      <c r="H503" s="126"/>
      <c r="I503" s="127"/>
      <c r="J503" s="118">
        <f>IF(ISERROR(VLOOKUP(H503,#REF!,9,0)),0,VLOOKUP(H503,#REF!,9,0)*I503)/3600</f>
        <v>0</v>
      </c>
    </row>
    <row r="504" spans="2:10" x14ac:dyDescent="0.3">
      <c r="B504" s="121">
        <f t="shared" si="15"/>
        <v>0</v>
      </c>
      <c r="C504" s="122">
        <f t="shared" si="16"/>
        <v>0</v>
      </c>
      <c r="D504" s="123"/>
      <c r="E504" s="124"/>
      <c r="F504" s="125"/>
      <c r="G504" s="125"/>
      <c r="H504" s="126"/>
      <c r="I504" s="127"/>
      <c r="J504" s="118">
        <f>IF(ISERROR(VLOOKUP(H504,#REF!,9,0)),0,VLOOKUP(H504,#REF!,9,0)*I504)/3600</f>
        <v>0</v>
      </c>
    </row>
    <row r="505" spans="2:10" x14ac:dyDescent="0.3">
      <c r="B505" s="121">
        <f t="shared" si="15"/>
        <v>0</v>
      </c>
      <c r="C505" s="122">
        <f t="shared" si="16"/>
        <v>0</v>
      </c>
      <c r="D505" s="123"/>
      <c r="E505" s="125"/>
      <c r="F505" s="125"/>
      <c r="G505" s="125"/>
      <c r="H505" s="126"/>
      <c r="I505" s="127"/>
      <c r="J505" s="118">
        <f>IF(ISERROR(VLOOKUP(H505,#REF!,9,0)),0,VLOOKUP(H505,#REF!,9,0)*I505)/3600</f>
        <v>0</v>
      </c>
    </row>
    <row r="506" spans="2:10" x14ac:dyDescent="0.3">
      <c r="B506" s="121">
        <f t="shared" si="15"/>
        <v>0</v>
      </c>
      <c r="C506" s="122">
        <f t="shared" si="16"/>
        <v>0</v>
      </c>
      <c r="D506" s="123"/>
      <c r="E506" s="124"/>
      <c r="F506" s="125"/>
      <c r="G506" s="125"/>
      <c r="H506" s="126"/>
      <c r="I506" s="127"/>
      <c r="J506" s="118">
        <f>IF(ISERROR(VLOOKUP(H506,#REF!,9,0)),0,VLOOKUP(H506,#REF!,9,0)*I506)/3600</f>
        <v>0</v>
      </c>
    </row>
    <row r="507" spans="2:10" x14ac:dyDescent="0.3">
      <c r="B507" s="121">
        <f t="shared" si="15"/>
        <v>0</v>
      </c>
      <c r="C507" s="122">
        <f t="shared" si="16"/>
        <v>0</v>
      </c>
      <c r="D507" s="123"/>
      <c r="E507" s="125"/>
      <c r="F507" s="125"/>
      <c r="G507" s="125"/>
      <c r="H507" s="126"/>
      <c r="I507" s="127"/>
      <c r="J507" s="118">
        <f>IF(ISERROR(VLOOKUP(H507,#REF!,9,0)),0,VLOOKUP(H507,#REF!,9,0)*I507)/3600</f>
        <v>0</v>
      </c>
    </row>
    <row r="508" spans="2:10" x14ac:dyDescent="0.3">
      <c r="B508" s="121">
        <f t="shared" si="15"/>
        <v>0</v>
      </c>
      <c r="C508" s="122">
        <f t="shared" si="16"/>
        <v>0</v>
      </c>
      <c r="D508" s="123"/>
      <c r="E508" s="124"/>
      <c r="F508" s="125"/>
      <c r="G508" s="125"/>
      <c r="H508" s="126"/>
      <c r="I508" s="127"/>
      <c r="J508" s="118">
        <f>IF(ISERROR(VLOOKUP(H508,#REF!,9,0)),0,VLOOKUP(H508,#REF!,9,0)*I508)/3600</f>
        <v>0</v>
      </c>
    </row>
    <row r="509" spans="2:10" x14ac:dyDescent="0.3">
      <c r="B509" s="121">
        <f t="shared" si="15"/>
        <v>0</v>
      </c>
      <c r="C509" s="122">
        <f t="shared" si="16"/>
        <v>0</v>
      </c>
      <c r="D509" s="123"/>
      <c r="E509" s="125"/>
      <c r="F509" s="125"/>
      <c r="G509" s="125"/>
      <c r="H509" s="126"/>
      <c r="I509" s="127"/>
      <c r="J509" s="118">
        <f>IF(ISERROR(VLOOKUP(H509,#REF!,9,0)),0,VLOOKUP(H509,#REF!,9,0)*I509)/3600</f>
        <v>0</v>
      </c>
    </row>
    <row r="510" spans="2:10" x14ac:dyDescent="0.3">
      <c r="B510" s="121">
        <f t="shared" si="15"/>
        <v>0</v>
      </c>
      <c r="C510" s="122">
        <f t="shared" si="16"/>
        <v>0</v>
      </c>
      <c r="D510" s="123"/>
      <c r="E510" s="124"/>
      <c r="F510" s="125"/>
      <c r="G510" s="125"/>
      <c r="H510" s="126"/>
      <c r="I510" s="127"/>
      <c r="J510" s="118">
        <f>IF(ISERROR(VLOOKUP(H510,#REF!,9,0)),0,VLOOKUP(H510,#REF!,9,0)*I510)/3600</f>
        <v>0</v>
      </c>
    </row>
    <row r="511" spans="2:10" x14ac:dyDescent="0.3">
      <c r="B511" s="121">
        <f t="shared" si="15"/>
        <v>0</v>
      </c>
      <c r="C511" s="122">
        <f t="shared" si="16"/>
        <v>0</v>
      </c>
      <c r="D511" s="123"/>
      <c r="E511" s="125"/>
      <c r="F511" s="125"/>
      <c r="G511" s="125"/>
      <c r="H511" s="126"/>
      <c r="I511" s="127"/>
      <c r="J511" s="118">
        <f>IF(ISERROR(VLOOKUP(H511,#REF!,9,0)),0,VLOOKUP(H511,#REF!,9,0)*I511)/3600</f>
        <v>0</v>
      </c>
    </row>
    <row r="512" spans="2:10" x14ac:dyDescent="0.3">
      <c r="B512" s="121">
        <f t="shared" si="15"/>
        <v>0</v>
      </c>
      <c r="C512" s="122">
        <f t="shared" si="16"/>
        <v>0</v>
      </c>
      <c r="D512" s="123"/>
      <c r="E512" s="124"/>
      <c r="F512" s="125"/>
      <c r="G512" s="125"/>
      <c r="H512" s="126"/>
      <c r="I512" s="127"/>
      <c r="J512" s="118">
        <f>IF(ISERROR(VLOOKUP(H512,#REF!,9,0)),0,VLOOKUP(H512,#REF!,9,0)*I512)/3600</f>
        <v>0</v>
      </c>
    </row>
    <row r="513" spans="2:10" x14ac:dyDescent="0.3">
      <c r="B513" s="121">
        <f t="shared" si="15"/>
        <v>0</v>
      </c>
      <c r="C513" s="122">
        <f t="shared" si="16"/>
        <v>0</v>
      </c>
      <c r="D513" s="123"/>
      <c r="E513" s="125"/>
      <c r="F513" s="125"/>
      <c r="G513" s="125"/>
      <c r="H513" s="126"/>
      <c r="I513" s="127"/>
      <c r="J513" s="118">
        <f>IF(ISERROR(VLOOKUP(H513,#REF!,9,0)),0,VLOOKUP(H513,#REF!,9,0)*I513)/3600</f>
        <v>0</v>
      </c>
    </row>
    <row r="514" spans="2:10" x14ac:dyDescent="0.3">
      <c r="B514" s="121">
        <f t="shared" si="15"/>
        <v>0</v>
      </c>
      <c r="C514" s="122">
        <f t="shared" si="16"/>
        <v>0</v>
      </c>
      <c r="D514" s="123"/>
      <c r="E514" s="124"/>
      <c r="F514" s="125"/>
      <c r="G514" s="125"/>
      <c r="H514" s="126"/>
      <c r="I514" s="127"/>
      <c r="J514" s="118">
        <f>IF(ISERROR(VLOOKUP(H514,#REF!,9,0)),0,VLOOKUP(H514,#REF!,9,0)*I514)/3600</f>
        <v>0</v>
      </c>
    </row>
    <row r="515" spans="2:10" x14ac:dyDescent="0.3">
      <c r="B515" s="121">
        <f t="shared" si="15"/>
        <v>0</v>
      </c>
      <c r="C515" s="122">
        <f t="shared" si="16"/>
        <v>0</v>
      </c>
      <c r="D515" s="123"/>
      <c r="E515" s="125"/>
      <c r="F515" s="125"/>
      <c r="G515" s="125"/>
      <c r="H515" s="126"/>
      <c r="I515" s="127"/>
      <c r="J515" s="118">
        <f>IF(ISERROR(VLOOKUP(H515,#REF!,9,0)),0,VLOOKUP(H515,#REF!,9,0)*I515)/3600</f>
        <v>0</v>
      </c>
    </row>
    <row r="516" spans="2:10" x14ac:dyDescent="0.3">
      <c r="B516" s="121">
        <f t="shared" si="15"/>
        <v>0</v>
      </c>
      <c r="C516" s="122">
        <f t="shared" si="16"/>
        <v>0</v>
      </c>
      <c r="D516" s="123"/>
      <c r="E516" s="124"/>
      <c r="F516" s="125"/>
      <c r="G516" s="125"/>
      <c r="H516" s="126"/>
      <c r="I516" s="127"/>
      <c r="J516" s="118">
        <f>IF(ISERROR(VLOOKUP(H516,#REF!,9,0)),0,VLOOKUP(H516,#REF!,9,0)*I516)/3600</f>
        <v>0</v>
      </c>
    </row>
    <row r="517" spans="2:10" x14ac:dyDescent="0.3">
      <c r="B517" s="121">
        <f t="shared" si="15"/>
        <v>0</v>
      </c>
      <c r="C517" s="122">
        <f t="shared" si="16"/>
        <v>0</v>
      </c>
      <c r="D517" s="123"/>
      <c r="E517" s="125"/>
      <c r="F517" s="125"/>
      <c r="G517" s="125"/>
      <c r="H517" s="126"/>
      <c r="I517" s="127"/>
      <c r="J517" s="118">
        <f>IF(ISERROR(VLOOKUP(H517,#REF!,9,0)),0,VLOOKUP(H517,#REF!,9,0)*I517)/3600</f>
        <v>0</v>
      </c>
    </row>
    <row r="518" spans="2:10" x14ac:dyDescent="0.3">
      <c r="B518" s="121">
        <f t="shared" ref="B518:B581" si="17">IF(D518&gt;0,YEAR(D518),0)</f>
        <v>0</v>
      </c>
      <c r="C518" s="122">
        <f t="shared" ref="C518:C581" si="18">IF(D518&gt;0,MONTH(D518),0)</f>
        <v>0</v>
      </c>
      <c r="D518" s="123"/>
      <c r="E518" s="124"/>
      <c r="F518" s="125"/>
      <c r="G518" s="125"/>
      <c r="H518" s="126"/>
      <c r="I518" s="127"/>
      <c r="J518" s="118">
        <f>IF(ISERROR(VLOOKUP(H518,#REF!,9,0)),0,VLOOKUP(H518,#REF!,9,0)*I518)/3600</f>
        <v>0</v>
      </c>
    </row>
    <row r="519" spans="2:10" x14ac:dyDescent="0.3">
      <c r="B519" s="121">
        <f t="shared" si="17"/>
        <v>0</v>
      </c>
      <c r="C519" s="122">
        <f t="shared" si="18"/>
        <v>0</v>
      </c>
      <c r="D519" s="123"/>
      <c r="E519" s="125"/>
      <c r="F519" s="125"/>
      <c r="G519" s="125"/>
      <c r="H519" s="126"/>
      <c r="I519" s="127"/>
      <c r="J519" s="118">
        <f>IF(ISERROR(VLOOKUP(H519,#REF!,9,0)),0,VLOOKUP(H519,#REF!,9,0)*I519)/3600</f>
        <v>0</v>
      </c>
    </row>
    <row r="520" spans="2:10" x14ac:dyDescent="0.3">
      <c r="B520" s="121">
        <f t="shared" si="17"/>
        <v>0</v>
      </c>
      <c r="C520" s="122">
        <f t="shared" si="18"/>
        <v>0</v>
      </c>
      <c r="D520" s="123"/>
      <c r="E520" s="124"/>
      <c r="F520" s="125"/>
      <c r="G520" s="125"/>
      <c r="H520" s="126"/>
      <c r="I520" s="127"/>
      <c r="J520" s="118">
        <f>IF(ISERROR(VLOOKUP(H520,#REF!,9,0)),0,VLOOKUP(H520,#REF!,9,0)*I520)/3600</f>
        <v>0</v>
      </c>
    </row>
    <row r="521" spans="2:10" x14ac:dyDescent="0.3">
      <c r="B521" s="121">
        <f t="shared" si="17"/>
        <v>0</v>
      </c>
      <c r="C521" s="122">
        <f t="shared" si="18"/>
        <v>0</v>
      </c>
      <c r="D521" s="123"/>
      <c r="E521" s="125"/>
      <c r="F521" s="125"/>
      <c r="G521" s="125"/>
      <c r="H521" s="126"/>
      <c r="I521" s="127"/>
      <c r="J521" s="118">
        <f>IF(ISERROR(VLOOKUP(H521,#REF!,9,0)),0,VLOOKUP(H521,#REF!,9,0)*I521)/3600</f>
        <v>0</v>
      </c>
    </row>
    <row r="522" spans="2:10" x14ac:dyDescent="0.3">
      <c r="B522" s="121">
        <f t="shared" si="17"/>
        <v>0</v>
      </c>
      <c r="C522" s="122">
        <f t="shared" si="18"/>
        <v>0</v>
      </c>
      <c r="D522" s="123"/>
      <c r="E522" s="124"/>
      <c r="F522" s="125"/>
      <c r="G522" s="125"/>
      <c r="H522" s="126"/>
      <c r="I522" s="127"/>
      <c r="J522" s="118">
        <f>IF(ISERROR(VLOOKUP(H522,#REF!,9,0)),0,VLOOKUP(H522,#REF!,9,0)*I522)/3600</f>
        <v>0</v>
      </c>
    </row>
    <row r="523" spans="2:10" x14ac:dyDescent="0.3">
      <c r="B523" s="121">
        <f t="shared" si="17"/>
        <v>0</v>
      </c>
      <c r="C523" s="122">
        <f t="shared" si="18"/>
        <v>0</v>
      </c>
      <c r="D523" s="123"/>
      <c r="E523" s="125"/>
      <c r="F523" s="125"/>
      <c r="G523" s="125"/>
      <c r="H523" s="126"/>
      <c r="I523" s="127"/>
      <c r="J523" s="118">
        <f>IF(ISERROR(VLOOKUP(H523,#REF!,9,0)),0,VLOOKUP(H523,#REF!,9,0)*I523)/3600</f>
        <v>0</v>
      </c>
    </row>
    <row r="524" spans="2:10" x14ac:dyDescent="0.3">
      <c r="B524" s="121">
        <f t="shared" si="17"/>
        <v>0</v>
      </c>
      <c r="C524" s="122">
        <f t="shared" si="18"/>
        <v>0</v>
      </c>
      <c r="D524" s="123"/>
      <c r="E524" s="124"/>
      <c r="F524" s="125"/>
      <c r="G524" s="125"/>
      <c r="H524" s="126"/>
      <c r="I524" s="127"/>
      <c r="J524" s="118">
        <f>IF(ISERROR(VLOOKUP(H524,#REF!,9,0)),0,VLOOKUP(H524,#REF!,9,0)*I524)/3600</f>
        <v>0</v>
      </c>
    </row>
    <row r="525" spans="2:10" x14ac:dyDescent="0.3">
      <c r="B525" s="121">
        <f t="shared" si="17"/>
        <v>0</v>
      </c>
      <c r="C525" s="122">
        <f t="shared" si="18"/>
        <v>0</v>
      </c>
      <c r="D525" s="123"/>
      <c r="E525" s="125"/>
      <c r="F525" s="125"/>
      <c r="G525" s="125"/>
      <c r="H525" s="126"/>
      <c r="I525" s="127"/>
      <c r="J525" s="118">
        <f>IF(ISERROR(VLOOKUP(H525,#REF!,9,0)),0,VLOOKUP(H525,#REF!,9,0)*I525)/3600</f>
        <v>0</v>
      </c>
    </row>
    <row r="526" spans="2:10" x14ac:dyDescent="0.3">
      <c r="B526" s="121">
        <f t="shared" si="17"/>
        <v>0</v>
      </c>
      <c r="C526" s="122">
        <f t="shared" si="18"/>
        <v>0</v>
      </c>
      <c r="D526" s="123"/>
      <c r="E526" s="124"/>
      <c r="F526" s="125"/>
      <c r="G526" s="125"/>
      <c r="H526" s="126"/>
      <c r="I526" s="127"/>
      <c r="J526" s="118">
        <f>IF(ISERROR(VLOOKUP(H526,#REF!,9,0)),0,VLOOKUP(H526,#REF!,9,0)*I526)/3600</f>
        <v>0</v>
      </c>
    </row>
    <row r="527" spans="2:10" x14ac:dyDescent="0.3">
      <c r="B527" s="121">
        <f t="shared" si="17"/>
        <v>0</v>
      </c>
      <c r="C527" s="122">
        <f t="shared" si="18"/>
        <v>0</v>
      </c>
      <c r="D527" s="123"/>
      <c r="E527" s="125"/>
      <c r="F527" s="125"/>
      <c r="G527" s="125"/>
      <c r="H527" s="126"/>
      <c r="I527" s="127"/>
      <c r="J527" s="118">
        <f>IF(ISERROR(VLOOKUP(H527,#REF!,9,0)),0,VLOOKUP(H527,#REF!,9,0)*I527)/3600</f>
        <v>0</v>
      </c>
    </row>
    <row r="528" spans="2:10" x14ac:dyDescent="0.3">
      <c r="B528" s="121">
        <f t="shared" si="17"/>
        <v>0</v>
      </c>
      <c r="C528" s="122">
        <f t="shared" si="18"/>
        <v>0</v>
      </c>
      <c r="D528" s="123"/>
      <c r="E528" s="124"/>
      <c r="F528" s="125"/>
      <c r="G528" s="125"/>
      <c r="H528" s="126"/>
      <c r="I528" s="127"/>
      <c r="J528" s="118">
        <f>IF(ISERROR(VLOOKUP(H528,#REF!,9,0)),0,VLOOKUP(H528,#REF!,9,0)*I528)/3600</f>
        <v>0</v>
      </c>
    </row>
    <row r="529" spans="2:10" x14ac:dyDescent="0.3">
      <c r="B529" s="121">
        <f t="shared" si="17"/>
        <v>0</v>
      </c>
      <c r="C529" s="122">
        <f t="shared" si="18"/>
        <v>0</v>
      </c>
      <c r="D529" s="123"/>
      <c r="E529" s="125"/>
      <c r="F529" s="125"/>
      <c r="G529" s="125"/>
      <c r="H529" s="126"/>
      <c r="I529" s="127"/>
      <c r="J529" s="118">
        <f>IF(ISERROR(VLOOKUP(H529,#REF!,9,0)),0,VLOOKUP(H529,#REF!,9,0)*I529)/3600</f>
        <v>0</v>
      </c>
    </row>
    <row r="530" spans="2:10" x14ac:dyDescent="0.3">
      <c r="B530" s="121">
        <f t="shared" si="17"/>
        <v>0</v>
      </c>
      <c r="C530" s="122">
        <f t="shared" si="18"/>
        <v>0</v>
      </c>
      <c r="D530" s="123"/>
      <c r="E530" s="124"/>
      <c r="F530" s="125"/>
      <c r="G530" s="125"/>
      <c r="H530" s="126"/>
      <c r="I530" s="127"/>
      <c r="J530" s="118">
        <f>IF(ISERROR(VLOOKUP(H530,#REF!,9,0)),0,VLOOKUP(H530,#REF!,9,0)*I530)/3600</f>
        <v>0</v>
      </c>
    </row>
    <row r="531" spans="2:10" x14ac:dyDescent="0.3">
      <c r="B531" s="121">
        <f t="shared" si="17"/>
        <v>0</v>
      </c>
      <c r="C531" s="122">
        <f t="shared" si="18"/>
        <v>0</v>
      </c>
      <c r="D531" s="123"/>
      <c r="E531" s="125"/>
      <c r="F531" s="125"/>
      <c r="G531" s="125"/>
      <c r="H531" s="126"/>
      <c r="I531" s="127"/>
      <c r="J531" s="118">
        <f>IF(ISERROR(VLOOKUP(H531,#REF!,9,0)),0,VLOOKUP(H531,#REF!,9,0)*I531)/3600</f>
        <v>0</v>
      </c>
    </row>
    <row r="532" spans="2:10" x14ac:dyDescent="0.3">
      <c r="B532" s="121">
        <f t="shared" si="17"/>
        <v>0</v>
      </c>
      <c r="C532" s="122">
        <f t="shared" si="18"/>
        <v>0</v>
      </c>
      <c r="D532" s="123"/>
      <c r="E532" s="124"/>
      <c r="F532" s="125"/>
      <c r="G532" s="125"/>
      <c r="H532" s="126"/>
      <c r="I532" s="127"/>
      <c r="J532" s="118">
        <f>IF(ISERROR(VLOOKUP(H532,#REF!,9,0)),0,VLOOKUP(H532,#REF!,9,0)*I532)/3600</f>
        <v>0</v>
      </c>
    </row>
    <row r="533" spans="2:10" x14ac:dyDescent="0.3">
      <c r="B533" s="121">
        <f t="shared" si="17"/>
        <v>0</v>
      </c>
      <c r="C533" s="122">
        <f t="shared" si="18"/>
        <v>0</v>
      </c>
      <c r="D533" s="123"/>
      <c r="E533" s="125"/>
      <c r="F533" s="125"/>
      <c r="G533" s="125"/>
      <c r="H533" s="126"/>
      <c r="I533" s="127"/>
      <c r="J533" s="118">
        <f>IF(ISERROR(VLOOKUP(H533,#REF!,9,0)),0,VLOOKUP(H533,#REF!,9,0)*I533)/3600</f>
        <v>0</v>
      </c>
    </row>
    <row r="534" spans="2:10" x14ac:dyDescent="0.3">
      <c r="B534" s="121">
        <f t="shared" si="17"/>
        <v>0</v>
      </c>
      <c r="C534" s="122">
        <f t="shared" si="18"/>
        <v>0</v>
      </c>
      <c r="D534" s="123"/>
      <c r="E534" s="124"/>
      <c r="F534" s="125"/>
      <c r="G534" s="125"/>
      <c r="H534" s="126"/>
      <c r="I534" s="127"/>
      <c r="J534" s="118">
        <f>IF(ISERROR(VLOOKUP(H534,#REF!,9,0)),0,VLOOKUP(H534,#REF!,9,0)*I534)/3600</f>
        <v>0</v>
      </c>
    </row>
    <row r="535" spans="2:10" x14ac:dyDescent="0.3">
      <c r="B535" s="121">
        <f t="shared" si="17"/>
        <v>0</v>
      </c>
      <c r="C535" s="122">
        <f t="shared" si="18"/>
        <v>0</v>
      </c>
      <c r="D535" s="123"/>
      <c r="E535" s="125"/>
      <c r="F535" s="125"/>
      <c r="G535" s="125"/>
      <c r="H535" s="126"/>
      <c r="I535" s="127"/>
      <c r="J535" s="118">
        <f>IF(ISERROR(VLOOKUP(H535,#REF!,9,0)),0,VLOOKUP(H535,#REF!,9,0)*I535)/3600</f>
        <v>0</v>
      </c>
    </row>
    <row r="536" spans="2:10" x14ac:dyDescent="0.3">
      <c r="B536" s="121">
        <f t="shared" si="17"/>
        <v>0</v>
      </c>
      <c r="C536" s="122">
        <f t="shared" si="18"/>
        <v>0</v>
      </c>
      <c r="D536" s="123"/>
      <c r="E536" s="124"/>
      <c r="F536" s="125"/>
      <c r="G536" s="125"/>
      <c r="H536" s="126"/>
      <c r="I536" s="127"/>
      <c r="J536" s="118">
        <f>IF(ISERROR(VLOOKUP(H536,#REF!,9,0)),0,VLOOKUP(H536,#REF!,9,0)*I536)/3600</f>
        <v>0</v>
      </c>
    </row>
    <row r="537" spans="2:10" x14ac:dyDescent="0.3">
      <c r="B537" s="121">
        <f t="shared" si="17"/>
        <v>0</v>
      </c>
      <c r="C537" s="122">
        <f t="shared" si="18"/>
        <v>0</v>
      </c>
      <c r="D537" s="123"/>
      <c r="E537" s="125"/>
      <c r="F537" s="125"/>
      <c r="G537" s="125"/>
      <c r="H537" s="126"/>
      <c r="I537" s="127"/>
      <c r="J537" s="118">
        <f>IF(ISERROR(VLOOKUP(H537,#REF!,9,0)),0,VLOOKUP(H537,#REF!,9,0)*I537)/3600</f>
        <v>0</v>
      </c>
    </row>
    <row r="538" spans="2:10" x14ac:dyDescent="0.3">
      <c r="B538" s="121">
        <f t="shared" si="17"/>
        <v>0</v>
      </c>
      <c r="C538" s="122">
        <f t="shared" si="18"/>
        <v>0</v>
      </c>
      <c r="D538" s="123"/>
      <c r="E538" s="124"/>
      <c r="F538" s="125"/>
      <c r="G538" s="125"/>
      <c r="H538" s="126"/>
      <c r="I538" s="127"/>
      <c r="J538" s="118">
        <f>IF(ISERROR(VLOOKUP(H538,#REF!,9,0)),0,VLOOKUP(H538,#REF!,9,0)*I538)/3600</f>
        <v>0</v>
      </c>
    </row>
    <row r="539" spans="2:10" x14ac:dyDescent="0.3">
      <c r="B539" s="121">
        <f t="shared" si="17"/>
        <v>0</v>
      </c>
      <c r="C539" s="122">
        <f t="shared" si="18"/>
        <v>0</v>
      </c>
      <c r="D539" s="123"/>
      <c r="E539" s="125"/>
      <c r="F539" s="125"/>
      <c r="G539" s="125"/>
      <c r="H539" s="126"/>
      <c r="I539" s="127"/>
      <c r="J539" s="118">
        <f>IF(ISERROR(VLOOKUP(H539,#REF!,9,0)),0,VLOOKUP(H539,#REF!,9,0)*I539)/3600</f>
        <v>0</v>
      </c>
    </row>
    <row r="540" spans="2:10" x14ac:dyDescent="0.3">
      <c r="B540" s="121">
        <f t="shared" si="17"/>
        <v>0</v>
      </c>
      <c r="C540" s="122">
        <f t="shared" si="18"/>
        <v>0</v>
      </c>
      <c r="D540" s="123"/>
      <c r="E540" s="124"/>
      <c r="F540" s="125"/>
      <c r="G540" s="125"/>
      <c r="H540" s="126"/>
      <c r="I540" s="127"/>
      <c r="J540" s="118">
        <f>IF(ISERROR(VLOOKUP(H540,#REF!,9,0)),0,VLOOKUP(H540,#REF!,9,0)*I540)/3600</f>
        <v>0</v>
      </c>
    </row>
    <row r="541" spans="2:10" x14ac:dyDescent="0.3">
      <c r="B541" s="121">
        <f t="shared" si="17"/>
        <v>0</v>
      </c>
      <c r="C541" s="122">
        <f t="shared" si="18"/>
        <v>0</v>
      </c>
      <c r="D541" s="123"/>
      <c r="E541" s="125"/>
      <c r="F541" s="125"/>
      <c r="G541" s="125"/>
      <c r="H541" s="126"/>
      <c r="I541" s="127"/>
      <c r="J541" s="118">
        <f>IF(ISERROR(VLOOKUP(H541,#REF!,9,0)),0,VLOOKUP(H541,#REF!,9,0)*I541)/3600</f>
        <v>0</v>
      </c>
    </row>
    <row r="542" spans="2:10" x14ac:dyDescent="0.3">
      <c r="B542" s="121">
        <f t="shared" si="17"/>
        <v>0</v>
      </c>
      <c r="C542" s="122">
        <f t="shared" si="18"/>
        <v>0</v>
      </c>
      <c r="D542" s="123"/>
      <c r="E542" s="124"/>
      <c r="F542" s="125"/>
      <c r="G542" s="125"/>
      <c r="H542" s="126"/>
      <c r="I542" s="127"/>
      <c r="J542" s="118">
        <f>IF(ISERROR(VLOOKUP(H542,#REF!,9,0)),0,VLOOKUP(H542,#REF!,9,0)*I542)/3600</f>
        <v>0</v>
      </c>
    </row>
    <row r="543" spans="2:10" x14ac:dyDescent="0.3">
      <c r="B543" s="121">
        <f t="shared" si="17"/>
        <v>0</v>
      </c>
      <c r="C543" s="122">
        <f t="shared" si="18"/>
        <v>0</v>
      </c>
      <c r="D543" s="123"/>
      <c r="E543" s="125"/>
      <c r="F543" s="125"/>
      <c r="G543" s="125"/>
      <c r="H543" s="126"/>
      <c r="I543" s="127"/>
      <c r="J543" s="118">
        <f>IF(ISERROR(VLOOKUP(H543,#REF!,9,0)),0,VLOOKUP(H543,#REF!,9,0)*I543)/3600</f>
        <v>0</v>
      </c>
    </row>
    <row r="544" spans="2:10" x14ac:dyDescent="0.3">
      <c r="B544" s="121">
        <f t="shared" si="17"/>
        <v>0</v>
      </c>
      <c r="C544" s="122">
        <f t="shared" si="18"/>
        <v>0</v>
      </c>
      <c r="D544" s="123"/>
      <c r="E544" s="124"/>
      <c r="F544" s="125"/>
      <c r="G544" s="125"/>
      <c r="H544" s="126"/>
      <c r="I544" s="127"/>
      <c r="J544" s="118">
        <f>IF(ISERROR(VLOOKUP(H544,#REF!,9,0)),0,VLOOKUP(H544,#REF!,9,0)*I544)/3600</f>
        <v>0</v>
      </c>
    </row>
    <row r="545" spans="2:10" x14ac:dyDescent="0.3">
      <c r="B545" s="121">
        <f t="shared" si="17"/>
        <v>0</v>
      </c>
      <c r="C545" s="122">
        <f t="shared" si="18"/>
        <v>0</v>
      </c>
      <c r="D545" s="123"/>
      <c r="E545" s="125"/>
      <c r="F545" s="125"/>
      <c r="G545" s="125"/>
      <c r="H545" s="126"/>
      <c r="I545" s="127"/>
      <c r="J545" s="118">
        <f>IF(ISERROR(VLOOKUP(H545,#REF!,9,0)),0,VLOOKUP(H545,#REF!,9,0)*I545)/3600</f>
        <v>0</v>
      </c>
    </row>
    <row r="546" spans="2:10" x14ac:dyDescent="0.3">
      <c r="B546" s="121">
        <f t="shared" si="17"/>
        <v>0</v>
      </c>
      <c r="C546" s="122">
        <f t="shared" si="18"/>
        <v>0</v>
      </c>
      <c r="D546" s="123"/>
      <c r="E546" s="124"/>
      <c r="F546" s="125"/>
      <c r="G546" s="125"/>
      <c r="H546" s="126"/>
      <c r="I546" s="127"/>
      <c r="J546" s="118">
        <f>IF(ISERROR(VLOOKUP(H546,#REF!,9,0)),0,VLOOKUP(H546,#REF!,9,0)*I546)/3600</f>
        <v>0</v>
      </c>
    </row>
    <row r="547" spans="2:10" x14ac:dyDescent="0.3">
      <c r="B547" s="121">
        <f t="shared" si="17"/>
        <v>0</v>
      </c>
      <c r="C547" s="122">
        <f t="shared" si="18"/>
        <v>0</v>
      </c>
      <c r="D547" s="123"/>
      <c r="E547" s="125"/>
      <c r="F547" s="125"/>
      <c r="G547" s="125"/>
      <c r="H547" s="126"/>
      <c r="I547" s="127"/>
      <c r="J547" s="118">
        <f>IF(ISERROR(VLOOKUP(H547,#REF!,9,0)),0,VLOOKUP(H547,#REF!,9,0)*I547)/3600</f>
        <v>0</v>
      </c>
    </row>
    <row r="548" spans="2:10" x14ac:dyDescent="0.3">
      <c r="B548" s="121">
        <f t="shared" si="17"/>
        <v>0</v>
      </c>
      <c r="C548" s="122">
        <f t="shared" si="18"/>
        <v>0</v>
      </c>
      <c r="D548" s="123"/>
      <c r="E548" s="124"/>
      <c r="F548" s="125"/>
      <c r="G548" s="125"/>
      <c r="H548" s="126"/>
      <c r="I548" s="127"/>
      <c r="J548" s="118">
        <f>IF(ISERROR(VLOOKUP(H548,#REF!,9,0)),0,VLOOKUP(H548,#REF!,9,0)*I548)/3600</f>
        <v>0</v>
      </c>
    </row>
    <row r="549" spans="2:10" x14ac:dyDescent="0.3">
      <c r="B549" s="121">
        <f t="shared" si="17"/>
        <v>0</v>
      </c>
      <c r="C549" s="122">
        <f t="shared" si="18"/>
        <v>0</v>
      </c>
      <c r="D549" s="123"/>
      <c r="E549" s="125"/>
      <c r="F549" s="125"/>
      <c r="G549" s="125"/>
      <c r="H549" s="126"/>
      <c r="I549" s="127"/>
      <c r="J549" s="118">
        <f>IF(ISERROR(VLOOKUP(H549,#REF!,9,0)),0,VLOOKUP(H549,#REF!,9,0)*I549)/3600</f>
        <v>0</v>
      </c>
    </row>
    <row r="550" spans="2:10" x14ac:dyDescent="0.3">
      <c r="B550" s="121">
        <f t="shared" si="17"/>
        <v>0</v>
      </c>
      <c r="C550" s="122">
        <f t="shared" si="18"/>
        <v>0</v>
      </c>
      <c r="D550" s="123"/>
      <c r="E550" s="124"/>
      <c r="F550" s="125"/>
      <c r="G550" s="125"/>
      <c r="H550" s="126"/>
      <c r="I550" s="127"/>
      <c r="J550" s="118">
        <f>IF(ISERROR(VLOOKUP(H550,#REF!,9,0)),0,VLOOKUP(H550,#REF!,9,0)*I550)/3600</f>
        <v>0</v>
      </c>
    </row>
    <row r="551" spans="2:10" x14ac:dyDescent="0.3">
      <c r="B551" s="121">
        <f t="shared" si="17"/>
        <v>0</v>
      </c>
      <c r="C551" s="122">
        <f t="shared" si="18"/>
        <v>0</v>
      </c>
      <c r="D551" s="123"/>
      <c r="E551" s="125"/>
      <c r="F551" s="125"/>
      <c r="G551" s="125"/>
      <c r="H551" s="126"/>
      <c r="I551" s="127"/>
      <c r="J551" s="118">
        <f>IF(ISERROR(VLOOKUP(H551,#REF!,9,0)),0,VLOOKUP(H551,#REF!,9,0)*I551)/3600</f>
        <v>0</v>
      </c>
    </row>
    <row r="552" spans="2:10" x14ac:dyDescent="0.3">
      <c r="B552" s="121">
        <f t="shared" si="17"/>
        <v>0</v>
      </c>
      <c r="C552" s="122">
        <f t="shared" si="18"/>
        <v>0</v>
      </c>
      <c r="D552" s="123"/>
      <c r="E552" s="124"/>
      <c r="F552" s="125"/>
      <c r="G552" s="125"/>
      <c r="H552" s="126"/>
      <c r="I552" s="127"/>
      <c r="J552" s="118">
        <f>IF(ISERROR(VLOOKUP(H552,#REF!,9,0)),0,VLOOKUP(H552,#REF!,9,0)*I552)/3600</f>
        <v>0</v>
      </c>
    </row>
    <row r="553" spans="2:10" x14ac:dyDescent="0.3">
      <c r="B553" s="121">
        <f t="shared" si="17"/>
        <v>0</v>
      </c>
      <c r="C553" s="122">
        <f t="shared" si="18"/>
        <v>0</v>
      </c>
      <c r="D553" s="123"/>
      <c r="E553" s="125"/>
      <c r="F553" s="125"/>
      <c r="G553" s="125"/>
      <c r="H553" s="126"/>
      <c r="I553" s="127"/>
      <c r="J553" s="118">
        <f>IF(ISERROR(VLOOKUP(H553,#REF!,9,0)),0,VLOOKUP(H553,#REF!,9,0)*I553)/3600</f>
        <v>0</v>
      </c>
    </row>
    <row r="554" spans="2:10" x14ac:dyDescent="0.3">
      <c r="B554" s="121">
        <f t="shared" si="17"/>
        <v>0</v>
      </c>
      <c r="C554" s="122">
        <f t="shared" si="18"/>
        <v>0</v>
      </c>
      <c r="D554" s="123"/>
      <c r="E554" s="124"/>
      <c r="F554" s="125"/>
      <c r="G554" s="125"/>
      <c r="H554" s="126"/>
      <c r="I554" s="127"/>
      <c r="J554" s="118">
        <f>IF(ISERROR(VLOOKUP(H554,#REF!,9,0)),0,VLOOKUP(H554,#REF!,9,0)*I554)/3600</f>
        <v>0</v>
      </c>
    </row>
    <row r="555" spans="2:10" x14ac:dyDescent="0.3">
      <c r="B555" s="121">
        <f t="shared" si="17"/>
        <v>0</v>
      </c>
      <c r="C555" s="122">
        <f t="shared" si="18"/>
        <v>0</v>
      </c>
      <c r="D555" s="123"/>
      <c r="E555" s="125"/>
      <c r="F555" s="125"/>
      <c r="G555" s="125"/>
      <c r="H555" s="126"/>
      <c r="I555" s="127"/>
      <c r="J555" s="118">
        <f>IF(ISERROR(VLOOKUP(H555,#REF!,9,0)),0,VLOOKUP(H555,#REF!,9,0)*I555)/3600</f>
        <v>0</v>
      </c>
    </row>
    <row r="556" spans="2:10" x14ac:dyDescent="0.3">
      <c r="B556" s="121">
        <f t="shared" si="17"/>
        <v>0</v>
      </c>
      <c r="C556" s="122">
        <f t="shared" si="18"/>
        <v>0</v>
      </c>
      <c r="D556" s="123"/>
      <c r="E556" s="124"/>
      <c r="F556" s="125"/>
      <c r="G556" s="125"/>
      <c r="H556" s="126"/>
      <c r="I556" s="127"/>
      <c r="J556" s="118">
        <f>IF(ISERROR(VLOOKUP(H556,#REF!,9,0)),0,VLOOKUP(H556,#REF!,9,0)*I556)/3600</f>
        <v>0</v>
      </c>
    </row>
    <row r="557" spans="2:10" x14ac:dyDescent="0.3">
      <c r="B557" s="121">
        <f t="shared" si="17"/>
        <v>0</v>
      </c>
      <c r="C557" s="122">
        <f t="shared" si="18"/>
        <v>0</v>
      </c>
      <c r="D557" s="123"/>
      <c r="E557" s="125"/>
      <c r="F557" s="125"/>
      <c r="G557" s="125"/>
      <c r="H557" s="126"/>
      <c r="I557" s="127"/>
      <c r="J557" s="118">
        <f>IF(ISERROR(VLOOKUP(H557,#REF!,9,0)),0,VLOOKUP(H557,#REF!,9,0)*I557)/3600</f>
        <v>0</v>
      </c>
    </row>
    <row r="558" spans="2:10" x14ac:dyDescent="0.3">
      <c r="B558" s="121">
        <f t="shared" si="17"/>
        <v>0</v>
      </c>
      <c r="C558" s="122">
        <f t="shared" si="18"/>
        <v>0</v>
      </c>
      <c r="D558" s="123"/>
      <c r="E558" s="124"/>
      <c r="F558" s="125"/>
      <c r="G558" s="125"/>
      <c r="H558" s="126"/>
      <c r="I558" s="127"/>
      <c r="J558" s="118">
        <f>IF(ISERROR(VLOOKUP(H558,#REF!,9,0)),0,VLOOKUP(H558,#REF!,9,0)*I558)/3600</f>
        <v>0</v>
      </c>
    </row>
    <row r="559" spans="2:10" x14ac:dyDescent="0.3">
      <c r="B559" s="121">
        <f t="shared" si="17"/>
        <v>0</v>
      </c>
      <c r="C559" s="122">
        <f t="shared" si="18"/>
        <v>0</v>
      </c>
      <c r="D559" s="123"/>
      <c r="E559" s="125"/>
      <c r="F559" s="125"/>
      <c r="G559" s="125"/>
      <c r="H559" s="126"/>
      <c r="I559" s="127"/>
      <c r="J559" s="118">
        <f>IF(ISERROR(VLOOKUP(H559,#REF!,9,0)),0,VLOOKUP(H559,#REF!,9,0)*I559)/3600</f>
        <v>0</v>
      </c>
    </row>
    <row r="560" spans="2:10" x14ac:dyDescent="0.3">
      <c r="B560" s="121">
        <f t="shared" si="17"/>
        <v>0</v>
      </c>
      <c r="C560" s="122">
        <f t="shared" si="18"/>
        <v>0</v>
      </c>
      <c r="D560" s="123"/>
      <c r="E560" s="124"/>
      <c r="F560" s="125"/>
      <c r="G560" s="125"/>
      <c r="H560" s="126"/>
      <c r="I560" s="127"/>
      <c r="J560" s="118">
        <f>IF(ISERROR(VLOOKUP(H560,#REF!,9,0)),0,VLOOKUP(H560,#REF!,9,0)*I560)/3600</f>
        <v>0</v>
      </c>
    </row>
    <row r="561" spans="2:10" x14ac:dyDescent="0.3">
      <c r="B561" s="121">
        <f t="shared" si="17"/>
        <v>0</v>
      </c>
      <c r="C561" s="122">
        <f t="shared" si="18"/>
        <v>0</v>
      </c>
      <c r="D561" s="123"/>
      <c r="E561" s="125"/>
      <c r="F561" s="125"/>
      <c r="G561" s="125"/>
      <c r="H561" s="126"/>
      <c r="I561" s="127"/>
      <c r="J561" s="118">
        <f>IF(ISERROR(VLOOKUP(H561,#REF!,9,0)),0,VLOOKUP(H561,#REF!,9,0)*I561)/3600</f>
        <v>0</v>
      </c>
    </row>
    <row r="562" spans="2:10" x14ac:dyDescent="0.3">
      <c r="B562" s="121">
        <f t="shared" si="17"/>
        <v>0</v>
      </c>
      <c r="C562" s="122">
        <f t="shared" si="18"/>
        <v>0</v>
      </c>
      <c r="D562" s="123"/>
      <c r="E562" s="124"/>
      <c r="F562" s="125"/>
      <c r="G562" s="125"/>
      <c r="H562" s="126"/>
      <c r="I562" s="127"/>
      <c r="J562" s="118">
        <f>IF(ISERROR(VLOOKUP(H562,#REF!,9,0)),0,VLOOKUP(H562,#REF!,9,0)*I562)/3600</f>
        <v>0</v>
      </c>
    </row>
    <row r="563" spans="2:10" x14ac:dyDescent="0.3">
      <c r="B563" s="121">
        <f t="shared" si="17"/>
        <v>0</v>
      </c>
      <c r="C563" s="122">
        <f t="shared" si="18"/>
        <v>0</v>
      </c>
      <c r="D563" s="123"/>
      <c r="E563" s="125"/>
      <c r="F563" s="125"/>
      <c r="G563" s="125"/>
      <c r="H563" s="126"/>
      <c r="I563" s="127"/>
      <c r="J563" s="118">
        <f>IF(ISERROR(VLOOKUP(H563,#REF!,9,0)),0,VLOOKUP(H563,#REF!,9,0)*I563)/3600</f>
        <v>0</v>
      </c>
    </row>
    <row r="564" spans="2:10" x14ac:dyDescent="0.3">
      <c r="B564" s="121">
        <f t="shared" si="17"/>
        <v>0</v>
      </c>
      <c r="C564" s="122">
        <f t="shared" si="18"/>
        <v>0</v>
      </c>
      <c r="D564" s="123"/>
      <c r="E564" s="124"/>
      <c r="F564" s="125"/>
      <c r="G564" s="125"/>
      <c r="H564" s="126"/>
      <c r="I564" s="127"/>
      <c r="J564" s="118">
        <f>IF(ISERROR(VLOOKUP(H564,#REF!,9,0)),0,VLOOKUP(H564,#REF!,9,0)*I564)/3600</f>
        <v>0</v>
      </c>
    </row>
    <row r="565" spans="2:10" x14ac:dyDescent="0.3">
      <c r="B565" s="121">
        <f t="shared" si="17"/>
        <v>0</v>
      </c>
      <c r="C565" s="122">
        <f t="shared" si="18"/>
        <v>0</v>
      </c>
      <c r="D565" s="123"/>
      <c r="E565" s="125"/>
      <c r="F565" s="125"/>
      <c r="G565" s="125"/>
      <c r="H565" s="126"/>
      <c r="I565" s="127"/>
      <c r="J565" s="118">
        <f>IF(ISERROR(VLOOKUP(H565,#REF!,9,0)),0,VLOOKUP(H565,#REF!,9,0)*I565)/3600</f>
        <v>0</v>
      </c>
    </row>
    <row r="566" spans="2:10" x14ac:dyDescent="0.3">
      <c r="B566" s="121">
        <f t="shared" si="17"/>
        <v>0</v>
      </c>
      <c r="C566" s="122">
        <f t="shared" si="18"/>
        <v>0</v>
      </c>
      <c r="D566" s="123"/>
      <c r="E566" s="124"/>
      <c r="F566" s="125"/>
      <c r="G566" s="125"/>
      <c r="H566" s="126"/>
      <c r="I566" s="127"/>
      <c r="J566" s="118">
        <f>IF(ISERROR(VLOOKUP(H566,#REF!,9,0)),0,VLOOKUP(H566,#REF!,9,0)*I566)/3600</f>
        <v>0</v>
      </c>
    </row>
    <row r="567" spans="2:10" x14ac:dyDescent="0.3">
      <c r="B567" s="121">
        <f t="shared" si="17"/>
        <v>0</v>
      </c>
      <c r="C567" s="122">
        <f t="shared" si="18"/>
        <v>0</v>
      </c>
      <c r="D567" s="123"/>
      <c r="E567" s="125"/>
      <c r="F567" s="125"/>
      <c r="G567" s="125"/>
      <c r="H567" s="126"/>
      <c r="I567" s="127"/>
      <c r="J567" s="118">
        <f>IF(ISERROR(VLOOKUP(H567,#REF!,9,0)),0,VLOOKUP(H567,#REF!,9,0)*I567)/3600</f>
        <v>0</v>
      </c>
    </row>
    <row r="568" spans="2:10" x14ac:dyDescent="0.3">
      <c r="B568" s="121">
        <f t="shared" si="17"/>
        <v>0</v>
      </c>
      <c r="C568" s="122">
        <f t="shared" si="18"/>
        <v>0</v>
      </c>
      <c r="D568" s="123"/>
      <c r="E568" s="124"/>
      <c r="F568" s="125"/>
      <c r="G568" s="125"/>
      <c r="H568" s="126"/>
      <c r="I568" s="127"/>
      <c r="J568" s="118">
        <f>IF(ISERROR(VLOOKUP(H568,#REF!,9,0)),0,VLOOKUP(H568,#REF!,9,0)*I568)/3600</f>
        <v>0</v>
      </c>
    </row>
    <row r="569" spans="2:10" x14ac:dyDescent="0.3">
      <c r="B569" s="121">
        <f t="shared" si="17"/>
        <v>0</v>
      </c>
      <c r="C569" s="122">
        <f t="shared" si="18"/>
        <v>0</v>
      </c>
      <c r="D569" s="123"/>
      <c r="E569" s="125"/>
      <c r="F569" s="125"/>
      <c r="G569" s="125"/>
      <c r="H569" s="126"/>
      <c r="I569" s="127"/>
      <c r="J569" s="118">
        <f>IF(ISERROR(VLOOKUP(H569,#REF!,9,0)),0,VLOOKUP(H569,#REF!,9,0)*I569)/3600</f>
        <v>0</v>
      </c>
    </row>
    <row r="570" spans="2:10" x14ac:dyDescent="0.3">
      <c r="B570" s="121">
        <f t="shared" si="17"/>
        <v>0</v>
      </c>
      <c r="C570" s="122">
        <f t="shared" si="18"/>
        <v>0</v>
      </c>
      <c r="D570" s="123"/>
      <c r="E570" s="124"/>
      <c r="F570" s="125"/>
      <c r="G570" s="125"/>
      <c r="H570" s="126"/>
      <c r="I570" s="127"/>
      <c r="J570" s="118">
        <f>IF(ISERROR(VLOOKUP(H570,#REF!,9,0)),0,VLOOKUP(H570,#REF!,9,0)*I570)/3600</f>
        <v>0</v>
      </c>
    </row>
    <row r="571" spans="2:10" x14ac:dyDescent="0.3">
      <c r="B571" s="121">
        <f t="shared" si="17"/>
        <v>0</v>
      </c>
      <c r="C571" s="122">
        <f t="shared" si="18"/>
        <v>0</v>
      </c>
      <c r="D571" s="123"/>
      <c r="E571" s="125"/>
      <c r="F571" s="125"/>
      <c r="G571" s="125"/>
      <c r="H571" s="126"/>
      <c r="I571" s="127"/>
      <c r="J571" s="118">
        <f>IF(ISERROR(VLOOKUP(H571,#REF!,9,0)),0,VLOOKUP(H571,#REF!,9,0)*I571)/3600</f>
        <v>0</v>
      </c>
    </row>
    <row r="572" spans="2:10" x14ac:dyDescent="0.3">
      <c r="B572" s="121">
        <f t="shared" si="17"/>
        <v>0</v>
      </c>
      <c r="C572" s="122">
        <f t="shared" si="18"/>
        <v>0</v>
      </c>
      <c r="D572" s="123"/>
      <c r="E572" s="124"/>
      <c r="F572" s="125"/>
      <c r="G572" s="125"/>
      <c r="H572" s="126"/>
      <c r="I572" s="127"/>
      <c r="J572" s="118">
        <f>IF(ISERROR(VLOOKUP(H572,#REF!,9,0)),0,VLOOKUP(H572,#REF!,9,0)*I572)/3600</f>
        <v>0</v>
      </c>
    </row>
    <row r="573" spans="2:10" x14ac:dyDescent="0.3">
      <c r="B573" s="121">
        <f t="shared" si="17"/>
        <v>0</v>
      </c>
      <c r="C573" s="122">
        <f t="shared" si="18"/>
        <v>0</v>
      </c>
      <c r="D573" s="123"/>
      <c r="E573" s="125"/>
      <c r="F573" s="125"/>
      <c r="G573" s="125"/>
      <c r="H573" s="126"/>
      <c r="I573" s="127"/>
      <c r="J573" s="118">
        <f>IF(ISERROR(VLOOKUP(H573,#REF!,9,0)),0,VLOOKUP(H573,#REF!,9,0)*I573)/3600</f>
        <v>0</v>
      </c>
    </row>
    <row r="574" spans="2:10" x14ac:dyDescent="0.3">
      <c r="B574" s="121">
        <f t="shared" si="17"/>
        <v>0</v>
      </c>
      <c r="C574" s="122">
        <f t="shared" si="18"/>
        <v>0</v>
      </c>
      <c r="D574" s="123"/>
      <c r="E574" s="124"/>
      <c r="F574" s="125"/>
      <c r="G574" s="125"/>
      <c r="H574" s="126"/>
      <c r="I574" s="127"/>
      <c r="J574" s="118">
        <f>IF(ISERROR(VLOOKUP(H574,#REF!,9,0)),0,VLOOKUP(H574,#REF!,9,0)*I574)/3600</f>
        <v>0</v>
      </c>
    </row>
    <row r="575" spans="2:10" x14ac:dyDescent="0.3">
      <c r="B575" s="121">
        <f t="shared" si="17"/>
        <v>0</v>
      </c>
      <c r="C575" s="122">
        <f t="shared" si="18"/>
        <v>0</v>
      </c>
      <c r="D575" s="123"/>
      <c r="E575" s="125"/>
      <c r="F575" s="125"/>
      <c r="G575" s="125"/>
      <c r="H575" s="126"/>
      <c r="I575" s="127"/>
      <c r="J575" s="118">
        <f>IF(ISERROR(VLOOKUP(H575,#REF!,9,0)),0,VLOOKUP(H575,#REF!,9,0)*I575)/3600</f>
        <v>0</v>
      </c>
    </row>
    <row r="576" spans="2:10" x14ac:dyDescent="0.3">
      <c r="B576" s="121">
        <f t="shared" si="17"/>
        <v>0</v>
      </c>
      <c r="C576" s="122">
        <f t="shared" si="18"/>
        <v>0</v>
      </c>
      <c r="D576" s="123"/>
      <c r="E576" s="124"/>
      <c r="F576" s="125"/>
      <c r="G576" s="125"/>
      <c r="H576" s="126"/>
      <c r="I576" s="127"/>
      <c r="J576" s="118">
        <f>IF(ISERROR(VLOOKUP(H576,#REF!,9,0)),0,VLOOKUP(H576,#REF!,9,0)*I576)/3600</f>
        <v>0</v>
      </c>
    </row>
    <row r="577" spans="2:10" x14ac:dyDescent="0.3">
      <c r="B577" s="121">
        <f t="shared" si="17"/>
        <v>0</v>
      </c>
      <c r="C577" s="122">
        <f t="shared" si="18"/>
        <v>0</v>
      </c>
      <c r="D577" s="123"/>
      <c r="E577" s="125"/>
      <c r="F577" s="125"/>
      <c r="G577" s="125"/>
      <c r="H577" s="126"/>
      <c r="I577" s="127"/>
      <c r="J577" s="118">
        <f>IF(ISERROR(VLOOKUP(H577,#REF!,9,0)),0,VLOOKUP(H577,#REF!,9,0)*I577)/3600</f>
        <v>0</v>
      </c>
    </row>
    <row r="578" spans="2:10" x14ac:dyDescent="0.3">
      <c r="B578" s="121">
        <f t="shared" si="17"/>
        <v>0</v>
      </c>
      <c r="C578" s="122">
        <f t="shared" si="18"/>
        <v>0</v>
      </c>
      <c r="D578" s="123"/>
      <c r="E578" s="124"/>
      <c r="F578" s="125"/>
      <c r="G578" s="125"/>
      <c r="H578" s="126"/>
      <c r="I578" s="127"/>
      <c r="J578" s="118">
        <f>IF(ISERROR(VLOOKUP(H578,#REF!,9,0)),0,VLOOKUP(H578,#REF!,9,0)*I578)/3600</f>
        <v>0</v>
      </c>
    </row>
    <row r="579" spans="2:10" x14ac:dyDescent="0.3">
      <c r="B579" s="121">
        <f t="shared" si="17"/>
        <v>0</v>
      </c>
      <c r="C579" s="122">
        <f t="shared" si="18"/>
        <v>0</v>
      </c>
      <c r="D579" s="123"/>
      <c r="E579" s="125"/>
      <c r="F579" s="125"/>
      <c r="G579" s="125"/>
      <c r="H579" s="126"/>
      <c r="I579" s="127"/>
      <c r="J579" s="118">
        <f>IF(ISERROR(VLOOKUP(H579,#REF!,9,0)),0,VLOOKUP(H579,#REF!,9,0)*I579)/3600</f>
        <v>0</v>
      </c>
    </row>
    <row r="580" spans="2:10" x14ac:dyDescent="0.3">
      <c r="B580" s="121">
        <f t="shared" si="17"/>
        <v>0</v>
      </c>
      <c r="C580" s="122">
        <f t="shared" si="18"/>
        <v>0</v>
      </c>
      <c r="D580" s="123"/>
      <c r="E580" s="124"/>
      <c r="F580" s="125"/>
      <c r="G580" s="125"/>
      <c r="H580" s="126"/>
      <c r="I580" s="127"/>
      <c r="J580" s="118">
        <f>IF(ISERROR(VLOOKUP(H580,#REF!,9,0)),0,VLOOKUP(H580,#REF!,9,0)*I580)/3600</f>
        <v>0</v>
      </c>
    </row>
    <row r="581" spans="2:10" x14ac:dyDescent="0.3">
      <c r="B581" s="121">
        <f t="shared" si="17"/>
        <v>0</v>
      </c>
      <c r="C581" s="122">
        <f t="shared" si="18"/>
        <v>0</v>
      </c>
      <c r="D581" s="123"/>
      <c r="E581" s="125"/>
      <c r="F581" s="125"/>
      <c r="G581" s="125"/>
      <c r="H581" s="126"/>
      <c r="I581" s="127"/>
      <c r="J581" s="118">
        <f>IF(ISERROR(VLOOKUP(H581,#REF!,9,0)),0,VLOOKUP(H581,#REF!,9,0)*I581)/3600</f>
        <v>0</v>
      </c>
    </row>
    <row r="582" spans="2:10" x14ac:dyDescent="0.3">
      <c r="B582" s="121">
        <f t="shared" ref="B582:B645" si="19">IF(D582&gt;0,YEAR(D582),0)</f>
        <v>0</v>
      </c>
      <c r="C582" s="122">
        <f t="shared" ref="C582:C645" si="20">IF(D582&gt;0,MONTH(D582),0)</f>
        <v>0</v>
      </c>
      <c r="D582" s="123"/>
      <c r="E582" s="124"/>
      <c r="F582" s="125"/>
      <c r="G582" s="125"/>
      <c r="H582" s="126"/>
      <c r="I582" s="127"/>
      <c r="J582" s="118">
        <f>IF(ISERROR(VLOOKUP(H582,#REF!,9,0)),0,VLOOKUP(H582,#REF!,9,0)*I582)/3600</f>
        <v>0</v>
      </c>
    </row>
    <row r="583" spans="2:10" x14ac:dyDescent="0.3">
      <c r="B583" s="121">
        <f t="shared" si="19"/>
        <v>0</v>
      </c>
      <c r="C583" s="122">
        <f t="shared" si="20"/>
        <v>0</v>
      </c>
      <c r="D583" s="123"/>
      <c r="E583" s="125"/>
      <c r="F583" s="125"/>
      <c r="G583" s="125"/>
      <c r="H583" s="126"/>
      <c r="I583" s="127"/>
      <c r="J583" s="118">
        <f>IF(ISERROR(VLOOKUP(H583,#REF!,9,0)),0,VLOOKUP(H583,#REF!,9,0)*I583)/3600</f>
        <v>0</v>
      </c>
    </row>
    <row r="584" spans="2:10" x14ac:dyDescent="0.3">
      <c r="B584" s="121">
        <f t="shared" si="19"/>
        <v>0</v>
      </c>
      <c r="C584" s="122">
        <f t="shared" si="20"/>
        <v>0</v>
      </c>
      <c r="D584" s="123"/>
      <c r="E584" s="124"/>
      <c r="F584" s="125"/>
      <c r="G584" s="125"/>
      <c r="H584" s="126"/>
      <c r="I584" s="127"/>
      <c r="J584" s="118">
        <f>IF(ISERROR(VLOOKUP(H584,#REF!,9,0)),0,VLOOKUP(H584,#REF!,9,0)*I584)/3600</f>
        <v>0</v>
      </c>
    </row>
    <row r="585" spans="2:10" x14ac:dyDescent="0.3">
      <c r="B585" s="121">
        <f t="shared" si="19"/>
        <v>0</v>
      </c>
      <c r="C585" s="122">
        <f t="shared" si="20"/>
        <v>0</v>
      </c>
      <c r="D585" s="123"/>
      <c r="E585" s="125"/>
      <c r="F585" s="125"/>
      <c r="G585" s="125"/>
      <c r="H585" s="126"/>
      <c r="I585" s="127"/>
      <c r="J585" s="118">
        <f>IF(ISERROR(VLOOKUP(H585,#REF!,9,0)),0,VLOOKUP(H585,#REF!,9,0)*I585)/3600</f>
        <v>0</v>
      </c>
    </row>
    <row r="586" spans="2:10" x14ac:dyDescent="0.3">
      <c r="B586" s="121">
        <f t="shared" si="19"/>
        <v>0</v>
      </c>
      <c r="C586" s="122">
        <f t="shared" si="20"/>
        <v>0</v>
      </c>
      <c r="D586" s="123"/>
      <c r="E586" s="124"/>
      <c r="F586" s="125"/>
      <c r="G586" s="125"/>
      <c r="H586" s="126"/>
      <c r="I586" s="127"/>
      <c r="J586" s="118">
        <f>IF(ISERROR(VLOOKUP(H586,#REF!,9,0)),0,VLOOKUP(H586,#REF!,9,0)*I586)/3600</f>
        <v>0</v>
      </c>
    </row>
    <row r="587" spans="2:10" x14ac:dyDescent="0.3">
      <c r="B587" s="121">
        <f t="shared" si="19"/>
        <v>0</v>
      </c>
      <c r="C587" s="122">
        <f t="shared" si="20"/>
        <v>0</v>
      </c>
      <c r="D587" s="123"/>
      <c r="E587" s="125"/>
      <c r="F587" s="125"/>
      <c r="G587" s="125"/>
      <c r="H587" s="126"/>
      <c r="I587" s="127"/>
      <c r="J587" s="118">
        <f>IF(ISERROR(VLOOKUP(H587,#REF!,9,0)),0,VLOOKUP(H587,#REF!,9,0)*I587)/3600</f>
        <v>0</v>
      </c>
    </row>
    <row r="588" spans="2:10" x14ac:dyDescent="0.3">
      <c r="B588" s="121">
        <f t="shared" si="19"/>
        <v>0</v>
      </c>
      <c r="C588" s="122">
        <f t="shared" si="20"/>
        <v>0</v>
      </c>
      <c r="D588" s="123"/>
      <c r="E588" s="124"/>
      <c r="F588" s="125"/>
      <c r="G588" s="125"/>
      <c r="H588" s="126"/>
      <c r="I588" s="127"/>
      <c r="J588" s="118">
        <f>IF(ISERROR(VLOOKUP(H588,#REF!,9,0)),0,VLOOKUP(H588,#REF!,9,0)*I588)/3600</f>
        <v>0</v>
      </c>
    </row>
    <row r="589" spans="2:10" x14ac:dyDescent="0.3">
      <c r="B589" s="121">
        <f t="shared" si="19"/>
        <v>0</v>
      </c>
      <c r="C589" s="122">
        <f t="shared" si="20"/>
        <v>0</v>
      </c>
      <c r="D589" s="123"/>
      <c r="E589" s="125"/>
      <c r="F589" s="125"/>
      <c r="G589" s="125"/>
      <c r="H589" s="126"/>
      <c r="I589" s="127"/>
      <c r="J589" s="118">
        <f>IF(ISERROR(VLOOKUP(H589,#REF!,9,0)),0,VLOOKUP(H589,#REF!,9,0)*I589)/3600</f>
        <v>0</v>
      </c>
    </row>
    <row r="590" spans="2:10" x14ac:dyDescent="0.3">
      <c r="B590" s="121">
        <f t="shared" si="19"/>
        <v>0</v>
      </c>
      <c r="C590" s="122">
        <f t="shared" si="20"/>
        <v>0</v>
      </c>
      <c r="D590" s="123"/>
      <c r="E590" s="124"/>
      <c r="F590" s="125"/>
      <c r="G590" s="125"/>
      <c r="H590" s="126"/>
      <c r="I590" s="127"/>
      <c r="J590" s="118">
        <f>IF(ISERROR(VLOOKUP(H590,#REF!,9,0)),0,VLOOKUP(H590,#REF!,9,0)*I590)/3600</f>
        <v>0</v>
      </c>
    </row>
    <row r="591" spans="2:10" x14ac:dyDescent="0.3">
      <c r="B591" s="121">
        <f t="shared" si="19"/>
        <v>0</v>
      </c>
      <c r="C591" s="122">
        <f t="shared" si="20"/>
        <v>0</v>
      </c>
      <c r="D591" s="123"/>
      <c r="E591" s="125"/>
      <c r="F591" s="125"/>
      <c r="G591" s="125"/>
      <c r="H591" s="126"/>
      <c r="I591" s="127"/>
      <c r="J591" s="118">
        <f>IF(ISERROR(VLOOKUP(H591,#REF!,9,0)),0,VLOOKUP(H591,#REF!,9,0)*I591)/3600</f>
        <v>0</v>
      </c>
    </row>
    <row r="592" spans="2:10" x14ac:dyDescent="0.3">
      <c r="B592" s="121">
        <f t="shared" si="19"/>
        <v>0</v>
      </c>
      <c r="C592" s="122">
        <f t="shared" si="20"/>
        <v>0</v>
      </c>
      <c r="D592" s="123"/>
      <c r="E592" s="124"/>
      <c r="F592" s="125"/>
      <c r="G592" s="125"/>
      <c r="H592" s="126"/>
      <c r="I592" s="127"/>
      <c r="J592" s="118">
        <f>IF(ISERROR(VLOOKUP(H592,#REF!,9,0)),0,VLOOKUP(H592,#REF!,9,0)*I592)/3600</f>
        <v>0</v>
      </c>
    </row>
    <row r="593" spans="2:10" x14ac:dyDescent="0.3">
      <c r="B593" s="121">
        <f t="shared" si="19"/>
        <v>0</v>
      </c>
      <c r="C593" s="122">
        <f t="shared" si="20"/>
        <v>0</v>
      </c>
      <c r="D593" s="123"/>
      <c r="E593" s="125"/>
      <c r="F593" s="125"/>
      <c r="G593" s="125"/>
      <c r="H593" s="126"/>
      <c r="I593" s="127"/>
      <c r="J593" s="118">
        <f>IF(ISERROR(VLOOKUP(H593,#REF!,9,0)),0,VLOOKUP(H593,#REF!,9,0)*I593)/3600</f>
        <v>0</v>
      </c>
    </row>
    <row r="594" spans="2:10" x14ac:dyDescent="0.3">
      <c r="B594" s="121">
        <f t="shared" si="19"/>
        <v>0</v>
      </c>
      <c r="C594" s="122">
        <f t="shared" si="20"/>
        <v>0</v>
      </c>
      <c r="D594" s="123"/>
      <c r="E594" s="124"/>
      <c r="F594" s="125"/>
      <c r="G594" s="125"/>
      <c r="H594" s="126"/>
      <c r="I594" s="127"/>
      <c r="J594" s="118">
        <f>IF(ISERROR(VLOOKUP(H594,#REF!,9,0)),0,VLOOKUP(H594,#REF!,9,0)*I594)/3600</f>
        <v>0</v>
      </c>
    </row>
    <row r="595" spans="2:10" x14ac:dyDescent="0.3">
      <c r="B595" s="121">
        <f t="shared" si="19"/>
        <v>0</v>
      </c>
      <c r="C595" s="122">
        <f t="shared" si="20"/>
        <v>0</v>
      </c>
      <c r="D595" s="123"/>
      <c r="E595" s="125"/>
      <c r="F595" s="125"/>
      <c r="G595" s="125"/>
      <c r="H595" s="126"/>
      <c r="I595" s="127"/>
      <c r="J595" s="118">
        <f>IF(ISERROR(VLOOKUP(H595,#REF!,9,0)),0,VLOOKUP(H595,#REF!,9,0)*I595)/3600</f>
        <v>0</v>
      </c>
    </row>
    <row r="596" spans="2:10" x14ac:dyDescent="0.3">
      <c r="B596" s="121">
        <f t="shared" si="19"/>
        <v>0</v>
      </c>
      <c r="C596" s="122">
        <f t="shared" si="20"/>
        <v>0</v>
      </c>
      <c r="D596" s="123"/>
      <c r="E596" s="124"/>
      <c r="F596" s="125"/>
      <c r="G596" s="125"/>
      <c r="H596" s="126"/>
      <c r="I596" s="127"/>
      <c r="J596" s="118">
        <f>IF(ISERROR(VLOOKUP(H596,#REF!,9,0)),0,VLOOKUP(H596,#REF!,9,0)*I596)/3600</f>
        <v>0</v>
      </c>
    </row>
    <row r="597" spans="2:10" x14ac:dyDescent="0.3">
      <c r="B597" s="121">
        <f t="shared" si="19"/>
        <v>0</v>
      </c>
      <c r="C597" s="122">
        <f t="shared" si="20"/>
        <v>0</v>
      </c>
      <c r="D597" s="123"/>
      <c r="E597" s="125"/>
      <c r="F597" s="125"/>
      <c r="G597" s="125"/>
      <c r="H597" s="126"/>
      <c r="I597" s="127"/>
      <c r="J597" s="118">
        <f>IF(ISERROR(VLOOKUP(H597,#REF!,9,0)),0,VLOOKUP(H597,#REF!,9,0)*I597)/3600</f>
        <v>0</v>
      </c>
    </row>
    <row r="598" spans="2:10" x14ac:dyDescent="0.3">
      <c r="B598" s="121">
        <f t="shared" si="19"/>
        <v>0</v>
      </c>
      <c r="C598" s="122">
        <f t="shared" si="20"/>
        <v>0</v>
      </c>
      <c r="D598" s="123"/>
      <c r="E598" s="124"/>
      <c r="F598" s="125"/>
      <c r="G598" s="125"/>
      <c r="H598" s="126"/>
      <c r="I598" s="127"/>
      <c r="J598" s="118">
        <f>IF(ISERROR(VLOOKUP(H598,#REF!,9,0)),0,VLOOKUP(H598,#REF!,9,0)*I598)/3600</f>
        <v>0</v>
      </c>
    </row>
    <row r="599" spans="2:10" x14ac:dyDescent="0.3">
      <c r="B599" s="121">
        <f t="shared" si="19"/>
        <v>0</v>
      </c>
      <c r="C599" s="122">
        <f t="shared" si="20"/>
        <v>0</v>
      </c>
      <c r="D599" s="123"/>
      <c r="E599" s="125"/>
      <c r="F599" s="125"/>
      <c r="G599" s="125"/>
      <c r="H599" s="126"/>
      <c r="I599" s="127"/>
      <c r="J599" s="118">
        <f>IF(ISERROR(VLOOKUP(H599,#REF!,9,0)),0,VLOOKUP(H599,#REF!,9,0)*I599)/3600</f>
        <v>0</v>
      </c>
    </row>
    <row r="600" spans="2:10" x14ac:dyDescent="0.3">
      <c r="B600" s="121">
        <f t="shared" si="19"/>
        <v>0</v>
      </c>
      <c r="C600" s="122">
        <f t="shared" si="20"/>
        <v>0</v>
      </c>
      <c r="D600" s="123"/>
      <c r="E600" s="124"/>
      <c r="F600" s="125"/>
      <c r="G600" s="125"/>
      <c r="H600" s="126"/>
      <c r="I600" s="127"/>
      <c r="J600" s="118">
        <f>IF(ISERROR(VLOOKUP(H600,#REF!,9,0)),0,VLOOKUP(H600,#REF!,9,0)*I600)/3600</f>
        <v>0</v>
      </c>
    </row>
    <row r="601" spans="2:10" x14ac:dyDescent="0.3">
      <c r="B601" s="121">
        <f t="shared" si="19"/>
        <v>0</v>
      </c>
      <c r="C601" s="122">
        <f t="shared" si="20"/>
        <v>0</v>
      </c>
      <c r="D601" s="123"/>
      <c r="E601" s="125"/>
      <c r="F601" s="125"/>
      <c r="G601" s="125"/>
      <c r="H601" s="126"/>
      <c r="I601" s="127"/>
      <c r="J601" s="118">
        <f>IF(ISERROR(VLOOKUP(H601,#REF!,9,0)),0,VLOOKUP(H601,#REF!,9,0)*I601)/3600</f>
        <v>0</v>
      </c>
    </row>
    <row r="602" spans="2:10" x14ac:dyDescent="0.3">
      <c r="B602" s="121">
        <f t="shared" si="19"/>
        <v>0</v>
      </c>
      <c r="C602" s="122">
        <f t="shared" si="20"/>
        <v>0</v>
      </c>
      <c r="D602" s="123"/>
      <c r="E602" s="124"/>
      <c r="F602" s="125"/>
      <c r="G602" s="125"/>
      <c r="H602" s="126"/>
      <c r="I602" s="127"/>
      <c r="J602" s="118">
        <f>IF(ISERROR(VLOOKUP(H602,#REF!,9,0)),0,VLOOKUP(H602,#REF!,9,0)*I602)/3600</f>
        <v>0</v>
      </c>
    </row>
    <row r="603" spans="2:10" x14ac:dyDescent="0.3">
      <c r="B603" s="121">
        <f t="shared" si="19"/>
        <v>0</v>
      </c>
      <c r="C603" s="122">
        <f t="shared" si="20"/>
        <v>0</v>
      </c>
      <c r="D603" s="123"/>
      <c r="E603" s="125"/>
      <c r="F603" s="125"/>
      <c r="G603" s="125"/>
      <c r="H603" s="126"/>
      <c r="I603" s="127"/>
      <c r="J603" s="118">
        <f>IF(ISERROR(VLOOKUP(H603,#REF!,9,0)),0,VLOOKUP(H603,#REF!,9,0)*I603)/3600</f>
        <v>0</v>
      </c>
    </row>
    <row r="604" spans="2:10" x14ac:dyDescent="0.3">
      <c r="B604" s="121">
        <f t="shared" si="19"/>
        <v>0</v>
      </c>
      <c r="C604" s="122">
        <f t="shared" si="20"/>
        <v>0</v>
      </c>
      <c r="D604" s="123"/>
      <c r="E604" s="124"/>
      <c r="F604" s="125"/>
      <c r="G604" s="125"/>
      <c r="H604" s="126"/>
      <c r="I604" s="127"/>
      <c r="J604" s="118">
        <f>IF(ISERROR(VLOOKUP(H604,#REF!,9,0)),0,VLOOKUP(H604,#REF!,9,0)*I604)/3600</f>
        <v>0</v>
      </c>
    </row>
    <row r="605" spans="2:10" x14ac:dyDescent="0.3">
      <c r="B605" s="121">
        <f t="shared" si="19"/>
        <v>0</v>
      </c>
      <c r="C605" s="122">
        <f t="shared" si="20"/>
        <v>0</v>
      </c>
      <c r="D605" s="123"/>
      <c r="E605" s="125"/>
      <c r="F605" s="125"/>
      <c r="G605" s="125"/>
      <c r="H605" s="126"/>
      <c r="I605" s="127"/>
      <c r="J605" s="118">
        <f>IF(ISERROR(VLOOKUP(H605,#REF!,9,0)),0,VLOOKUP(H605,#REF!,9,0)*I605)/3600</f>
        <v>0</v>
      </c>
    </row>
    <row r="606" spans="2:10" x14ac:dyDescent="0.3">
      <c r="B606" s="121">
        <f t="shared" si="19"/>
        <v>0</v>
      </c>
      <c r="C606" s="122">
        <f t="shared" si="20"/>
        <v>0</v>
      </c>
      <c r="D606" s="123"/>
      <c r="E606" s="124"/>
      <c r="F606" s="125"/>
      <c r="G606" s="125"/>
      <c r="H606" s="126"/>
      <c r="I606" s="127"/>
      <c r="J606" s="118">
        <f>IF(ISERROR(VLOOKUP(H606,#REF!,9,0)),0,VLOOKUP(H606,#REF!,9,0)*I606)/3600</f>
        <v>0</v>
      </c>
    </row>
    <row r="607" spans="2:10" x14ac:dyDescent="0.3">
      <c r="B607" s="121">
        <f t="shared" si="19"/>
        <v>0</v>
      </c>
      <c r="C607" s="122">
        <f t="shared" si="20"/>
        <v>0</v>
      </c>
      <c r="D607" s="123"/>
      <c r="E607" s="125"/>
      <c r="F607" s="125"/>
      <c r="G607" s="125"/>
      <c r="H607" s="126"/>
      <c r="I607" s="127"/>
      <c r="J607" s="118">
        <f>IF(ISERROR(VLOOKUP(H607,#REF!,9,0)),0,VLOOKUP(H607,#REF!,9,0)*I607)/3600</f>
        <v>0</v>
      </c>
    </row>
    <row r="608" spans="2:10" x14ac:dyDescent="0.3">
      <c r="B608" s="121">
        <f t="shared" si="19"/>
        <v>0</v>
      </c>
      <c r="C608" s="122">
        <f t="shared" si="20"/>
        <v>0</v>
      </c>
      <c r="D608" s="123"/>
      <c r="E608" s="124"/>
      <c r="F608" s="125"/>
      <c r="G608" s="125"/>
      <c r="H608" s="126"/>
      <c r="I608" s="127"/>
      <c r="J608" s="118">
        <f>IF(ISERROR(VLOOKUP(H608,#REF!,9,0)),0,VLOOKUP(H608,#REF!,9,0)*I608)/3600</f>
        <v>0</v>
      </c>
    </row>
    <row r="609" spans="2:10" x14ac:dyDescent="0.3">
      <c r="B609" s="121">
        <f t="shared" si="19"/>
        <v>0</v>
      </c>
      <c r="C609" s="122">
        <f t="shared" si="20"/>
        <v>0</v>
      </c>
      <c r="D609" s="123"/>
      <c r="E609" s="125"/>
      <c r="F609" s="125"/>
      <c r="G609" s="125"/>
      <c r="H609" s="126"/>
      <c r="I609" s="127"/>
      <c r="J609" s="118">
        <f>IF(ISERROR(VLOOKUP(H609,#REF!,9,0)),0,VLOOKUP(H609,#REF!,9,0)*I609)/3600</f>
        <v>0</v>
      </c>
    </row>
    <row r="610" spans="2:10" x14ac:dyDescent="0.3">
      <c r="B610" s="121">
        <f t="shared" si="19"/>
        <v>0</v>
      </c>
      <c r="C610" s="122">
        <f t="shared" si="20"/>
        <v>0</v>
      </c>
      <c r="D610" s="123"/>
      <c r="E610" s="124"/>
      <c r="F610" s="125"/>
      <c r="G610" s="125"/>
      <c r="H610" s="126"/>
      <c r="I610" s="127"/>
      <c r="J610" s="118">
        <f>IF(ISERROR(VLOOKUP(H610,#REF!,9,0)),0,VLOOKUP(H610,#REF!,9,0)*I610)/3600</f>
        <v>0</v>
      </c>
    </row>
    <row r="611" spans="2:10" x14ac:dyDescent="0.3">
      <c r="B611" s="121">
        <f t="shared" si="19"/>
        <v>0</v>
      </c>
      <c r="C611" s="122">
        <f t="shared" si="20"/>
        <v>0</v>
      </c>
      <c r="D611" s="123"/>
      <c r="E611" s="125"/>
      <c r="F611" s="125"/>
      <c r="G611" s="125"/>
      <c r="H611" s="126"/>
      <c r="I611" s="127"/>
      <c r="J611" s="118">
        <f>IF(ISERROR(VLOOKUP(H611,#REF!,9,0)),0,VLOOKUP(H611,#REF!,9,0)*I611)/3600</f>
        <v>0</v>
      </c>
    </row>
    <row r="612" spans="2:10" x14ac:dyDescent="0.3">
      <c r="B612" s="121">
        <f t="shared" si="19"/>
        <v>0</v>
      </c>
      <c r="C612" s="122">
        <f t="shared" si="20"/>
        <v>0</v>
      </c>
      <c r="D612" s="123"/>
      <c r="E612" s="124"/>
      <c r="F612" s="125"/>
      <c r="G612" s="125"/>
      <c r="H612" s="126"/>
      <c r="I612" s="127"/>
      <c r="J612" s="118">
        <f>IF(ISERROR(VLOOKUP(H612,#REF!,9,0)),0,VLOOKUP(H612,#REF!,9,0)*I612)/3600</f>
        <v>0</v>
      </c>
    </row>
    <row r="613" spans="2:10" x14ac:dyDescent="0.3">
      <c r="B613" s="121">
        <f t="shared" si="19"/>
        <v>0</v>
      </c>
      <c r="C613" s="122">
        <f t="shared" si="20"/>
        <v>0</v>
      </c>
      <c r="D613" s="123"/>
      <c r="E613" s="125"/>
      <c r="F613" s="125"/>
      <c r="G613" s="125"/>
      <c r="H613" s="126"/>
      <c r="I613" s="127"/>
      <c r="J613" s="118">
        <f>IF(ISERROR(VLOOKUP(H613,#REF!,9,0)),0,VLOOKUP(H613,#REF!,9,0)*I613)/3600</f>
        <v>0</v>
      </c>
    </row>
    <row r="614" spans="2:10" x14ac:dyDescent="0.3">
      <c r="B614" s="121">
        <f t="shared" si="19"/>
        <v>0</v>
      </c>
      <c r="C614" s="122">
        <f t="shared" si="20"/>
        <v>0</v>
      </c>
      <c r="D614" s="123"/>
      <c r="E614" s="124"/>
      <c r="F614" s="125"/>
      <c r="G614" s="125"/>
      <c r="H614" s="126"/>
      <c r="I614" s="127"/>
      <c r="J614" s="118">
        <f>IF(ISERROR(VLOOKUP(H614,#REF!,9,0)),0,VLOOKUP(H614,#REF!,9,0)*I614)/3600</f>
        <v>0</v>
      </c>
    </row>
    <row r="615" spans="2:10" x14ac:dyDescent="0.3">
      <c r="B615" s="121">
        <f t="shared" si="19"/>
        <v>0</v>
      </c>
      <c r="C615" s="122">
        <f t="shared" si="20"/>
        <v>0</v>
      </c>
      <c r="D615" s="123"/>
      <c r="E615" s="125"/>
      <c r="F615" s="125"/>
      <c r="G615" s="125"/>
      <c r="H615" s="126"/>
      <c r="I615" s="127"/>
      <c r="J615" s="118">
        <f>IF(ISERROR(VLOOKUP(H615,#REF!,9,0)),0,VLOOKUP(H615,#REF!,9,0)*I615)/3600</f>
        <v>0</v>
      </c>
    </row>
    <row r="616" spans="2:10" x14ac:dyDescent="0.3">
      <c r="B616" s="121">
        <f t="shared" si="19"/>
        <v>0</v>
      </c>
      <c r="C616" s="122">
        <f t="shared" si="20"/>
        <v>0</v>
      </c>
      <c r="D616" s="123"/>
      <c r="E616" s="124"/>
      <c r="F616" s="125"/>
      <c r="G616" s="125"/>
      <c r="H616" s="126"/>
      <c r="I616" s="127"/>
      <c r="J616" s="118">
        <f>IF(ISERROR(VLOOKUP(H616,#REF!,9,0)),0,VLOOKUP(H616,#REF!,9,0)*I616)/3600</f>
        <v>0</v>
      </c>
    </row>
    <row r="617" spans="2:10" x14ac:dyDescent="0.3">
      <c r="B617" s="121">
        <f t="shared" si="19"/>
        <v>0</v>
      </c>
      <c r="C617" s="122">
        <f t="shared" si="20"/>
        <v>0</v>
      </c>
      <c r="D617" s="123"/>
      <c r="E617" s="125"/>
      <c r="F617" s="125"/>
      <c r="G617" s="125"/>
      <c r="H617" s="126"/>
      <c r="I617" s="127"/>
      <c r="J617" s="118">
        <f>IF(ISERROR(VLOOKUP(H617,#REF!,9,0)),0,VLOOKUP(H617,#REF!,9,0)*I617)/3600</f>
        <v>0</v>
      </c>
    </row>
    <row r="618" spans="2:10" x14ac:dyDescent="0.3">
      <c r="B618" s="121">
        <f t="shared" si="19"/>
        <v>0</v>
      </c>
      <c r="C618" s="122">
        <f t="shared" si="20"/>
        <v>0</v>
      </c>
      <c r="D618" s="123"/>
      <c r="E618" s="124"/>
      <c r="F618" s="125"/>
      <c r="G618" s="125"/>
      <c r="H618" s="126"/>
      <c r="I618" s="127"/>
      <c r="J618" s="118">
        <f>IF(ISERROR(VLOOKUP(H618,#REF!,9,0)),0,VLOOKUP(H618,#REF!,9,0)*I618)/3600</f>
        <v>0</v>
      </c>
    </row>
    <row r="619" spans="2:10" x14ac:dyDescent="0.3">
      <c r="B619" s="121">
        <f t="shared" si="19"/>
        <v>0</v>
      </c>
      <c r="C619" s="122">
        <f t="shared" si="20"/>
        <v>0</v>
      </c>
      <c r="D619" s="123"/>
      <c r="E619" s="125"/>
      <c r="F619" s="125"/>
      <c r="G619" s="125"/>
      <c r="H619" s="126"/>
      <c r="I619" s="127"/>
      <c r="J619" s="118">
        <f>IF(ISERROR(VLOOKUP(H619,#REF!,9,0)),0,VLOOKUP(H619,#REF!,9,0)*I619)/3600</f>
        <v>0</v>
      </c>
    </row>
    <row r="620" spans="2:10" x14ac:dyDescent="0.3">
      <c r="B620" s="121">
        <f t="shared" si="19"/>
        <v>0</v>
      </c>
      <c r="C620" s="122">
        <f t="shared" si="20"/>
        <v>0</v>
      </c>
      <c r="D620" s="123"/>
      <c r="E620" s="124"/>
      <c r="F620" s="125"/>
      <c r="G620" s="125"/>
      <c r="H620" s="126"/>
      <c r="I620" s="127"/>
      <c r="J620" s="118">
        <f>IF(ISERROR(VLOOKUP(H620,#REF!,9,0)),0,VLOOKUP(H620,#REF!,9,0)*I620)/3600</f>
        <v>0</v>
      </c>
    </row>
    <row r="621" spans="2:10" x14ac:dyDescent="0.3">
      <c r="B621" s="121">
        <f t="shared" si="19"/>
        <v>0</v>
      </c>
      <c r="C621" s="122">
        <f t="shared" si="20"/>
        <v>0</v>
      </c>
      <c r="D621" s="123"/>
      <c r="E621" s="125"/>
      <c r="F621" s="125"/>
      <c r="G621" s="125"/>
      <c r="H621" s="126"/>
      <c r="I621" s="127"/>
      <c r="J621" s="118">
        <f>IF(ISERROR(VLOOKUP(H621,#REF!,9,0)),0,VLOOKUP(H621,#REF!,9,0)*I621)/3600</f>
        <v>0</v>
      </c>
    </row>
    <row r="622" spans="2:10" x14ac:dyDescent="0.3">
      <c r="B622" s="121">
        <f t="shared" si="19"/>
        <v>0</v>
      </c>
      <c r="C622" s="122">
        <f t="shared" si="20"/>
        <v>0</v>
      </c>
      <c r="D622" s="123"/>
      <c r="E622" s="124"/>
      <c r="F622" s="125"/>
      <c r="G622" s="125"/>
      <c r="H622" s="126"/>
      <c r="I622" s="127"/>
      <c r="J622" s="118">
        <f>IF(ISERROR(VLOOKUP(H622,#REF!,9,0)),0,VLOOKUP(H622,#REF!,9,0)*I622)/3600</f>
        <v>0</v>
      </c>
    </row>
    <row r="623" spans="2:10" x14ac:dyDescent="0.3">
      <c r="B623" s="121">
        <f t="shared" si="19"/>
        <v>0</v>
      </c>
      <c r="C623" s="122">
        <f t="shared" si="20"/>
        <v>0</v>
      </c>
      <c r="D623" s="123"/>
      <c r="E623" s="125"/>
      <c r="F623" s="125"/>
      <c r="G623" s="125"/>
      <c r="H623" s="126"/>
      <c r="I623" s="127"/>
      <c r="J623" s="118">
        <f>IF(ISERROR(VLOOKUP(H623,#REF!,9,0)),0,VLOOKUP(H623,#REF!,9,0)*I623)/3600</f>
        <v>0</v>
      </c>
    </row>
    <row r="624" spans="2:10" x14ac:dyDescent="0.3">
      <c r="B624" s="121">
        <f t="shared" si="19"/>
        <v>0</v>
      </c>
      <c r="C624" s="122">
        <f t="shared" si="20"/>
        <v>0</v>
      </c>
      <c r="D624" s="123"/>
      <c r="E624" s="124"/>
      <c r="F624" s="125"/>
      <c r="G624" s="125"/>
      <c r="H624" s="126"/>
      <c r="I624" s="127"/>
      <c r="J624" s="118">
        <f>IF(ISERROR(VLOOKUP(H624,#REF!,9,0)),0,VLOOKUP(H624,#REF!,9,0)*I624)/3600</f>
        <v>0</v>
      </c>
    </row>
    <row r="625" spans="2:10" x14ac:dyDescent="0.3">
      <c r="B625" s="121">
        <f t="shared" si="19"/>
        <v>0</v>
      </c>
      <c r="C625" s="122">
        <f t="shared" si="20"/>
        <v>0</v>
      </c>
      <c r="D625" s="123"/>
      <c r="E625" s="125"/>
      <c r="F625" s="125"/>
      <c r="G625" s="125"/>
      <c r="H625" s="126"/>
      <c r="I625" s="127"/>
      <c r="J625" s="118">
        <f>IF(ISERROR(VLOOKUP(H625,#REF!,9,0)),0,VLOOKUP(H625,#REF!,9,0)*I625)/3600</f>
        <v>0</v>
      </c>
    </row>
    <row r="626" spans="2:10" x14ac:dyDescent="0.3">
      <c r="B626" s="121">
        <f t="shared" si="19"/>
        <v>0</v>
      </c>
      <c r="C626" s="122">
        <f t="shared" si="20"/>
        <v>0</v>
      </c>
      <c r="D626" s="123"/>
      <c r="E626" s="124"/>
      <c r="F626" s="125"/>
      <c r="G626" s="125"/>
      <c r="H626" s="126"/>
      <c r="I626" s="127"/>
      <c r="J626" s="118">
        <f>IF(ISERROR(VLOOKUP(H626,#REF!,9,0)),0,VLOOKUP(H626,#REF!,9,0)*I626)/3600</f>
        <v>0</v>
      </c>
    </row>
    <row r="627" spans="2:10" x14ac:dyDescent="0.3">
      <c r="B627" s="121">
        <f t="shared" si="19"/>
        <v>0</v>
      </c>
      <c r="C627" s="122">
        <f t="shared" si="20"/>
        <v>0</v>
      </c>
      <c r="D627" s="123"/>
      <c r="E627" s="125"/>
      <c r="F627" s="125"/>
      <c r="G627" s="125"/>
      <c r="H627" s="126"/>
      <c r="I627" s="127"/>
      <c r="J627" s="118">
        <f>IF(ISERROR(VLOOKUP(H627,#REF!,9,0)),0,VLOOKUP(H627,#REF!,9,0)*I627)/3600</f>
        <v>0</v>
      </c>
    </row>
    <row r="628" spans="2:10" x14ac:dyDescent="0.3">
      <c r="B628" s="121">
        <f t="shared" si="19"/>
        <v>0</v>
      </c>
      <c r="C628" s="122">
        <f t="shared" si="20"/>
        <v>0</v>
      </c>
      <c r="D628" s="123"/>
      <c r="E628" s="124"/>
      <c r="F628" s="125"/>
      <c r="G628" s="125"/>
      <c r="H628" s="126"/>
      <c r="I628" s="127"/>
      <c r="J628" s="118">
        <f>IF(ISERROR(VLOOKUP(H628,#REF!,9,0)),0,VLOOKUP(H628,#REF!,9,0)*I628)/3600</f>
        <v>0</v>
      </c>
    </row>
    <row r="629" spans="2:10" x14ac:dyDescent="0.3">
      <c r="B629" s="121">
        <f t="shared" si="19"/>
        <v>0</v>
      </c>
      <c r="C629" s="122">
        <f t="shared" si="20"/>
        <v>0</v>
      </c>
      <c r="D629" s="123"/>
      <c r="E629" s="125"/>
      <c r="F629" s="125"/>
      <c r="G629" s="125"/>
      <c r="H629" s="126"/>
      <c r="I629" s="127"/>
      <c r="J629" s="118">
        <f>IF(ISERROR(VLOOKUP(H629,#REF!,9,0)),0,VLOOKUP(H629,#REF!,9,0)*I629)/3600</f>
        <v>0</v>
      </c>
    </row>
    <row r="630" spans="2:10" x14ac:dyDescent="0.3">
      <c r="B630" s="121">
        <f t="shared" si="19"/>
        <v>0</v>
      </c>
      <c r="C630" s="122">
        <f t="shared" si="20"/>
        <v>0</v>
      </c>
      <c r="D630" s="123"/>
      <c r="E630" s="124"/>
      <c r="F630" s="125"/>
      <c r="G630" s="125"/>
      <c r="H630" s="126"/>
      <c r="I630" s="127"/>
      <c r="J630" s="118">
        <f>IF(ISERROR(VLOOKUP(H630,#REF!,9,0)),0,VLOOKUP(H630,#REF!,9,0)*I630)/3600</f>
        <v>0</v>
      </c>
    </row>
    <row r="631" spans="2:10" x14ac:dyDescent="0.3">
      <c r="B631" s="121">
        <f t="shared" si="19"/>
        <v>0</v>
      </c>
      <c r="C631" s="122">
        <f t="shared" si="20"/>
        <v>0</v>
      </c>
      <c r="D631" s="123"/>
      <c r="E631" s="125"/>
      <c r="F631" s="125"/>
      <c r="G631" s="125"/>
      <c r="H631" s="126"/>
      <c r="I631" s="127"/>
      <c r="J631" s="118">
        <f>IF(ISERROR(VLOOKUP(H631,#REF!,9,0)),0,VLOOKUP(H631,#REF!,9,0)*I631)/3600</f>
        <v>0</v>
      </c>
    </row>
    <row r="632" spans="2:10" x14ac:dyDescent="0.3">
      <c r="B632" s="121">
        <f t="shared" si="19"/>
        <v>0</v>
      </c>
      <c r="C632" s="122">
        <f t="shared" si="20"/>
        <v>0</v>
      </c>
      <c r="D632" s="123"/>
      <c r="E632" s="124"/>
      <c r="F632" s="125"/>
      <c r="G632" s="125"/>
      <c r="H632" s="126"/>
      <c r="I632" s="127"/>
      <c r="J632" s="118">
        <f>IF(ISERROR(VLOOKUP(H632,#REF!,9,0)),0,VLOOKUP(H632,#REF!,9,0)*I632)/3600</f>
        <v>0</v>
      </c>
    </row>
    <row r="633" spans="2:10" x14ac:dyDescent="0.3">
      <c r="B633" s="121">
        <f t="shared" si="19"/>
        <v>0</v>
      </c>
      <c r="C633" s="122">
        <f t="shared" si="20"/>
        <v>0</v>
      </c>
      <c r="D633" s="123"/>
      <c r="E633" s="125"/>
      <c r="F633" s="125"/>
      <c r="G633" s="125"/>
      <c r="H633" s="126"/>
      <c r="I633" s="127"/>
      <c r="J633" s="118">
        <f>IF(ISERROR(VLOOKUP(H633,#REF!,9,0)),0,VLOOKUP(H633,#REF!,9,0)*I633)/3600</f>
        <v>0</v>
      </c>
    </row>
    <row r="634" spans="2:10" x14ac:dyDescent="0.3">
      <c r="B634" s="121">
        <f t="shared" si="19"/>
        <v>0</v>
      </c>
      <c r="C634" s="122">
        <f t="shared" si="20"/>
        <v>0</v>
      </c>
      <c r="D634" s="123"/>
      <c r="E634" s="124"/>
      <c r="F634" s="125"/>
      <c r="G634" s="125"/>
      <c r="H634" s="126"/>
      <c r="I634" s="127"/>
      <c r="J634" s="118">
        <f>IF(ISERROR(VLOOKUP(H634,#REF!,9,0)),0,VLOOKUP(H634,#REF!,9,0)*I634)/3600</f>
        <v>0</v>
      </c>
    </row>
    <row r="635" spans="2:10" x14ac:dyDescent="0.3">
      <c r="B635" s="121">
        <f t="shared" si="19"/>
        <v>0</v>
      </c>
      <c r="C635" s="122">
        <f t="shared" si="20"/>
        <v>0</v>
      </c>
      <c r="D635" s="123"/>
      <c r="E635" s="125"/>
      <c r="F635" s="125"/>
      <c r="G635" s="125"/>
      <c r="H635" s="126"/>
      <c r="I635" s="127"/>
      <c r="J635" s="118">
        <f>IF(ISERROR(VLOOKUP(H635,#REF!,9,0)),0,VLOOKUP(H635,#REF!,9,0)*I635)/3600</f>
        <v>0</v>
      </c>
    </row>
    <row r="636" spans="2:10" x14ac:dyDescent="0.3">
      <c r="B636" s="121">
        <f t="shared" si="19"/>
        <v>0</v>
      </c>
      <c r="C636" s="122">
        <f t="shared" si="20"/>
        <v>0</v>
      </c>
      <c r="D636" s="123"/>
      <c r="E636" s="124"/>
      <c r="F636" s="125"/>
      <c r="G636" s="125"/>
      <c r="H636" s="126"/>
      <c r="I636" s="127"/>
      <c r="J636" s="118">
        <f>IF(ISERROR(VLOOKUP(H636,#REF!,9,0)),0,VLOOKUP(H636,#REF!,9,0)*I636)/3600</f>
        <v>0</v>
      </c>
    </row>
    <row r="637" spans="2:10" x14ac:dyDescent="0.3">
      <c r="B637" s="121">
        <f t="shared" si="19"/>
        <v>0</v>
      </c>
      <c r="C637" s="122">
        <f t="shared" si="20"/>
        <v>0</v>
      </c>
      <c r="D637" s="123"/>
      <c r="E637" s="125"/>
      <c r="F637" s="125"/>
      <c r="G637" s="125"/>
      <c r="H637" s="126"/>
      <c r="I637" s="127"/>
      <c r="J637" s="118">
        <f>IF(ISERROR(VLOOKUP(H637,#REF!,9,0)),0,VLOOKUP(H637,#REF!,9,0)*I637)/3600</f>
        <v>0</v>
      </c>
    </row>
    <row r="638" spans="2:10" x14ac:dyDescent="0.3">
      <c r="B638" s="121">
        <f t="shared" si="19"/>
        <v>0</v>
      </c>
      <c r="C638" s="122">
        <f t="shared" si="20"/>
        <v>0</v>
      </c>
      <c r="D638" s="123"/>
      <c r="E638" s="124"/>
      <c r="F638" s="125"/>
      <c r="G638" s="125"/>
      <c r="H638" s="126"/>
      <c r="I638" s="127"/>
      <c r="J638" s="118">
        <f>IF(ISERROR(VLOOKUP(H638,#REF!,9,0)),0,VLOOKUP(H638,#REF!,9,0)*I638)/3600</f>
        <v>0</v>
      </c>
    </row>
    <row r="639" spans="2:10" x14ac:dyDescent="0.3">
      <c r="B639" s="121">
        <f t="shared" si="19"/>
        <v>0</v>
      </c>
      <c r="C639" s="122">
        <f t="shared" si="20"/>
        <v>0</v>
      </c>
      <c r="D639" s="123"/>
      <c r="E639" s="125"/>
      <c r="F639" s="125"/>
      <c r="G639" s="125"/>
      <c r="H639" s="126"/>
      <c r="I639" s="127"/>
      <c r="J639" s="118">
        <f>IF(ISERROR(VLOOKUP(H639,#REF!,9,0)),0,VLOOKUP(H639,#REF!,9,0)*I639)/3600</f>
        <v>0</v>
      </c>
    </row>
    <row r="640" spans="2:10" x14ac:dyDescent="0.3">
      <c r="B640" s="121">
        <f t="shared" si="19"/>
        <v>0</v>
      </c>
      <c r="C640" s="122">
        <f t="shared" si="20"/>
        <v>0</v>
      </c>
      <c r="D640" s="123"/>
      <c r="E640" s="124"/>
      <c r="F640" s="125"/>
      <c r="G640" s="125"/>
      <c r="H640" s="126"/>
      <c r="I640" s="127"/>
      <c r="J640" s="118">
        <f>IF(ISERROR(VLOOKUP(H640,#REF!,9,0)),0,VLOOKUP(H640,#REF!,9,0)*I640)/3600</f>
        <v>0</v>
      </c>
    </row>
    <row r="641" spans="2:10" x14ac:dyDescent="0.3">
      <c r="B641" s="121">
        <f t="shared" si="19"/>
        <v>0</v>
      </c>
      <c r="C641" s="122">
        <f t="shared" si="20"/>
        <v>0</v>
      </c>
      <c r="D641" s="123"/>
      <c r="E641" s="125"/>
      <c r="F641" s="125"/>
      <c r="G641" s="125"/>
      <c r="H641" s="126"/>
      <c r="I641" s="127"/>
      <c r="J641" s="118">
        <f>IF(ISERROR(VLOOKUP(H641,#REF!,9,0)),0,VLOOKUP(H641,#REF!,9,0)*I641)/3600</f>
        <v>0</v>
      </c>
    </row>
    <row r="642" spans="2:10" x14ac:dyDescent="0.3">
      <c r="B642" s="121">
        <f t="shared" si="19"/>
        <v>0</v>
      </c>
      <c r="C642" s="122">
        <f t="shared" si="20"/>
        <v>0</v>
      </c>
      <c r="D642" s="123"/>
      <c r="E642" s="124"/>
      <c r="F642" s="125"/>
      <c r="G642" s="125"/>
      <c r="H642" s="126"/>
      <c r="I642" s="127"/>
      <c r="J642" s="118">
        <f>IF(ISERROR(VLOOKUP(H642,#REF!,9,0)),0,VLOOKUP(H642,#REF!,9,0)*I642)/3600</f>
        <v>0</v>
      </c>
    </row>
    <row r="643" spans="2:10" x14ac:dyDescent="0.3">
      <c r="B643" s="121">
        <f t="shared" si="19"/>
        <v>0</v>
      </c>
      <c r="C643" s="122">
        <f t="shared" si="20"/>
        <v>0</v>
      </c>
      <c r="D643" s="123"/>
      <c r="E643" s="125"/>
      <c r="F643" s="125"/>
      <c r="G643" s="125"/>
      <c r="H643" s="126"/>
      <c r="I643" s="127"/>
      <c r="J643" s="118">
        <f>IF(ISERROR(VLOOKUP(H643,#REF!,9,0)),0,VLOOKUP(H643,#REF!,9,0)*I643)/3600</f>
        <v>0</v>
      </c>
    </row>
    <row r="644" spans="2:10" x14ac:dyDescent="0.3">
      <c r="B644" s="121">
        <f t="shared" si="19"/>
        <v>0</v>
      </c>
      <c r="C644" s="122">
        <f t="shared" si="20"/>
        <v>0</v>
      </c>
      <c r="D644" s="123"/>
      <c r="E644" s="124"/>
      <c r="F644" s="125"/>
      <c r="G644" s="125"/>
      <c r="H644" s="126"/>
      <c r="I644" s="127"/>
      <c r="J644" s="118">
        <f>IF(ISERROR(VLOOKUP(H644,#REF!,9,0)),0,VLOOKUP(H644,#REF!,9,0)*I644)/3600</f>
        <v>0</v>
      </c>
    </row>
    <row r="645" spans="2:10" x14ac:dyDescent="0.3">
      <c r="B645" s="121">
        <f t="shared" si="19"/>
        <v>0</v>
      </c>
      <c r="C645" s="122">
        <f t="shared" si="20"/>
        <v>0</v>
      </c>
      <c r="D645" s="123"/>
      <c r="E645" s="125"/>
      <c r="F645" s="125"/>
      <c r="G645" s="125"/>
      <c r="H645" s="126"/>
      <c r="I645" s="127"/>
      <c r="J645" s="118">
        <f>IF(ISERROR(VLOOKUP(H645,#REF!,9,0)),0,VLOOKUP(H645,#REF!,9,0)*I645)/3600</f>
        <v>0</v>
      </c>
    </row>
    <row r="646" spans="2:10" x14ac:dyDescent="0.3">
      <c r="B646" s="121">
        <f t="shared" ref="B646:B709" si="21">IF(D646&gt;0,YEAR(D646),0)</f>
        <v>0</v>
      </c>
      <c r="C646" s="122">
        <f t="shared" ref="C646:C709" si="22">IF(D646&gt;0,MONTH(D646),0)</f>
        <v>0</v>
      </c>
      <c r="D646" s="123"/>
      <c r="E646" s="124"/>
      <c r="F646" s="125"/>
      <c r="G646" s="125"/>
      <c r="H646" s="126"/>
      <c r="I646" s="127"/>
      <c r="J646" s="118">
        <f>IF(ISERROR(VLOOKUP(H646,#REF!,9,0)),0,VLOOKUP(H646,#REF!,9,0)*I646)/3600</f>
        <v>0</v>
      </c>
    </row>
    <row r="647" spans="2:10" x14ac:dyDescent="0.3">
      <c r="B647" s="121">
        <f t="shared" si="21"/>
        <v>0</v>
      </c>
      <c r="C647" s="122">
        <f t="shared" si="22"/>
        <v>0</v>
      </c>
      <c r="D647" s="123"/>
      <c r="E647" s="125"/>
      <c r="F647" s="125"/>
      <c r="G647" s="125"/>
      <c r="H647" s="126"/>
      <c r="I647" s="127"/>
      <c r="J647" s="118">
        <f>IF(ISERROR(VLOOKUP(H647,#REF!,9,0)),0,VLOOKUP(H647,#REF!,9,0)*I647)/3600</f>
        <v>0</v>
      </c>
    </row>
    <row r="648" spans="2:10" x14ac:dyDescent="0.3">
      <c r="B648" s="121">
        <f t="shared" si="21"/>
        <v>0</v>
      </c>
      <c r="C648" s="122">
        <f t="shared" si="22"/>
        <v>0</v>
      </c>
      <c r="D648" s="123"/>
      <c r="E648" s="124"/>
      <c r="F648" s="125"/>
      <c r="G648" s="125"/>
      <c r="H648" s="126"/>
      <c r="I648" s="127"/>
      <c r="J648" s="118">
        <f>IF(ISERROR(VLOOKUP(H648,#REF!,9,0)),0,VLOOKUP(H648,#REF!,9,0)*I648)/3600</f>
        <v>0</v>
      </c>
    </row>
    <row r="649" spans="2:10" x14ac:dyDescent="0.3">
      <c r="B649" s="121">
        <f t="shared" si="21"/>
        <v>0</v>
      </c>
      <c r="C649" s="122">
        <f t="shared" si="22"/>
        <v>0</v>
      </c>
      <c r="D649" s="123"/>
      <c r="E649" s="125"/>
      <c r="F649" s="125"/>
      <c r="G649" s="125"/>
      <c r="H649" s="126"/>
      <c r="I649" s="127"/>
      <c r="J649" s="118">
        <f>IF(ISERROR(VLOOKUP(H649,#REF!,9,0)),0,VLOOKUP(H649,#REF!,9,0)*I649)/3600</f>
        <v>0</v>
      </c>
    </row>
    <row r="650" spans="2:10" x14ac:dyDescent="0.3">
      <c r="B650" s="121">
        <f t="shared" si="21"/>
        <v>0</v>
      </c>
      <c r="C650" s="122">
        <f t="shared" si="22"/>
        <v>0</v>
      </c>
      <c r="D650" s="123"/>
      <c r="E650" s="124"/>
      <c r="F650" s="125"/>
      <c r="G650" s="125"/>
      <c r="H650" s="126"/>
      <c r="I650" s="127"/>
      <c r="J650" s="118">
        <f>IF(ISERROR(VLOOKUP(H650,#REF!,9,0)),0,VLOOKUP(H650,#REF!,9,0)*I650)/3600</f>
        <v>0</v>
      </c>
    </row>
    <row r="651" spans="2:10" x14ac:dyDescent="0.3">
      <c r="B651" s="121">
        <f t="shared" si="21"/>
        <v>0</v>
      </c>
      <c r="C651" s="122">
        <f t="shared" si="22"/>
        <v>0</v>
      </c>
      <c r="D651" s="123"/>
      <c r="E651" s="125"/>
      <c r="F651" s="125"/>
      <c r="G651" s="125"/>
      <c r="H651" s="126"/>
      <c r="I651" s="127"/>
      <c r="J651" s="118">
        <f>IF(ISERROR(VLOOKUP(H651,#REF!,9,0)),0,VLOOKUP(H651,#REF!,9,0)*I651)/3600</f>
        <v>0</v>
      </c>
    </row>
    <row r="652" spans="2:10" x14ac:dyDescent="0.3">
      <c r="B652" s="121">
        <f t="shared" si="21"/>
        <v>0</v>
      </c>
      <c r="C652" s="122">
        <f t="shared" si="22"/>
        <v>0</v>
      </c>
      <c r="D652" s="123"/>
      <c r="E652" s="124"/>
      <c r="F652" s="125"/>
      <c r="G652" s="125"/>
      <c r="H652" s="126"/>
      <c r="I652" s="127"/>
      <c r="J652" s="118">
        <f>IF(ISERROR(VLOOKUP(H652,#REF!,9,0)),0,VLOOKUP(H652,#REF!,9,0)*I652)/3600</f>
        <v>0</v>
      </c>
    </row>
    <row r="653" spans="2:10" x14ac:dyDescent="0.3">
      <c r="B653" s="121">
        <f t="shared" si="21"/>
        <v>0</v>
      </c>
      <c r="C653" s="122">
        <f t="shared" si="22"/>
        <v>0</v>
      </c>
      <c r="D653" s="123"/>
      <c r="E653" s="125"/>
      <c r="F653" s="125"/>
      <c r="G653" s="125"/>
      <c r="H653" s="126"/>
      <c r="I653" s="127"/>
      <c r="J653" s="118">
        <f>IF(ISERROR(VLOOKUP(H653,#REF!,9,0)),0,VLOOKUP(H653,#REF!,9,0)*I653)/3600</f>
        <v>0</v>
      </c>
    </row>
    <row r="654" spans="2:10" x14ac:dyDescent="0.3">
      <c r="B654" s="121">
        <f t="shared" si="21"/>
        <v>0</v>
      </c>
      <c r="C654" s="122">
        <f t="shared" si="22"/>
        <v>0</v>
      </c>
      <c r="D654" s="123"/>
      <c r="E654" s="124"/>
      <c r="F654" s="125"/>
      <c r="G654" s="125"/>
      <c r="H654" s="126"/>
      <c r="I654" s="127"/>
      <c r="J654" s="118">
        <f>IF(ISERROR(VLOOKUP(H654,#REF!,9,0)),0,VLOOKUP(H654,#REF!,9,0)*I654)/3600</f>
        <v>0</v>
      </c>
    </row>
    <row r="655" spans="2:10" x14ac:dyDescent="0.3">
      <c r="B655" s="121">
        <f t="shared" si="21"/>
        <v>0</v>
      </c>
      <c r="C655" s="122">
        <f t="shared" si="22"/>
        <v>0</v>
      </c>
      <c r="D655" s="123"/>
      <c r="E655" s="125"/>
      <c r="F655" s="125"/>
      <c r="G655" s="125"/>
      <c r="H655" s="126"/>
      <c r="I655" s="127"/>
      <c r="J655" s="118">
        <f>IF(ISERROR(VLOOKUP(H655,#REF!,9,0)),0,VLOOKUP(H655,#REF!,9,0)*I655)/3600</f>
        <v>0</v>
      </c>
    </row>
    <row r="656" spans="2:10" x14ac:dyDescent="0.3">
      <c r="B656" s="121">
        <f t="shared" si="21"/>
        <v>0</v>
      </c>
      <c r="C656" s="122">
        <f t="shared" si="22"/>
        <v>0</v>
      </c>
      <c r="D656" s="123"/>
      <c r="E656" s="124"/>
      <c r="F656" s="125"/>
      <c r="G656" s="125"/>
      <c r="H656" s="126"/>
      <c r="I656" s="127"/>
      <c r="J656" s="118">
        <f>IF(ISERROR(VLOOKUP(H656,#REF!,9,0)),0,VLOOKUP(H656,#REF!,9,0)*I656)/3600</f>
        <v>0</v>
      </c>
    </row>
    <row r="657" spans="2:10" x14ac:dyDescent="0.3">
      <c r="B657" s="121">
        <f t="shared" si="21"/>
        <v>0</v>
      </c>
      <c r="C657" s="122">
        <f t="shared" si="22"/>
        <v>0</v>
      </c>
      <c r="D657" s="123"/>
      <c r="E657" s="125"/>
      <c r="F657" s="125"/>
      <c r="G657" s="125"/>
      <c r="H657" s="126"/>
      <c r="I657" s="127"/>
      <c r="J657" s="118">
        <f>IF(ISERROR(VLOOKUP(H657,#REF!,9,0)),0,VLOOKUP(H657,#REF!,9,0)*I657)/3600</f>
        <v>0</v>
      </c>
    </row>
    <row r="658" spans="2:10" x14ac:dyDescent="0.3">
      <c r="B658" s="121">
        <f t="shared" si="21"/>
        <v>0</v>
      </c>
      <c r="C658" s="122">
        <f t="shared" si="22"/>
        <v>0</v>
      </c>
      <c r="D658" s="123"/>
      <c r="E658" s="124"/>
      <c r="F658" s="125"/>
      <c r="G658" s="125"/>
      <c r="H658" s="126"/>
      <c r="I658" s="127"/>
      <c r="J658" s="118">
        <f>IF(ISERROR(VLOOKUP(H658,#REF!,9,0)),0,VLOOKUP(H658,#REF!,9,0)*I658)/3600</f>
        <v>0</v>
      </c>
    </row>
    <row r="659" spans="2:10" x14ac:dyDescent="0.3">
      <c r="B659" s="121">
        <f t="shared" si="21"/>
        <v>0</v>
      </c>
      <c r="C659" s="122">
        <f t="shared" si="22"/>
        <v>0</v>
      </c>
      <c r="D659" s="123"/>
      <c r="E659" s="125"/>
      <c r="F659" s="125"/>
      <c r="G659" s="125"/>
      <c r="H659" s="126"/>
      <c r="I659" s="127"/>
      <c r="J659" s="118">
        <f>IF(ISERROR(VLOOKUP(H659,#REF!,9,0)),0,VLOOKUP(H659,#REF!,9,0)*I659)/3600</f>
        <v>0</v>
      </c>
    </row>
    <row r="660" spans="2:10" x14ac:dyDescent="0.3">
      <c r="B660" s="121">
        <f t="shared" si="21"/>
        <v>0</v>
      </c>
      <c r="C660" s="122">
        <f t="shared" si="22"/>
        <v>0</v>
      </c>
      <c r="D660" s="123"/>
      <c r="E660" s="124"/>
      <c r="F660" s="125"/>
      <c r="G660" s="125"/>
      <c r="H660" s="126"/>
      <c r="I660" s="127"/>
      <c r="J660" s="118">
        <f>IF(ISERROR(VLOOKUP(H660,#REF!,9,0)),0,VLOOKUP(H660,#REF!,9,0)*I660)/3600</f>
        <v>0</v>
      </c>
    </row>
    <row r="661" spans="2:10" x14ac:dyDescent="0.3">
      <c r="B661" s="121">
        <f t="shared" si="21"/>
        <v>0</v>
      </c>
      <c r="C661" s="122">
        <f t="shared" si="22"/>
        <v>0</v>
      </c>
      <c r="D661" s="123"/>
      <c r="E661" s="125"/>
      <c r="F661" s="125"/>
      <c r="G661" s="125"/>
      <c r="H661" s="126"/>
      <c r="I661" s="127"/>
      <c r="J661" s="118">
        <f>IF(ISERROR(VLOOKUP(H661,#REF!,9,0)),0,VLOOKUP(H661,#REF!,9,0)*I661)/3600</f>
        <v>0</v>
      </c>
    </row>
    <row r="662" spans="2:10" x14ac:dyDescent="0.3">
      <c r="B662" s="121">
        <f t="shared" si="21"/>
        <v>0</v>
      </c>
      <c r="C662" s="122">
        <f t="shared" si="22"/>
        <v>0</v>
      </c>
      <c r="D662" s="123"/>
      <c r="E662" s="124"/>
      <c r="F662" s="125"/>
      <c r="G662" s="125"/>
      <c r="H662" s="126"/>
      <c r="I662" s="127"/>
      <c r="J662" s="118">
        <f>IF(ISERROR(VLOOKUP(H662,#REF!,9,0)),0,VLOOKUP(H662,#REF!,9,0)*I662)/3600</f>
        <v>0</v>
      </c>
    </row>
    <row r="663" spans="2:10" x14ac:dyDescent="0.3">
      <c r="B663" s="121">
        <f t="shared" si="21"/>
        <v>0</v>
      </c>
      <c r="C663" s="122">
        <f t="shared" si="22"/>
        <v>0</v>
      </c>
      <c r="D663" s="123"/>
      <c r="E663" s="125"/>
      <c r="F663" s="125"/>
      <c r="G663" s="125"/>
      <c r="H663" s="126"/>
      <c r="I663" s="127"/>
      <c r="J663" s="118">
        <f>IF(ISERROR(VLOOKUP(H663,#REF!,9,0)),0,VLOOKUP(H663,#REF!,9,0)*I663)/3600</f>
        <v>0</v>
      </c>
    </row>
    <row r="664" spans="2:10" x14ac:dyDescent="0.3">
      <c r="B664" s="121">
        <f t="shared" si="21"/>
        <v>0</v>
      </c>
      <c r="C664" s="122">
        <f t="shared" si="22"/>
        <v>0</v>
      </c>
      <c r="D664" s="123"/>
      <c r="E664" s="124"/>
      <c r="F664" s="125"/>
      <c r="G664" s="125"/>
      <c r="H664" s="126"/>
      <c r="I664" s="127"/>
      <c r="J664" s="118">
        <f>IF(ISERROR(VLOOKUP(H664,#REF!,9,0)),0,VLOOKUP(H664,#REF!,9,0)*I664)/3600</f>
        <v>0</v>
      </c>
    </row>
    <row r="665" spans="2:10" x14ac:dyDescent="0.3">
      <c r="B665" s="121">
        <f t="shared" si="21"/>
        <v>0</v>
      </c>
      <c r="C665" s="122">
        <f t="shared" si="22"/>
        <v>0</v>
      </c>
      <c r="D665" s="123"/>
      <c r="E665" s="125"/>
      <c r="F665" s="125"/>
      <c r="G665" s="125"/>
      <c r="H665" s="126"/>
      <c r="I665" s="127"/>
      <c r="J665" s="118">
        <f>IF(ISERROR(VLOOKUP(H665,#REF!,9,0)),0,VLOOKUP(H665,#REF!,9,0)*I665)/3600</f>
        <v>0</v>
      </c>
    </row>
    <row r="666" spans="2:10" x14ac:dyDescent="0.3">
      <c r="B666" s="121">
        <f t="shared" si="21"/>
        <v>0</v>
      </c>
      <c r="C666" s="122">
        <f t="shared" si="22"/>
        <v>0</v>
      </c>
      <c r="D666" s="123"/>
      <c r="E666" s="124"/>
      <c r="F666" s="125"/>
      <c r="G666" s="125"/>
      <c r="H666" s="126"/>
      <c r="I666" s="127"/>
      <c r="J666" s="118">
        <f>IF(ISERROR(VLOOKUP(H666,#REF!,9,0)),0,VLOOKUP(H666,#REF!,9,0)*I666)/3600</f>
        <v>0</v>
      </c>
    </row>
    <row r="667" spans="2:10" x14ac:dyDescent="0.3">
      <c r="B667" s="121">
        <f t="shared" si="21"/>
        <v>0</v>
      </c>
      <c r="C667" s="122">
        <f t="shared" si="22"/>
        <v>0</v>
      </c>
      <c r="D667" s="123"/>
      <c r="E667" s="125"/>
      <c r="F667" s="125"/>
      <c r="G667" s="125"/>
      <c r="H667" s="126"/>
      <c r="I667" s="127"/>
      <c r="J667" s="118">
        <f>IF(ISERROR(VLOOKUP(H667,#REF!,9,0)),0,VLOOKUP(H667,#REF!,9,0)*I667)/3600</f>
        <v>0</v>
      </c>
    </row>
    <row r="668" spans="2:10" x14ac:dyDescent="0.3">
      <c r="B668" s="121">
        <f t="shared" si="21"/>
        <v>0</v>
      </c>
      <c r="C668" s="122">
        <f t="shared" si="22"/>
        <v>0</v>
      </c>
      <c r="D668" s="123"/>
      <c r="E668" s="124"/>
      <c r="F668" s="125"/>
      <c r="G668" s="125"/>
      <c r="H668" s="126"/>
      <c r="I668" s="127"/>
      <c r="J668" s="118">
        <f>IF(ISERROR(VLOOKUP(H668,#REF!,9,0)),0,VLOOKUP(H668,#REF!,9,0)*I668)/3600</f>
        <v>0</v>
      </c>
    </row>
    <row r="669" spans="2:10" x14ac:dyDescent="0.3">
      <c r="B669" s="121">
        <f t="shared" si="21"/>
        <v>0</v>
      </c>
      <c r="C669" s="122">
        <f t="shared" si="22"/>
        <v>0</v>
      </c>
      <c r="D669" s="123"/>
      <c r="E669" s="125"/>
      <c r="F669" s="125"/>
      <c r="G669" s="125"/>
      <c r="H669" s="126"/>
      <c r="I669" s="127"/>
      <c r="J669" s="118">
        <f>IF(ISERROR(VLOOKUP(H669,#REF!,9,0)),0,VLOOKUP(H669,#REF!,9,0)*I669)/3600</f>
        <v>0</v>
      </c>
    </row>
    <row r="670" spans="2:10" x14ac:dyDescent="0.3">
      <c r="B670" s="121">
        <f t="shared" si="21"/>
        <v>0</v>
      </c>
      <c r="C670" s="122">
        <f t="shared" si="22"/>
        <v>0</v>
      </c>
      <c r="D670" s="123"/>
      <c r="E670" s="124"/>
      <c r="F670" s="125"/>
      <c r="G670" s="125"/>
      <c r="H670" s="126"/>
      <c r="I670" s="127"/>
      <c r="J670" s="118">
        <f>IF(ISERROR(VLOOKUP(H670,#REF!,9,0)),0,VLOOKUP(H670,#REF!,9,0)*I670)/3600</f>
        <v>0</v>
      </c>
    </row>
    <row r="671" spans="2:10" x14ac:dyDescent="0.3">
      <c r="B671" s="121">
        <f t="shared" si="21"/>
        <v>0</v>
      </c>
      <c r="C671" s="122">
        <f t="shared" si="22"/>
        <v>0</v>
      </c>
      <c r="D671" s="123"/>
      <c r="E671" s="125"/>
      <c r="F671" s="125"/>
      <c r="G671" s="125"/>
      <c r="H671" s="126"/>
      <c r="I671" s="127"/>
      <c r="J671" s="118">
        <f>IF(ISERROR(VLOOKUP(H671,#REF!,9,0)),0,VLOOKUP(H671,#REF!,9,0)*I671)/3600</f>
        <v>0</v>
      </c>
    </row>
    <row r="672" spans="2:10" x14ac:dyDescent="0.3">
      <c r="B672" s="121">
        <f t="shared" si="21"/>
        <v>0</v>
      </c>
      <c r="C672" s="122">
        <f t="shared" si="22"/>
        <v>0</v>
      </c>
      <c r="D672" s="123"/>
      <c r="E672" s="124"/>
      <c r="F672" s="125"/>
      <c r="G672" s="125"/>
      <c r="H672" s="126"/>
      <c r="I672" s="127"/>
      <c r="J672" s="118">
        <f>IF(ISERROR(VLOOKUP(H672,#REF!,9,0)),0,VLOOKUP(H672,#REF!,9,0)*I672)/3600</f>
        <v>0</v>
      </c>
    </row>
    <row r="673" spans="2:10" x14ac:dyDescent="0.3">
      <c r="B673" s="121">
        <f t="shared" si="21"/>
        <v>0</v>
      </c>
      <c r="C673" s="122">
        <f t="shared" si="22"/>
        <v>0</v>
      </c>
      <c r="D673" s="123"/>
      <c r="E673" s="125"/>
      <c r="F673" s="125"/>
      <c r="G673" s="125"/>
      <c r="H673" s="126"/>
      <c r="I673" s="127"/>
      <c r="J673" s="118">
        <f>IF(ISERROR(VLOOKUP(H673,#REF!,9,0)),0,VLOOKUP(H673,#REF!,9,0)*I673)/3600</f>
        <v>0</v>
      </c>
    </row>
    <row r="674" spans="2:10" x14ac:dyDescent="0.3">
      <c r="B674" s="121">
        <f t="shared" si="21"/>
        <v>0</v>
      </c>
      <c r="C674" s="122">
        <f t="shared" si="22"/>
        <v>0</v>
      </c>
      <c r="D674" s="123"/>
      <c r="E674" s="124"/>
      <c r="F674" s="125"/>
      <c r="G674" s="125"/>
      <c r="H674" s="126"/>
      <c r="I674" s="127"/>
      <c r="J674" s="118">
        <f>IF(ISERROR(VLOOKUP(H674,#REF!,9,0)),0,VLOOKUP(H674,#REF!,9,0)*I674)/3600</f>
        <v>0</v>
      </c>
    </row>
    <row r="675" spans="2:10" x14ac:dyDescent="0.3">
      <c r="B675" s="121">
        <f t="shared" si="21"/>
        <v>0</v>
      </c>
      <c r="C675" s="122">
        <f t="shared" si="22"/>
        <v>0</v>
      </c>
      <c r="D675" s="123"/>
      <c r="E675" s="125"/>
      <c r="F675" s="125"/>
      <c r="G675" s="125"/>
      <c r="H675" s="126"/>
      <c r="I675" s="127"/>
      <c r="J675" s="118">
        <f>IF(ISERROR(VLOOKUP(H675,#REF!,9,0)),0,VLOOKUP(H675,#REF!,9,0)*I675)/3600</f>
        <v>0</v>
      </c>
    </row>
    <row r="676" spans="2:10" x14ac:dyDescent="0.3">
      <c r="B676" s="121">
        <f t="shared" si="21"/>
        <v>0</v>
      </c>
      <c r="C676" s="122">
        <f t="shared" si="22"/>
        <v>0</v>
      </c>
      <c r="D676" s="123"/>
      <c r="E676" s="124"/>
      <c r="F676" s="125"/>
      <c r="G676" s="125"/>
      <c r="H676" s="126"/>
      <c r="I676" s="127"/>
      <c r="J676" s="118">
        <f>IF(ISERROR(VLOOKUP(H676,#REF!,9,0)),0,VLOOKUP(H676,#REF!,9,0)*I676)/3600</f>
        <v>0</v>
      </c>
    </row>
    <row r="677" spans="2:10" x14ac:dyDescent="0.3">
      <c r="B677" s="121">
        <f t="shared" si="21"/>
        <v>0</v>
      </c>
      <c r="C677" s="122">
        <f t="shared" si="22"/>
        <v>0</v>
      </c>
      <c r="D677" s="123"/>
      <c r="E677" s="125"/>
      <c r="F677" s="125"/>
      <c r="G677" s="125"/>
      <c r="H677" s="126"/>
      <c r="I677" s="127"/>
      <c r="J677" s="118">
        <f>IF(ISERROR(VLOOKUP(H677,#REF!,9,0)),0,VLOOKUP(H677,#REF!,9,0)*I677)/3600</f>
        <v>0</v>
      </c>
    </row>
    <row r="678" spans="2:10" x14ac:dyDescent="0.3">
      <c r="B678" s="121">
        <f t="shared" si="21"/>
        <v>0</v>
      </c>
      <c r="C678" s="122">
        <f t="shared" si="22"/>
        <v>0</v>
      </c>
      <c r="D678" s="123"/>
      <c r="E678" s="124"/>
      <c r="F678" s="125"/>
      <c r="G678" s="125"/>
      <c r="H678" s="126"/>
      <c r="I678" s="127"/>
      <c r="J678" s="118">
        <f>IF(ISERROR(VLOOKUP(H678,#REF!,9,0)),0,VLOOKUP(H678,#REF!,9,0)*I678)/3600</f>
        <v>0</v>
      </c>
    </row>
    <row r="679" spans="2:10" x14ac:dyDescent="0.3">
      <c r="B679" s="121">
        <f t="shared" si="21"/>
        <v>0</v>
      </c>
      <c r="C679" s="122">
        <f t="shared" si="22"/>
        <v>0</v>
      </c>
      <c r="D679" s="123"/>
      <c r="E679" s="125"/>
      <c r="F679" s="125"/>
      <c r="G679" s="125"/>
      <c r="H679" s="126"/>
      <c r="I679" s="127"/>
      <c r="J679" s="118">
        <f>IF(ISERROR(VLOOKUP(H679,#REF!,9,0)),0,VLOOKUP(H679,#REF!,9,0)*I679)/3600</f>
        <v>0</v>
      </c>
    </row>
    <row r="680" spans="2:10" x14ac:dyDescent="0.3">
      <c r="B680" s="121">
        <f t="shared" si="21"/>
        <v>0</v>
      </c>
      <c r="C680" s="122">
        <f t="shared" si="22"/>
        <v>0</v>
      </c>
      <c r="D680" s="123"/>
      <c r="E680" s="124"/>
      <c r="F680" s="125"/>
      <c r="G680" s="125"/>
      <c r="H680" s="126"/>
      <c r="I680" s="127"/>
      <c r="J680" s="118">
        <f>IF(ISERROR(VLOOKUP(H680,#REF!,9,0)),0,VLOOKUP(H680,#REF!,9,0)*I680)/3600</f>
        <v>0</v>
      </c>
    </row>
    <row r="681" spans="2:10" x14ac:dyDescent="0.3">
      <c r="B681" s="121">
        <f t="shared" si="21"/>
        <v>0</v>
      </c>
      <c r="C681" s="122">
        <f t="shared" si="22"/>
        <v>0</v>
      </c>
      <c r="D681" s="123"/>
      <c r="E681" s="125"/>
      <c r="F681" s="125"/>
      <c r="G681" s="125"/>
      <c r="H681" s="126"/>
      <c r="I681" s="127"/>
      <c r="J681" s="118">
        <f>IF(ISERROR(VLOOKUP(H681,#REF!,9,0)),0,VLOOKUP(H681,#REF!,9,0)*I681)/3600</f>
        <v>0</v>
      </c>
    </row>
    <row r="682" spans="2:10" x14ac:dyDescent="0.3">
      <c r="B682" s="121">
        <f t="shared" si="21"/>
        <v>0</v>
      </c>
      <c r="C682" s="122">
        <f t="shared" si="22"/>
        <v>0</v>
      </c>
      <c r="D682" s="123"/>
      <c r="E682" s="124"/>
      <c r="F682" s="125"/>
      <c r="G682" s="125"/>
      <c r="H682" s="126"/>
      <c r="I682" s="127"/>
      <c r="J682" s="118">
        <f>IF(ISERROR(VLOOKUP(H682,#REF!,9,0)),0,VLOOKUP(H682,#REF!,9,0)*I682)/3600</f>
        <v>0</v>
      </c>
    </row>
    <row r="683" spans="2:10" x14ac:dyDescent="0.3">
      <c r="B683" s="121">
        <f t="shared" si="21"/>
        <v>0</v>
      </c>
      <c r="C683" s="122">
        <f t="shared" si="22"/>
        <v>0</v>
      </c>
      <c r="D683" s="123"/>
      <c r="E683" s="125"/>
      <c r="F683" s="125"/>
      <c r="G683" s="125"/>
      <c r="H683" s="126"/>
      <c r="I683" s="127"/>
      <c r="J683" s="118">
        <f>IF(ISERROR(VLOOKUP(H683,#REF!,9,0)),0,VLOOKUP(H683,#REF!,9,0)*I683)/3600</f>
        <v>0</v>
      </c>
    </row>
    <row r="684" spans="2:10" x14ac:dyDescent="0.3">
      <c r="B684" s="121">
        <f t="shared" si="21"/>
        <v>0</v>
      </c>
      <c r="C684" s="122">
        <f t="shared" si="22"/>
        <v>0</v>
      </c>
      <c r="D684" s="123"/>
      <c r="E684" s="124"/>
      <c r="F684" s="125"/>
      <c r="G684" s="125"/>
      <c r="H684" s="126"/>
      <c r="I684" s="127"/>
      <c r="J684" s="118">
        <f>IF(ISERROR(VLOOKUP(H684,#REF!,9,0)),0,VLOOKUP(H684,#REF!,9,0)*I684)/3600</f>
        <v>0</v>
      </c>
    </row>
    <row r="685" spans="2:10" x14ac:dyDescent="0.3">
      <c r="B685" s="121">
        <f t="shared" si="21"/>
        <v>0</v>
      </c>
      <c r="C685" s="122">
        <f t="shared" si="22"/>
        <v>0</v>
      </c>
      <c r="D685" s="123"/>
      <c r="E685" s="125"/>
      <c r="F685" s="125"/>
      <c r="G685" s="125"/>
      <c r="H685" s="126"/>
      <c r="I685" s="127"/>
      <c r="J685" s="118">
        <f>IF(ISERROR(VLOOKUP(H685,#REF!,9,0)),0,VLOOKUP(H685,#REF!,9,0)*I685)/3600</f>
        <v>0</v>
      </c>
    </row>
    <row r="686" spans="2:10" x14ac:dyDescent="0.3">
      <c r="B686" s="121">
        <f t="shared" si="21"/>
        <v>0</v>
      </c>
      <c r="C686" s="122">
        <f t="shared" si="22"/>
        <v>0</v>
      </c>
      <c r="D686" s="123"/>
      <c r="E686" s="124"/>
      <c r="F686" s="125"/>
      <c r="G686" s="125"/>
      <c r="H686" s="126"/>
      <c r="I686" s="127"/>
      <c r="J686" s="118">
        <f>IF(ISERROR(VLOOKUP(H686,#REF!,9,0)),0,VLOOKUP(H686,#REF!,9,0)*I686)/3600</f>
        <v>0</v>
      </c>
    </row>
    <row r="687" spans="2:10" x14ac:dyDescent="0.3">
      <c r="B687" s="121">
        <f t="shared" si="21"/>
        <v>0</v>
      </c>
      <c r="C687" s="122">
        <f t="shared" si="22"/>
        <v>0</v>
      </c>
      <c r="D687" s="123"/>
      <c r="E687" s="125"/>
      <c r="F687" s="125"/>
      <c r="G687" s="125"/>
      <c r="H687" s="126"/>
      <c r="I687" s="127"/>
      <c r="J687" s="118">
        <f>IF(ISERROR(VLOOKUP(H687,#REF!,9,0)),0,VLOOKUP(H687,#REF!,9,0)*I687)/3600</f>
        <v>0</v>
      </c>
    </row>
    <row r="688" spans="2:10" x14ac:dyDescent="0.3">
      <c r="B688" s="121">
        <f t="shared" si="21"/>
        <v>0</v>
      </c>
      <c r="C688" s="122">
        <f t="shared" si="22"/>
        <v>0</v>
      </c>
      <c r="D688" s="123"/>
      <c r="E688" s="124"/>
      <c r="F688" s="125"/>
      <c r="G688" s="125"/>
      <c r="H688" s="126"/>
      <c r="I688" s="127"/>
      <c r="J688" s="118">
        <f>IF(ISERROR(VLOOKUP(H688,#REF!,9,0)),0,VLOOKUP(H688,#REF!,9,0)*I688)/3600</f>
        <v>0</v>
      </c>
    </row>
    <row r="689" spans="2:10" x14ac:dyDescent="0.3">
      <c r="B689" s="121">
        <f t="shared" si="21"/>
        <v>0</v>
      </c>
      <c r="C689" s="122">
        <f t="shared" si="22"/>
        <v>0</v>
      </c>
      <c r="D689" s="123"/>
      <c r="E689" s="125"/>
      <c r="F689" s="125"/>
      <c r="G689" s="125"/>
      <c r="H689" s="126"/>
      <c r="I689" s="127"/>
      <c r="J689" s="118">
        <f>IF(ISERROR(VLOOKUP(H689,#REF!,9,0)),0,VLOOKUP(H689,#REF!,9,0)*I689)/3600</f>
        <v>0</v>
      </c>
    </row>
    <row r="690" spans="2:10" x14ac:dyDescent="0.3">
      <c r="B690" s="121">
        <f t="shared" si="21"/>
        <v>0</v>
      </c>
      <c r="C690" s="122">
        <f t="shared" si="22"/>
        <v>0</v>
      </c>
      <c r="D690" s="123"/>
      <c r="E690" s="124"/>
      <c r="F690" s="125"/>
      <c r="G690" s="125"/>
      <c r="H690" s="126"/>
      <c r="I690" s="127"/>
      <c r="J690" s="118">
        <f>IF(ISERROR(VLOOKUP(H690,#REF!,9,0)),0,VLOOKUP(H690,#REF!,9,0)*I690)/3600</f>
        <v>0</v>
      </c>
    </row>
    <row r="691" spans="2:10" x14ac:dyDescent="0.3">
      <c r="B691" s="121">
        <f t="shared" si="21"/>
        <v>0</v>
      </c>
      <c r="C691" s="122">
        <f t="shared" si="22"/>
        <v>0</v>
      </c>
      <c r="D691" s="123"/>
      <c r="E691" s="125"/>
      <c r="F691" s="125"/>
      <c r="G691" s="125"/>
      <c r="H691" s="126"/>
      <c r="I691" s="127"/>
      <c r="J691" s="118">
        <f>IF(ISERROR(VLOOKUP(H691,#REF!,9,0)),0,VLOOKUP(H691,#REF!,9,0)*I691)/3600</f>
        <v>0</v>
      </c>
    </row>
    <row r="692" spans="2:10" x14ac:dyDescent="0.3">
      <c r="B692" s="121">
        <f t="shared" si="21"/>
        <v>0</v>
      </c>
      <c r="C692" s="122">
        <f t="shared" si="22"/>
        <v>0</v>
      </c>
      <c r="D692" s="123"/>
      <c r="E692" s="124"/>
      <c r="F692" s="125"/>
      <c r="G692" s="125"/>
      <c r="H692" s="126"/>
      <c r="I692" s="127"/>
      <c r="J692" s="118">
        <f>IF(ISERROR(VLOOKUP(H692,#REF!,9,0)),0,VLOOKUP(H692,#REF!,9,0)*I692)/3600</f>
        <v>0</v>
      </c>
    </row>
    <row r="693" spans="2:10" x14ac:dyDescent="0.3">
      <c r="B693" s="121">
        <f t="shared" si="21"/>
        <v>0</v>
      </c>
      <c r="C693" s="122">
        <f t="shared" si="22"/>
        <v>0</v>
      </c>
      <c r="D693" s="123"/>
      <c r="E693" s="125"/>
      <c r="F693" s="125"/>
      <c r="G693" s="125"/>
      <c r="H693" s="126"/>
      <c r="I693" s="127"/>
      <c r="J693" s="118">
        <f>IF(ISERROR(VLOOKUP(H693,#REF!,9,0)),0,VLOOKUP(H693,#REF!,9,0)*I693)/3600</f>
        <v>0</v>
      </c>
    </row>
    <row r="694" spans="2:10" x14ac:dyDescent="0.3">
      <c r="B694" s="121">
        <f t="shared" si="21"/>
        <v>0</v>
      </c>
      <c r="C694" s="122">
        <f t="shared" si="22"/>
        <v>0</v>
      </c>
      <c r="D694" s="123"/>
      <c r="E694" s="124"/>
      <c r="F694" s="125"/>
      <c r="G694" s="125"/>
      <c r="H694" s="126"/>
      <c r="I694" s="127"/>
      <c r="J694" s="118">
        <f>IF(ISERROR(VLOOKUP(H694,#REF!,9,0)),0,VLOOKUP(H694,#REF!,9,0)*I694)/3600</f>
        <v>0</v>
      </c>
    </row>
    <row r="695" spans="2:10" x14ac:dyDescent="0.3">
      <c r="B695" s="121">
        <f t="shared" si="21"/>
        <v>0</v>
      </c>
      <c r="C695" s="122">
        <f t="shared" si="22"/>
        <v>0</v>
      </c>
      <c r="D695" s="123"/>
      <c r="E695" s="125"/>
      <c r="F695" s="125"/>
      <c r="G695" s="125"/>
      <c r="H695" s="126"/>
      <c r="I695" s="127"/>
      <c r="J695" s="118">
        <f>IF(ISERROR(VLOOKUP(H695,#REF!,9,0)),0,VLOOKUP(H695,#REF!,9,0)*I695)/3600</f>
        <v>0</v>
      </c>
    </row>
    <row r="696" spans="2:10" x14ac:dyDescent="0.3">
      <c r="B696" s="121">
        <f t="shared" si="21"/>
        <v>0</v>
      </c>
      <c r="C696" s="122">
        <f t="shared" si="22"/>
        <v>0</v>
      </c>
      <c r="D696" s="123"/>
      <c r="E696" s="124"/>
      <c r="F696" s="125"/>
      <c r="G696" s="125"/>
      <c r="H696" s="126"/>
      <c r="I696" s="127"/>
      <c r="J696" s="118">
        <f>IF(ISERROR(VLOOKUP(H696,#REF!,9,0)),0,VLOOKUP(H696,#REF!,9,0)*I696)/3600</f>
        <v>0</v>
      </c>
    </row>
    <row r="697" spans="2:10" x14ac:dyDescent="0.3">
      <c r="B697" s="121">
        <f t="shared" si="21"/>
        <v>0</v>
      </c>
      <c r="C697" s="122">
        <f t="shared" si="22"/>
        <v>0</v>
      </c>
      <c r="D697" s="123"/>
      <c r="E697" s="125"/>
      <c r="F697" s="125"/>
      <c r="G697" s="125"/>
      <c r="H697" s="126"/>
      <c r="I697" s="127"/>
      <c r="J697" s="118">
        <f>IF(ISERROR(VLOOKUP(H697,#REF!,9,0)),0,VLOOKUP(H697,#REF!,9,0)*I697)/3600</f>
        <v>0</v>
      </c>
    </row>
    <row r="698" spans="2:10" x14ac:dyDescent="0.3">
      <c r="B698" s="121">
        <f t="shared" si="21"/>
        <v>0</v>
      </c>
      <c r="C698" s="122">
        <f t="shared" si="22"/>
        <v>0</v>
      </c>
      <c r="D698" s="123"/>
      <c r="E698" s="124"/>
      <c r="F698" s="125"/>
      <c r="G698" s="125"/>
      <c r="H698" s="126"/>
      <c r="I698" s="127"/>
      <c r="J698" s="118">
        <f>IF(ISERROR(VLOOKUP(H698,#REF!,9,0)),0,VLOOKUP(H698,#REF!,9,0)*I698)/3600</f>
        <v>0</v>
      </c>
    </row>
    <row r="699" spans="2:10" x14ac:dyDescent="0.3">
      <c r="B699" s="121">
        <f t="shared" si="21"/>
        <v>0</v>
      </c>
      <c r="C699" s="122">
        <f t="shared" si="22"/>
        <v>0</v>
      </c>
      <c r="D699" s="123"/>
      <c r="E699" s="125"/>
      <c r="F699" s="125"/>
      <c r="G699" s="125"/>
      <c r="H699" s="126"/>
      <c r="I699" s="127"/>
      <c r="J699" s="118">
        <f>IF(ISERROR(VLOOKUP(H699,#REF!,9,0)),0,VLOOKUP(H699,#REF!,9,0)*I699)/3600</f>
        <v>0</v>
      </c>
    </row>
    <row r="700" spans="2:10" x14ac:dyDescent="0.3">
      <c r="B700" s="121">
        <f t="shared" si="21"/>
        <v>0</v>
      </c>
      <c r="C700" s="122">
        <f t="shared" si="22"/>
        <v>0</v>
      </c>
      <c r="D700" s="123"/>
      <c r="E700" s="124"/>
      <c r="F700" s="125"/>
      <c r="G700" s="125"/>
      <c r="H700" s="126"/>
      <c r="I700" s="127"/>
      <c r="J700" s="118">
        <f>IF(ISERROR(VLOOKUP(H700,#REF!,9,0)),0,VLOOKUP(H700,#REF!,9,0)*I700)/3600</f>
        <v>0</v>
      </c>
    </row>
    <row r="701" spans="2:10" x14ac:dyDescent="0.3">
      <c r="B701" s="121">
        <f t="shared" si="21"/>
        <v>0</v>
      </c>
      <c r="C701" s="122">
        <f t="shared" si="22"/>
        <v>0</v>
      </c>
      <c r="D701" s="123"/>
      <c r="E701" s="125"/>
      <c r="F701" s="125"/>
      <c r="G701" s="125"/>
      <c r="H701" s="126"/>
      <c r="I701" s="127"/>
      <c r="J701" s="118">
        <f>IF(ISERROR(VLOOKUP(H701,#REF!,9,0)),0,VLOOKUP(H701,#REF!,9,0)*I701)/3600</f>
        <v>0</v>
      </c>
    </row>
    <row r="702" spans="2:10" x14ac:dyDescent="0.3">
      <c r="B702" s="121">
        <f t="shared" si="21"/>
        <v>0</v>
      </c>
      <c r="C702" s="122">
        <f t="shared" si="22"/>
        <v>0</v>
      </c>
      <c r="D702" s="123"/>
      <c r="E702" s="124"/>
      <c r="F702" s="125"/>
      <c r="G702" s="125"/>
      <c r="H702" s="126"/>
      <c r="I702" s="127"/>
      <c r="J702" s="118">
        <f>IF(ISERROR(VLOOKUP(H702,#REF!,9,0)),0,VLOOKUP(H702,#REF!,9,0)*I702)/3600</f>
        <v>0</v>
      </c>
    </row>
    <row r="703" spans="2:10" x14ac:dyDescent="0.3">
      <c r="B703" s="121">
        <f t="shared" si="21"/>
        <v>0</v>
      </c>
      <c r="C703" s="122">
        <f t="shared" si="22"/>
        <v>0</v>
      </c>
      <c r="D703" s="123"/>
      <c r="E703" s="125"/>
      <c r="F703" s="125"/>
      <c r="G703" s="125"/>
      <c r="H703" s="126"/>
      <c r="I703" s="127"/>
      <c r="J703" s="118">
        <f>IF(ISERROR(VLOOKUP(H703,#REF!,9,0)),0,VLOOKUP(H703,#REF!,9,0)*I703)/3600</f>
        <v>0</v>
      </c>
    </row>
    <row r="704" spans="2:10" x14ac:dyDescent="0.3">
      <c r="B704" s="121">
        <f t="shared" si="21"/>
        <v>0</v>
      </c>
      <c r="C704" s="122">
        <f t="shared" si="22"/>
        <v>0</v>
      </c>
      <c r="D704" s="123"/>
      <c r="E704" s="124"/>
      <c r="F704" s="125"/>
      <c r="G704" s="125"/>
      <c r="H704" s="126"/>
      <c r="I704" s="127"/>
      <c r="J704" s="118">
        <f>IF(ISERROR(VLOOKUP(H704,#REF!,9,0)),0,VLOOKUP(H704,#REF!,9,0)*I704)/3600</f>
        <v>0</v>
      </c>
    </row>
    <row r="705" spans="2:10" x14ac:dyDescent="0.3">
      <c r="B705" s="121">
        <f t="shared" si="21"/>
        <v>0</v>
      </c>
      <c r="C705" s="122">
        <f t="shared" si="22"/>
        <v>0</v>
      </c>
      <c r="D705" s="123"/>
      <c r="E705" s="125"/>
      <c r="F705" s="125"/>
      <c r="G705" s="125"/>
      <c r="H705" s="126"/>
      <c r="I705" s="127"/>
      <c r="J705" s="118">
        <f>IF(ISERROR(VLOOKUP(H705,#REF!,9,0)),0,VLOOKUP(H705,#REF!,9,0)*I705)/3600</f>
        <v>0</v>
      </c>
    </row>
    <row r="706" spans="2:10" x14ac:dyDescent="0.3">
      <c r="B706" s="121">
        <f t="shared" si="21"/>
        <v>0</v>
      </c>
      <c r="C706" s="122">
        <f t="shared" si="22"/>
        <v>0</v>
      </c>
      <c r="D706" s="123"/>
      <c r="E706" s="124"/>
      <c r="F706" s="125"/>
      <c r="G706" s="125"/>
      <c r="H706" s="126"/>
      <c r="I706" s="127"/>
      <c r="J706" s="118">
        <f>IF(ISERROR(VLOOKUP(H706,#REF!,9,0)),0,VLOOKUP(H706,#REF!,9,0)*I706)/3600</f>
        <v>0</v>
      </c>
    </row>
    <row r="707" spans="2:10" x14ac:dyDescent="0.3">
      <c r="B707" s="121">
        <f t="shared" si="21"/>
        <v>0</v>
      </c>
      <c r="C707" s="122">
        <f t="shared" si="22"/>
        <v>0</v>
      </c>
      <c r="D707" s="123"/>
      <c r="E707" s="125"/>
      <c r="F707" s="125"/>
      <c r="G707" s="125"/>
      <c r="H707" s="126"/>
      <c r="I707" s="127"/>
      <c r="J707" s="118">
        <f>IF(ISERROR(VLOOKUP(H707,#REF!,9,0)),0,VLOOKUP(H707,#REF!,9,0)*I707)/3600</f>
        <v>0</v>
      </c>
    </row>
    <row r="708" spans="2:10" x14ac:dyDescent="0.3">
      <c r="B708" s="121">
        <f t="shared" si="21"/>
        <v>0</v>
      </c>
      <c r="C708" s="122">
        <f t="shared" si="22"/>
        <v>0</v>
      </c>
      <c r="D708" s="123"/>
      <c r="E708" s="124"/>
      <c r="F708" s="125"/>
      <c r="G708" s="125"/>
      <c r="H708" s="126"/>
      <c r="I708" s="127"/>
      <c r="J708" s="118">
        <f>IF(ISERROR(VLOOKUP(H708,#REF!,9,0)),0,VLOOKUP(H708,#REF!,9,0)*I708)/3600</f>
        <v>0</v>
      </c>
    </row>
    <row r="709" spans="2:10" x14ac:dyDescent="0.3">
      <c r="B709" s="121">
        <f t="shared" si="21"/>
        <v>0</v>
      </c>
      <c r="C709" s="122">
        <f t="shared" si="22"/>
        <v>0</v>
      </c>
      <c r="D709" s="123"/>
      <c r="E709" s="125"/>
      <c r="F709" s="125"/>
      <c r="G709" s="125"/>
      <c r="H709" s="126"/>
      <c r="I709" s="127"/>
      <c r="J709" s="118">
        <f>IF(ISERROR(VLOOKUP(H709,#REF!,9,0)),0,VLOOKUP(H709,#REF!,9,0)*I709)/3600</f>
        <v>0</v>
      </c>
    </row>
    <row r="710" spans="2:10" x14ac:dyDescent="0.3">
      <c r="B710" s="121">
        <f t="shared" ref="B710:B773" si="23">IF(D710&gt;0,YEAR(D710),0)</f>
        <v>0</v>
      </c>
      <c r="C710" s="122">
        <f t="shared" ref="C710:C773" si="24">IF(D710&gt;0,MONTH(D710),0)</f>
        <v>0</v>
      </c>
      <c r="D710" s="123"/>
      <c r="E710" s="124"/>
      <c r="F710" s="125"/>
      <c r="G710" s="125"/>
      <c r="H710" s="126"/>
      <c r="I710" s="127"/>
      <c r="J710" s="118">
        <f>IF(ISERROR(VLOOKUP(H710,#REF!,9,0)),0,VLOOKUP(H710,#REF!,9,0)*I710)/3600</f>
        <v>0</v>
      </c>
    </row>
    <row r="711" spans="2:10" x14ac:dyDescent="0.3">
      <c r="B711" s="121">
        <f t="shared" si="23"/>
        <v>0</v>
      </c>
      <c r="C711" s="122">
        <f t="shared" si="24"/>
        <v>0</v>
      </c>
      <c r="D711" s="123"/>
      <c r="E711" s="125"/>
      <c r="F711" s="125"/>
      <c r="G711" s="125"/>
      <c r="H711" s="126"/>
      <c r="I711" s="127"/>
      <c r="J711" s="118">
        <f>IF(ISERROR(VLOOKUP(H711,#REF!,9,0)),0,VLOOKUP(H711,#REF!,9,0)*I711)/3600</f>
        <v>0</v>
      </c>
    </row>
    <row r="712" spans="2:10" x14ac:dyDescent="0.3">
      <c r="B712" s="121">
        <f t="shared" si="23"/>
        <v>0</v>
      </c>
      <c r="C712" s="122">
        <f t="shared" si="24"/>
        <v>0</v>
      </c>
      <c r="D712" s="123"/>
      <c r="E712" s="124"/>
      <c r="F712" s="125"/>
      <c r="G712" s="125"/>
      <c r="H712" s="126"/>
      <c r="I712" s="127"/>
      <c r="J712" s="118">
        <f>IF(ISERROR(VLOOKUP(H712,#REF!,9,0)),0,VLOOKUP(H712,#REF!,9,0)*I712)/3600</f>
        <v>0</v>
      </c>
    </row>
    <row r="713" spans="2:10" x14ac:dyDescent="0.3">
      <c r="B713" s="121">
        <f t="shared" si="23"/>
        <v>0</v>
      </c>
      <c r="C713" s="122">
        <f t="shared" si="24"/>
        <v>0</v>
      </c>
      <c r="D713" s="123"/>
      <c r="E713" s="125"/>
      <c r="F713" s="125"/>
      <c r="G713" s="125"/>
      <c r="H713" s="126"/>
      <c r="I713" s="127"/>
      <c r="J713" s="118">
        <f>IF(ISERROR(VLOOKUP(H713,#REF!,9,0)),0,VLOOKUP(H713,#REF!,9,0)*I713)/3600</f>
        <v>0</v>
      </c>
    </row>
    <row r="714" spans="2:10" x14ac:dyDescent="0.3">
      <c r="B714" s="121">
        <f t="shared" si="23"/>
        <v>0</v>
      </c>
      <c r="C714" s="122">
        <f t="shared" si="24"/>
        <v>0</v>
      </c>
      <c r="D714" s="123"/>
      <c r="E714" s="124"/>
      <c r="F714" s="125"/>
      <c r="G714" s="125"/>
      <c r="H714" s="126"/>
      <c r="I714" s="127"/>
      <c r="J714" s="118">
        <f>IF(ISERROR(VLOOKUP(H714,#REF!,9,0)),0,VLOOKUP(H714,#REF!,9,0)*I714)/3600</f>
        <v>0</v>
      </c>
    </row>
    <row r="715" spans="2:10" x14ac:dyDescent="0.3">
      <c r="B715" s="121">
        <f t="shared" si="23"/>
        <v>0</v>
      </c>
      <c r="C715" s="122">
        <f t="shared" si="24"/>
        <v>0</v>
      </c>
      <c r="D715" s="123"/>
      <c r="E715" s="125"/>
      <c r="F715" s="125"/>
      <c r="G715" s="125"/>
      <c r="H715" s="126"/>
      <c r="I715" s="127"/>
      <c r="J715" s="118">
        <f>IF(ISERROR(VLOOKUP(H715,#REF!,9,0)),0,VLOOKUP(H715,#REF!,9,0)*I715)/3600</f>
        <v>0</v>
      </c>
    </row>
    <row r="716" spans="2:10" x14ac:dyDescent="0.3">
      <c r="B716" s="121">
        <f t="shared" si="23"/>
        <v>0</v>
      </c>
      <c r="C716" s="122">
        <f t="shared" si="24"/>
        <v>0</v>
      </c>
      <c r="D716" s="123"/>
      <c r="E716" s="124"/>
      <c r="F716" s="125"/>
      <c r="G716" s="125"/>
      <c r="H716" s="126"/>
      <c r="I716" s="127"/>
      <c r="J716" s="118">
        <f>IF(ISERROR(VLOOKUP(H716,#REF!,9,0)),0,VLOOKUP(H716,#REF!,9,0)*I716)/3600</f>
        <v>0</v>
      </c>
    </row>
    <row r="717" spans="2:10" x14ac:dyDescent="0.3">
      <c r="B717" s="121">
        <f t="shared" si="23"/>
        <v>0</v>
      </c>
      <c r="C717" s="122">
        <f t="shared" si="24"/>
        <v>0</v>
      </c>
      <c r="D717" s="123"/>
      <c r="E717" s="125"/>
      <c r="F717" s="125"/>
      <c r="G717" s="125"/>
      <c r="H717" s="126"/>
      <c r="I717" s="127"/>
      <c r="J717" s="118">
        <f>IF(ISERROR(VLOOKUP(H717,#REF!,9,0)),0,VLOOKUP(H717,#REF!,9,0)*I717)/3600</f>
        <v>0</v>
      </c>
    </row>
    <row r="718" spans="2:10" x14ac:dyDescent="0.3">
      <c r="B718" s="121">
        <f t="shared" si="23"/>
        <v>0</v>
      </c>
      <c r="C718" s="122">
        <f t="shared" si="24"/>
        <v>0</v>
      </c>
      <c r="D718" s="123"/>
      <c r="E718" s="124"/>
      <c r="F718" s="125"/>
      <c r="G718" s="125"/>
      <c r="H718" s="126"/>
      <c r="I718" s="127"/>
      <c r="J718" s="118">
        <f>IF(ISERROR(VLOOKUP(H718,#REF!,9,0)),0,VLOOKUP(H718,#REF!,9,0)*I718)/3600</f>
        <v>0</v>
      </c>
    </row>
    <row r="719" spans="2:10" x14ac:dyDescent="0.3">
      <c r="B719" s="121">
        <f t="shared" si="23"/>
        <v>0</v>
      </c>
      <c r="C719" s="122">
        <f t="shared" si="24"/>
        <v>0</v>
      </c>
      <c r="D719" s="123"/>
      <c r="E719" s="125"/>
      <c r="F719" s="125"/>
      <c r="G719" s="125"/>
      <c r="H719" s="126"/>
      <c r="I719" s="127"/>
      <c r="J719" s="118">
        <f>IF(ISERROR(VLOOKUP(H719,#REF!,9,0)),0,VLOOKUP(H719,#REF!,9,0)*I719)/3600</f>
        <v>0</v>
      </c>
    </row>
    <row r="720" spans="2:10" x14ac:dyDescent="0.3">
      <c r="B720" s="121">
        <f t="shared" si="23"/>
        <v>0</v>
      </c>
      <c r="C720" s="122">
        <f t="shared" si="24"/>
        <v>0</v>
      </c>
      <c r="D720" s="123"/>
      <c r="E720" s="124"/>
      <c r="F720" s="125"/>
      <c r="G720" s="125"/>
      <c r="H720" s="126"/>
      <c r="I720" s="127"/>
      <c r="J720" s="118">
        <f>IF(ISERROR(VLOOKUP(H720,#REF!,9,0)),0,VLOOKUP(H720,#REF!,9,0)*I720)/3600</f>
        <v>0</v>
      </c>
    </row>
    <row r="721" spans="2:10" x14ac:dyDescent="0.3">
      <c r="B721" s="121">
        <f t="shared" si="23"/>
        <v>0</v>
      </c>
      <c r="C721" s="122">
        <f t="shared" si="24"/>
        <v>0</v>
      </c>
      <c r="D721" s="123"/>
      <c r="E721" s="125"/>
      <c r="F721" s="125"/>
      <c r="G721" s="125"/>
      <c r="H721" s="126"/>
      <c r="I721" s="127"/>
      <c r="J721" s="118">
        <f>IF(ISERROR(VLOOKUP(H721,#REF!,9,0)),0,VLOOKUP(H721,#REF!,9,0)*I721)/3600</f>
        <v>0</v>
      </c>
    </row>
    <row r="722" spans="2:10" x14ac:dyDescent="0.3">
      <c r="B722" s="121">
        <f t="shared" si="23"/>
        <v>0</v>
      </c>
      <c r="C722" s="122">
        <f t="shared" si="24"/>
        <v>0</v>
      </c>
      <c r="D722" s="123"/>
      <c r="E722" s="124"/>
      <c r="F722" s="125"/>
      <c r="G722" s="125"/>
      <c r="H722" s="126"/>
      <c r="I722" s="127"/>
      <c r="J722" s="118">
        <f>IF(ISERROR(VLOOKUP(H722,#REF!,9,0)),0,VLOOKUP(H722,#REF!,9,0)*I722)/3600</f>
        <v>0</v>
      </c>
    </row>
    <row r="723" spans="2:10" x14ac:dyDescent="0.3">
      <c r="B723" s="121">
        <f t="shared" si="23"/>
        <v>0</v>
      </c>
      <c r="C723" s="122">
        <f t="shared" si="24"/>
        <v>0</v>
      </c>
      <c r="D723" s="123"/>
      <c r="E723" s="125"/>
      <c r="F723" s="125"/>
      <c r="G723" s="125"/>
      <c r="H723" s="126"/>
      <c r="I723" s="127"/>
      <c r="J723" s="118">
        <f>IF(ISERROR(VLOOKUP(H723,#REF!,9,0)),0,VLOOKUP(H723,#REF!,9,0)*I723)/3600</f>
        <v>0</v>
      </c>
    </row>
    <row r="724" spans="2:10" x14ac:dyDescent="0.3">
      <c r="B724" s="121">
        <f t="shared" si="23"/>
        <v>0</v>
      </c>
      <c r="C724" s="122">
        <f t="shared" si="24"/>
        <v>0</v>
      </c>
      <c r="D724" s="123"/>
      <c r="E724" s="124"/>
      <c r="F724" s="125"/>
      <c r="G724" s="125"/>
      <c r="H724" s="126"/>
      <c r="I724" s="127"/>
      <c r="J724" s="118">
        <f>IF(ISERROR(VLOOKUP(H724,#REF!,9,0)),0,VLOOKUP(H724,#REF!,9,0)*I724)/3600</f>
        <v>0</v>
      </c>
    </row>
    <row r="725" spans="2:10" x14ac:dyDescent="0.3">
      <c r="B725" s="121">
        <f t="shared" si="23"/>
        <v>0</v>
      </c>
      <c r="C725" s="122">
        <f t="shared" si="24"/>
        <v>0</v>
      </c>
      <c r="D725" s="123"/>
      <c r="E725" s="125"/>
      <c r="F725" s="125"/>
      <c r="G725" s="125"/>
      <c r="H725" s="126"/>
      <c r="I725" s="127"/>
      <c r="J725" s="118">
        <f>IF(ISERROR(VLOOKUP(H725,#REF!,9,0)),0,VLOOKUP(H725,#REF!,9,0)*I725)/3600</f>
        <v>0</v>
      </c>
    </row>
    <row r="726" spans="2:10" x14ac:dyDescent="0.3">
      <c r="B726" s="121">
        <f t="shared" si="23"/>
        <v>0</v>
      </c>
      <c r="C726" s="122">
        <f t="shared" si="24"/>
        <v>0</v>
      </c>
      <c r="D726" s="123"/>
      <c r="E726" s="124"/>
      <c r="F726" s="125"/>
      <c r="G726" s="125"/>
      <c r="H726" s="126"/>
      <c r="I726" s="127"/>
      <c r="J726" s="118">
        <f>IF(ISERROR(VLOOKUP(H726,#REF!,9,0)),0,VLOOKUP(H726,#REF!,9,0)*I726)/3600</f>
        <v>0</v>
      </c>
    </row>
    <row r="727" spans="2:10" x14ac:dyDescent="0.3">
      <c r="B727" s="121">
        <f t="shared" si="23"/>
        <v>0</v>
      </c>
      <c r="C727" s="122">
        <f t="shared" si="24"/>
        <v>0</v>
      </c>
      <c r="D727" s="123"/>
      <c r="E727" s="125"/>
      <c r="F727" s="125"/>
      <c r="G727" s="125"/>
      <c r="H727" s="126"/>
      <c r="I727" s="127"/>
      <c r="J727" s="118">
        <f>IF(ISERROR(VLOOKUP(H727,#REF!,9,0)),0,VLOOKUP(H727,#REF!,9,0)*I727)/3600</f>
        <v>0</v>
      </c>
    </row>
    <row r="728" spans="2:10" x14ac:dyDescent="0.3">
      <c r="B728" s="121">
        <f t="shared" si="23"/>
        <v>0</v>
      </c>
      <c r="C728" s="122">
        <f t="shared" si="24"/>
        <v>0</v>
      </c>
      <c r="D728" s="123"/>
      <c r="E728" s="124"/>
      <c r="F728" s="125"/>
      <c r="G728" s="125"/>
      <c r="H728" s="126"/>
      <c r="I728" s="127"/>
      <c r="J728" s="118">
        <f>IF(ISERROR(VLOOKUP(H728,#REF!,9,0)),0,VLOOKUP(H728,#REF!,9,0)*I728)/3600</f>
        <v>0</v>
      </c>
    </row>
    <row r="729" spans="2:10" x14ac:dyDescent="0.3">
      <c r="B729" s="121">
        <f t="shared" si="23"/>
        <v>0</v>
      </c>
      <c r="C729" s="122">
        <f t="shared" si="24"/>
        <v>0</v>
      </c>
      <c r="D729" s="123"/>
      <c r="E729" s="125"/>
      <c r="F729" s="125"/>
      <c r="G729" s="125"/>
      <c r="H729" s="126"/>
      <c r="I729" s="127"/>
      <c r="J729" s="118">
        <f>IF(ISERROR(VLOOKUP(H729,#REF!,9,0)),0,VLOOKUP(H729,#REF!,9,0)*I729)/3600</f>
        <v>0</v>
      </c>
    </row>
    <row r="730" spans="2:10" x14ac:dyDescent="0.3">
      <c r="B730" s="121">
        <f t="shared" si="23"/>
        <v>0</v>
      </c>
      <c r="C730" s="122">
        <f t="shared" si="24"/>
        <v>0</v>
      </c>
      <c r="D730" s="123"/>
      <c r="E730" s="124"/>
      <c r="F730" s="125"/>
      <c r="G730" s="125"/>
      <c r="H730" s="126"/>
      <c r="I730" s="127"/>
      <c r="J730" s="118">
        <f>IF(ISERROR(VLOOKUP(H730,#REF!,9,0)),0,VLOOKUP(H730,#REF!,9,0)*I730)/3600</f>
        <v>0</v>
      </c>
    </row>
    <row r="731" spans="2:10" x14ac:dyDescent="0.3">
      <c r="B731" s="121">
        <f t="shared" si="23"/>
        <v>0</v>
      </c>
      <c r="C731" s="122">
        <f t="shared" si="24"/>
        <v>0</v>
      </c>
      <c r="D731" s="123"/>
      <c r="E731" s="125"/>
      <c r="F731" s="125"/>
      <c r="G731" s="125"/>
      <c r="H731" s="126"/>
      <c r="I731" s="127"/>
      <c r="J731" s="118">
        <f>IF(ISERROR(VLOOKUP(H731,#REF!,9,0)),0,VLOOKUP(H731,#REF!,9,0)*I731)/3600</f>
        <v>0</v>
      </c>
    </row>
    <row r="732" spans="2:10" x14ac:dyDescent="0.3">
      <c r="B732" s="121">
        <f t="shared" si="23"/>
        <v>0</v>
      </c>
      <c r="C732" s="122">
        <f t="shared" si="24"/>
        <v>0</v>
      </c>
      <c r="D732" s="123"/>
      <c r="E732" s="124"/>
      <c r="F732" s="125"/>
      <c r="G732" s="125"/>
      <c r="H732" s="126"/>
      <c r="I732" s="127"/>
      <c r="J732" s="118">
        <f>IF(ISERROR(VLOOKUP(H732,#REF!,9,0)),0,VLOOKUP(H732,#REF!,9,0)*I732)/3600</f>
        <v>0</v>
      </c>
    </row>
    <row r="733" spans="2:10" x14ac:dyDescent="0.3">
      <c r="B733" s="121">
        <f t="shared" si="23"/>
        <v>0</v>
      </c>
      <c r="C733" s="122">
        <f t="shared" si="24"/>
        <v>0</v>
      </c>
      <c r="D733" s="123"/>
      <c r="E733" s="125"/>
      <c r="F733" s="125"/>
      <c r="G733" s="125"/>
      <c r="H733" s="126"/>
      <c r="I733" s="127"/>
      <c r="J733" s="118">
        <f>IF(ISERROR(VLOOKUP(H733,#REF!,9,0)),0,VLOOKUP(H733,#REF!,9,0)*I733)/3600</f>
        <v>0</v>
      </c>
    </row>
    <row r="734" spans="2:10" x14ac:dyDescent="0.3">
      <c r="B734" s="121">
        <f t="shared" si="23"/>
        <v>0</v>
      </c>
      <c r="C734" s="122">
        <f t="shared" si="24"/>
        <v>0</v>
      </c>
      <c r="D734" s="123"/>
      <c r="E734" s="124"/>
      <c r="F734" s="125"/>
      <c r="G734" s="125"/>
      <c r="H734" s="126"/>
      <c r="I734" s="127"/>
      <c r="J734" s="118">
        <f>IF(ISERROR(VLOOKUP(H734,#REF!,9,0)),0,VLOOKUP(H734,#REF!,9,0)*I734)/3600</f>
        <v>0</v>
      </c>
    </row>
    <row r="735" spans="2:10" x14ac:dyDescent="0.3">
      <c r="B735" s="121">
        <f t="shared" si="23"/>
        <v>0</v>
      </c>
      <c r="C735" s="122">
        <f t="shared" si="24"/>
        <v>0</v>
      </c>
      <c r="D735" s="123"/>
      <c r="E735" s="125"/>
      <c r="F735" s="125"/>
      <c r="G735" s="125"/>
      <c r="H735" s="126"/>
      <c r="I735" s="127"/>
      <c r="J735" s="118">
        <f>IF(ISERROR(VLOOKUP(H735,#REF!,9,0)),0,VLOOKUP(H735,#REF!,9,0)*I735)/3600</f>
        <v>0</v>
      </c>
    </row>
    <row r="736" spans="2:10" x14ac:dyDescent="0.3">
      <c r="B736" s="121">
        <f t="shared" si="23"/>
        <v>0</v>
      </c>
      <c r="C736" s="122">
        <f t="shared" si="24"/>
        <v>0</v>
      </c>
      <c r="D736" s="123"/>
      <c r="E736" s="124"/>
      <c r="F736" s="125"/>
      <c r="G736" s="125"/>
      <c r="H736" s="126"/>
      <c r="I736" s="127"/>
      <c r="J736" s="118">
        <f>IF(ISERROR(VLOOKUP(H736,#REF!,9,0)),0,VLOOKUP(H736,#REF!,9,0)*I736)/3600</f>
        <v>0</v>
      </c>
    </row>
    <row r="737" spans="2:10" x14ac:dyDescent="0.3">
      <c r="B737" s="121">
        <f t="shared" si="23"/>
        <v>0</v>
      </c>
      <c r="C737" s="122">
        <f t="shared" si="24"/>
        <v>0</v>
      </c>
      <c r="D737" s="123"/>
      <c r="E737" s="125"/>
      <c r="F737" s="125"/>
      <c r="G737" s="125"/>
      <c r="H737" s="126"/>
      <c r="I737" s="127"/>
      <c r="J737" s="118">
        <f>IF(ISERROR(VLOOKUP(H737,#REF!,9,0)),0,VLOOKUP(H737,#REF!,9,0)*I737)/3600</f>
        <v>0</v>
      </c>
    </row>
    <row r="738" spans="2:10" x14ac:dyDescent="0.3">
      <c r="B738" s="121">
        <f t="shared" si="23"/>
        <v>0</v>
      </c>
      <c r="C738" s="122">
        <f t="shared" si="24"/>
        <v>0</v>
      </c>
      <c r="D738" s="123"/>
      <c r="E738" s="124"/>
      <c r="F738" s="125"/>
      <c r="G738" s="125"/>
      <c r="H738" s="126"/>
      <c r="I738" s="127"/>
      <c r="J738" s="118">
        <f>IF(ISERROR(VLOOKUP(H738,#REF!,9,0)),0,VLOOKUP(H738,#REF!,9,0)*I738)/3600</f>
        <v>0</v>
      </c>
    </row>
    <row r="739" spans="2:10" x14ac:dyDescent="0.3">
      <c r="B739" s="121">
        <f t="shared" si="23"/>
        <v>0</v>
      </c>
      <c r="C739" s="122">
        <f t="shared" si="24"/>
        <v>0</v>
      </c>
      <c r="D739" s="123"/>
      <c r="E739" s="125"/>
      <c r="F739" s="125"/>
      <c r="G739" s="125"/>
      <c r="H739" s="126"/>
      <c r="I739" s="127"/>
      <c r="J739" s="118">
        <f>IF(ISERROR(VLOOKUP(H739,#REF!,9,0)),0,VLOOKUP(H739,#REF!,9,0)*I739)/3600</f>
        <v>0</v>
      </c>
    </row>
    <row r="740" spans="2:10" x14ac:dyDescent="0.3">
      <c r="B740" s="121">
        <f t="shared" si="23"/>
        <v>0</v>
      </c>
      <c r="C740" s="122">
        <f t="shared" si="24"/>
        <v>0</v>
      </c>
      <c r="D740" s="123"/>
      <c r="E740" s="124"/>
      <c r="F740" s="125"/>
      <c r="G740" s="125"/>
      <c r="H740" s="126"/>
      <c r="I740" s="127"/>
      <c r="J740" s="118">
        <f>IF(ISERROR(VLOOKUP(H740,#REF!,9,0)),0,VLOOKUP(H740,#REF!,9,0)*I740)/3600</f>
        <v>0</v>
      </c>
    </row>
    <row r="741" spans="2:10" x14ac:dyDescent="0.3">
      <c r="B741" s="121">
        <f t="shared" si="23"/>
        <v>0</v>
      </c>
      <c r="C741" s="122">
        <f t="shared" si="24"/>
        <v>0</v>
      </c>
      <c r="D741" s="123"/>
      <c r="E741" s="125"/>
      <c r="F741" s="125"/>
      <c r="G741" s="125"/>
      <c r="H741" s="126"/>
      <c r="I741" s="127"/>
      <c r="J741" s="118">
        <f>IF(ISERROR(VLOOKUP(H741,#REF!,9,0)),0,VLOOKUP(H741,#REF!,9,0)*I741)/3600</f>
        <v>0</v>
      </c>
    </row>
    <row r="742" spans="2:10" x14ac:dyDescent="0.3">
      <c r="B742" s="121">
        <f t="shared" si="23"/>
        <v>0</v>
      </c>
      <c r="C742" s="122">
        <f t="shared" si="24"/>
        <v>0</v>
      </c>
      <c r="D742" s="123"/>
      <c r="E742" s="124"/>
      <c r="F742" s="125"/>
      <c r="G742" s="125"/>
      <c r="H742" s="126"/>
      <c r="I742" s="127"/>
      <c r="J742" s="118">
        <f>IF(ISERROR(VLOOKUP(H742,#REF!,9,0)),0,VLOOKUP(H742,#REF!,9,0)*I742)/3600</f>
        <v>0</v>
      </c>
    </row>
    <row r="743" spans="2:10" x14ac:dyDescent="0.3">
      <c r="B743" s="121">
        <f t="shared" si="23"/>
        <v>0</v>
      </c>
      <c r="C743" s="122">
        <f t="shared" si="24"/>
        <v>0</v>
      </c>
      <c r="D743" s="123"/>
      <c r="E743" s="125"/>
      <c r="F743" s="125"/>
      <c r="G743" s="125"/>
      <c r="H743" s="126"/>
      <c r="I743" s="127"/>
      <c r="J743" s="118">
        <f>IF(ISERROR(VLOOKUP(H743,#REF!,9,0)),0,VLOOKUP(H743,#REF!,9,0)*I743)/3600</f>
        <v>0</v>
      </c>
    </row>
    <row r="744" spans="2:10" x14ac:dyDescent="0.3">
      <c r="B744" s="121">
        <f t="shared" si="23"/>
        <v>0</v>
      </c>
      <c r="C744" s="122">
        <f t="shared" si="24"/>
        <v>0</v>
      </c>
      <c r="D744" s="123"/>
      <c r="E744" s="124"/>
      <c r="F744" s="125"/>
      <c r="G744" s="125"/>
      <c r="H744" s="126"/>
      <c r="I744" s="127"/>
      <c r="J744" s="118">
        <f>IF(ISERROR(VLOOKUP(H744,#REF!,9,0)),0,VLOOKUP(H744,#REF!,9,0)*I744)/3600</f>
        <v>0</v>
      </c>
    </row>
    <row r="745" spans="2:10" x14ac:dyDescent="0.3">
      <c r="B745" s="121">
        <f t="shared" si="23"/>
        <v>0</v>
      </c>
      <c r="C745" s="122">
        <f t="shared" si="24"/>
        <v>0</v>
      </c>
      <c r="D745" s="123"/>
      <c r="E745" s="125"/>
      <c r="F745" s="125"/>
      <c r="G745" s="125"/>
      <c r="H745" s="126"/>
      <c r="I745" s="127"/>
      <c r="J745" s="118">
        <f>IF(ISERROR(VLOOKUP(H745,#REF!,9,0)),0,VLOOKUP(H745,#REF!,9,0)*I745)/3600</f>
        <v>0</v>
      </c>
    </row>
    <row r="746" spans="2:10" x14ac:dyDescent="0.3">
      <c r="B746" s="121">
        <f t="shared" si="23"/>
        <v>0</v>
      </c>
      <c r="C746" s="122">
        <f t="shared" si="24"/>
        <v>0</v>
      </c>
      <c r="D746" s="123"/>
      <c r="E746" s="124"/>
      <c r="F746" s="125"/>
      <c r="G746" s="125"/>
      <c r="H746" s="126"/>
      <c r="I746" s="127"/>
      <c r="J746" s="118">
        <f>IF(ISERROR(VLOOKUP(H746,#REF!,9,0)),0,VLOOKUP(H746,#REF!,9,0)*I746)/3600</f>
        <v>0</v>
      </c>
    </row>
    <row r="747" spans="2:10" x14ac:dyDescent="0.3">
      <c r="B747" s="121">
        <f t="shared" si="23"/>
        <v>0</v>
      </c>
      <c r="C747" s="122">
        <f t="shared" si="24"/>
        <v>0</v>
      </c>
      <c r="D747" s="123"/>
      <c r="E747" s="125"/>
      <c r="F747" s="125"/>
      <c r="G747" s="125"/>
      <c r="H747" s="126"/>
      <c r="I747" s="127"/>
      <c r="J747" s="118">
        <f>IF(ISERROR(VLOOKUP(H747,#REF!,9,0)),0,VLOOKUP(H747,#REF!,9,0)*I747)/3600</f>
        <v>0</v>
      </c>
    </row>
    <row r="748" spans="2:10" x14ac:dyDescent="0.3">
      <c r="B748" s="121">
        <f t="shared" si="23"/>
        <v>0</v>
      </c>
      <c r="C748" s="122">
        <f t="shared" si="24"/>
        <v>0</v>
      </c>
      <c r="D748" s="123"/>
      <c r="E748" s="124"/>
      <c r="F748" s="125"/>
      <c r="G748" s="125"/>
      <c r="H748" s="126"/>
      <c r="I748" s="127"/>
      <c r="J748" s="118">
        <f>IF(ISERROR(VLOOKUP(H748,#REF!,9,0)),0,VLOOKUP(H748,#REF!,9,0)*I748)/3600</f>
        <v>0</v>
      </c>
    </row>
    <row r="749" spans="2:10" x14ac:dyDescent="0.3">
      <c r="B749" s="121">
        <f t="shared" si="23"/>
        <v>0</v>
      </c>
      <c r="C749" s="122">
        <f t="shared" si="24"/>
        <v>0</v>
      </c>
      <c r="D749" s="123"/>
      <c r="E749" s="125"/>
      <c r="F749" s="125"/>
      <c r="G749" s="125"/>
      <c r="H749" s="126"/>
      <c r="I749" s="127"/>
      <c r="J749" s="118">
        <f>IF(ISERROR(VLOOKUP(H749,#REF!,9,0)),0,VLOOKUP(H749,#REF!,9,0)*I749)/3600</f>
        <v>0</v>
      </c>
    </row>
    <row r="750" spans="2:10" x14ac:dyDescent="0.3">
      <c r="B750" s="121">
        <f t="shared" si="23"/>
        <v>0</v>
      </c>
      <c r="C750" s="122">
        <f t="shared" si="24"/>
        <v>0</v>
      </c>
      <c r="D750" s="123"/>
      <c r="E750" s="124"/>
      <c r="F750" s="125"/>
      <c r="G750" s="125"/>
      <c r="H750" s="126"/>
      <c r="I750" s="127"/>
      <c r="J750" s="118">
        <f>IF(ISERROR(VLOOKUP(H750,#REF!,9,0)),0,VLOOKUP(H750,#REF!,9,0)*I750)/3600</f>
        <v>0</v>
      </c>
    </row>
    <row r="751" spans="2:10" x14ac:dyDescent="0.3">
      <c r="B751" s="121">
        <f t="shared" si="23"/>
        <v>0</v>
      </c>
      <c r="C751" s="122">
        <f t="shared" si="24"/>
        <v>0</v>
      </c>
      <c r="D751" s="123"/>
      <c r="E751" s="125"/>
      <c r="F751" s="125"/>
      <c r="G751" s="125"/>
      <c r="H751" s="126"/>
      <c r="I751" s="127"/>
      <c r="J751" s="118">
        <f>IF(ISERROR(VLOOKUP(H751,#REF!,9,0)),0,VLOOKUP(H751,#REF!,9,0)*I751)/3600</f>
        <v>0</v>
      </c>
    </row>
    <row r="752" spans="2:10" x14ac:dyDescent="0.3">
      <c r="B752" s="121">
        <f t="shared" si="23"/>
        <v>0</v>
      </c>
      <c r="C752" s="122">
        <f t="shared" si="24"/>
        <v>0</v>
      </c>
      <c r="D752" s="123"/>
      <c r="E752" s="124"/>
      <c r="F752" s="125"/>
      <c r="G752" s="125"/>
      <c r="H752" s="126"/>
      <c r="I752" s="127"/>
      <c r="J752" s="118">
        <f>IF(ISERROR(VLOOKUP(H752,#REF!,9,0)),0,VLOOKUP(H752,#REF!,9,0)*I752)/3600</f>
        <v>0</v>
      </c>
    </row>
    <row r="753" spans="2:10" x14ac:dyDescent="0.3">
      <c r="B753" s="121">
        <f t="shared" si="23"/>
        <v>0</v>
      </c>
      <c r="C753" s="122">
        <f t="shared" si="24"/>
        <v>0</v>
      </c>
      <c r="D753" s="123"/>
      <c r="E753" s="125"/>
      <c r="F753" s="125"/>
      <c r="G753" s="125"/>
      <c r="H753" s="126"/>
      <c r="I753" s="127"/>
      <c r="J753" s="118">
        <f>IF(ISERROR(VLOOKUP(H753,#REF!,9,0)),0,VLOOKUP(H753,#REF!,9,0)*I753)/3600</f>
        <v>0</v>
      </c>
    </row>
    <row r="754" spans="2:10" x14ac:dyDescent="0.3">
      <c r="B754" s="121">
        <f t="shared" si="23"/>
        <v>0</v>
      </c>
      <c r="C754" s="122">
        <f t="shared" si="24"/>
        <v>0</v>
      </c>
      <c r="D754" s="123"/>
      <c r="E754" s="124"/>
      <c r="F754" s="125"/>
      <c r="G754" s="125"/>
      <c r="H754" s="126"/>
      <c r="I754" s="127"/>
      <c r="J754" s="118">
        <f>IF(ISERROR(VLOOKUP(H754,#REF!,9,0)),0,VLOOKUP(H754,#REF!,9,0)*I754)/3600</f>
        <v>0</v>
      </c>
    </row>
    <row r="755" spans="2:10" x14ac:dyDescent="0.3">
      <c r="B755" s="121">
        <f t="shared" si="23"/>
        <v>0</v>
      </c>
      <c r="C755" s="122">
        <f t="shared" si="24"/>
        <v>0</v>
      </c>
      <c r="D755" s="123"/>
      <c r="E755" s="125"/>
      <c r="F755" s="125"/>
      <c r="G755" s="125"/>
      <c r="H755" s="126"/>
      <c r="I755" s="127"/>
      <c r="J755" s="118">
        <f>IF(ISERROR(VLOOKUP(H755,#REF!,9,0)),0,VLOOKUP(H755,#REF!,9,0)*I755)/3600</f>
        <v>0</v>
      </c>
    </row>
    <row r="756" spans="2:10" x14ac:dyDescent="0.3">
      <c r="B756" s="121">
        <f t="shared" si="23"/>
        <v>0</v>
      </c>
      <c r="C756" s="122">
        <f t="shared" si="24"/>
        <v>0</v>
      </c>
      <c r="D756" s="123"/>
      <c r="E756" s="124"/>
      <c r="F756" s="125"/>
      <c r="G756" s="125"/>
      <c r="H756" s="126"/>
      <c r="I756" s="127"/>
      <c r="J756" s="118">
        <f>IF(ISERROR(VLOOKUP(H756,#REF!,9,0)),0,VLOOKUP(H756,#REF!,9,0)*I756)/3600</f>
        <v>0</v>
      </c>
    </row>
    <row r="757" spans="2:10" x14ac:dyDescent="0.3">
      <c r="B757" s="121">
        <f t="shared" si="23"/>
        <v>0</v>
      </c>
      <c r="C757" s="122">
        <f t="shared" si="24"/>
        <v>0</v>
      </c>
      <c r="D757" s="123"/>
      <c r="E757" s="125"/>
      <c r="F757" s="125"/>
      <c r="G757" s="125"/>
      <c r="H757" s="126"/>
      <c r="I757" s="127"/>
      <c r="J757" s="118">
        <f>IF(ISERROR(VLOOKUP(H757,#REF!,9,0)),0,VLOOKUP(H757,#REF!,9,0)*I757)/3600</f>
        <v>0</v>
      </c>
    </row>
    <row r="758" spans="2:10" x14ac:dyDescent="0.3">
      <c r="B758" s="121">
        <f t="shared" si="23"/>
        <v>0</v>
      </c>
      <c r="C758" s="122">
        <f t="shared" si="24"/>
        <v>0</v>
      </c>
      <c r="D758" s="123"/>
      <c r="E758" s="124"/>
      <c r="F758" s="125"/>
      <c r="G758" s="125"/>
      <c r="H758" s="126"/>
      <c r="I758" s="127"/>
      <c r="J758" s="118">
        <f>IF(ISERROR(VLOOKUP(H758,#REF!,9,0)),0,VLOOKUP(H758,#REF!,9,0)*I758)/3600</f>
        <v>0</v>
      </c>
    </row>
    <row r="759" spans="2:10" x14ac:dyDescent="0.3">
      <c r="B759" s="121">
        <f t="shared" si="23"/>
        <v>0</v>
      </c>
      <c r="C759" s="122">
        <f t="shared" si="24"/>
        <v>0</v>
      </c>
      <c r="D759" s="123"/>
      <c r="E759" s="125"/>
      <c r="F759" s="125"/>
      <c r="G759" s="125"/>
      <c r="H759" s="126"/>
      <c r="I759" s="127"/>
      <c r="J759" s="118">
        <f>IF(ISERROR(VLOOKUP(H759,#REF!,9,0)),0,VLOOKUP(H759,#REF!,9,0)*I759)/3600</f>
        <v>0</v>
      </c>
    </row>
    <row r="760" spans="2:10" x14ac:dyDescent="0.3">
      <c r="B760" s="121">
        <f t="shared" si="23"/>
        <v>0</v>
      </c>
      <c r="C760" s="122">
        <f t="shared" si="24"/>
        <v>0</v>
      </c>
      <c r="D760" s="123"/>
      <c r="E760" s="124"/>
      <c r="F760" s="125"/>
      <c r="G760" s="125"/>
      <c r="H760" s="126"/>
      <c r="I760" s="127"/>
      <c r="J760" s="118">
        <f>IF(ISERROR(VLOOKUP(H760,#REF!,9,0)),0,VLOOKUP(H760,#REF!,9,0)*I760)/3600</f>
        <v>0</v>
      </c>
    </row>
    <row r="761" spans="2:10" x14ac:dyDescent="0.3">
      <c r="B761" s="121">
        <f t="shared" si="23"/>
        <v>0</v>
      </c>
      <c r="C761" s="122">
        <f t="shared" si="24"/>
        <v>0</v>
      </c>
      <c r="D761" s="123"/>
      <c r="E761" s="125"/>
      <c r="F761" s="125"/>
      <c r="G761" s="125"/>
      <c r="H761" s="126"/>
      <c r="I761" s="127"/>
      <c r="J761" s="118">
        <f>IF(ISERROR(VLOOKUP(H761,#REF!,9,0)),0,VLOOKUP(H761,#REF!,9,0)*I761)/3600</f>
        <v>0</v>
      </c>
    </row>
    <row r="762" spans="2:10" x14ac:dyDescent="0.3">
      <c r="B762" s="121">
        <f t="shared" si="23"/>
        <v>0</v>
      </c>
      <c r="C762" s="122">
        <f t="shared" si="24"/>
        <v>0</v>
      </c>
      <c r="D762" s="123"/>
      <c r="E762" s="124"/>
      <c r="F762" s="125"/>
      <c r="G762" s="125"/>
      <c r="H762" s="126"/>
      <c r="I762" s="127"/>
      <c r="J762" s="118">
        <f>IF(ISERROR(VLOOKUP(H762,#REF!,9,0)),0,VLOOKUP(H762,#REF!,9,0)*I762)/3600</f>
        <v>0</v>
      </c>
    </row>
    <row r="763" spans="2:10" x14ac:dyDescent="0.3">
      <c r="B763" s="121">
        <f t="shared" si="23"/>
        <v>0</v>
      </c>
      <c r="C763" s="122">
        <f t="shared" si="24"/>
        <v>0</v>
      </c>
      <c r="D763" s="123"/>
      <c r="E763" s="125"/>
      <c r="F763" s="125"/>
      <c r="G763" s="125"/>
      <c r="H763" s="126"/>
      <c r="I763" s="127"/>
      <c r="J763" s="118">
        <f>IF(ISERROR(VLOOKUP(H763,#REF!,9,0)),0,VLOOKUP(H763,#REF!,9,0)*I763)/3600</f>
        <v>0</v>
      </c>
    </row>
    <row r="764" spans="2:10" x14ac:dyDescent="0.3">
      <c r="B764" s="121">
        <f t="shared" si="23"/>
        <v>0</v>
      </c>
      <c r="C764" s="122">
        <f t="shared" si="24"/>
        <v>0</v>
      </c>
      <c r="D764" s="123"/>
      <c r="E764" s="124"/>
      <c r="F764" s="125"/>
      <c r="G764" s="125"/>
      <c r="H764" s="126"/>
      <c r="I764" s="127"/>
      <c r="J764" s="118">
        <f>IF(ISERROR(VLOOKUP(H764,#REF!,9,0)),0,VLOOKUP(H764,#REF!,9,0)*I764)/3600</f>
        <v>0</v>
      </c>
    </row>
    <row r="765" spans="2:10" x14ac:dyDescent="0.3">
      <c r="B765" s="121">
        <f t="shared" si="23"/>
        <v>0</v>
      </c>
      <c r="C765" s="122">
        <f t="shared" si="24"/>
        <v>0</v>
      </c>
      <c r="D765" s="123"/>
      <c r="E765" s="125"/>
      <c r="F765" s="125"/>
      <c r="G765" s="125"/>
      <c r="H765" s="126"/>
      <c r="I765" s="127"/>
      <c r="J765" s="118">
        <f>IF(ISERROR(VLOOKUP(H765,#REF!,9,0)),0,VLOOKUP(H765,#REF!,9,0)*I765)/3600</f>
        <v>0</v>
      </c>
    </row>
    <row r="766" spans="2:10" x14ac:dyDescent="0.3">
      <c r="B766" s="121">
        <f t="shared" si="23"/>
        <v>0</v>
      </c>
      <c r="C766" s="122">
        <f t="shared" si="24"/>
        <v>0</v>
      </c>
      <c r="D766" s="123"/>
      <c r="E766" s="124"/>
      <c r="F766" s="125"/>
      <c r="G766" s="125"/>
      <c r="H766" s="126"/>
      <c r="I766" s="127"/>
      <c r="J766" s="118">
        <f>IF(ISERROR(VLOOKUP(H766,#REF!,9,0)),0,VLOOKUP(H766,#REF!,9,0)*I766)/3600</f>
        <v>0</v>
      </c>
    </row>
    <row r="767" spans="2:10" x14ac:dyDescent="0.3">
      <c r="B767" s="121">
        <f t="shared" si="23"/>
        <v>0</v>
      </c>
      <c r="C767" s="122">
        <f t="shared" si="24"/>
        <v>0</v>
      </c>
      <c r="D767" s="123"/>
      <c r="E767" s="125"/>
      <c r="F767" s="125"/>
      <c r="G767" s="125"/>
      <c r="H767" s="126"/>
      <c r="I767" s="127"/>
      <c r="J767" s="118">
        <f>IF(ISERROR(VLOOKUP(H767,#REF!,9,0)),0,VLOOKUP(H767,#REF!,9,0)*I767)/3600</f>
        <v>0</v>
      </c>
    </row>
    <row r="768" spans="2:10" x14ac:dyDescent="0.3">
      <c r="B768" s="121">
        <f t="shared" si="23"/>
        <v>0</v>
      </c>
      <c r="C768" s="122">
        <f t="shared" si="24"/>
        <v>0</v>
      </c>
      <c r="D768" s="123"/>
      <c r="E768" s="124"/>
      <c r="F768" s="125"/>
      <c r="G768" s="125"/>
      <c r="H768" s="126"/>
      <c r="I768" s="127"/>
      <c r="J768" s="118">
        <f>IF(ISERROR(VLOOKUP(H768,#REF!,9,0)),0,VLOOKUP(H768,#REF!,9,0)*I768)/3600</f>
        <v>0</v>
      </c>
    </row>
    <row r="769" spans="2:10" x14ac:dyDescent="0.3">
      <c r="B769" s="121">
        <f t="shared" si="23"/>
        <v>0</v>
      </c>
      <c r="C769" s="122">
        <f t="shared" si="24"/>
        <v>0</v>
      </c>
      <c r="D769" s="123"/>
      <c r="E769" s="125"/>
      <c r="F769" s="125"/>
      <c r="G769" s="125"/>
      <c r="H769" s="126"/>
      <c r="I769" s="127"/>
      <c r="J769" s="118">
        <f>IF(ISERROR(VLOOKUP(H769,#REF!,9,0)),0,VLOOKUP(H769,#REF!,9,0)*I769)/3600</f>
        <v>0</v>
      </c>
    </row>
    <row r="770" spans="2:10" x14ac:dyDescent="0.3">
      <c r="B770" s="121">
        <f t="shared" si="23"/>
        <v>0</v>
      </c>
      <c r="C770" s="122">
        <f t="shared" si="24"/>
        <v>0</v>
      </c>
      <c r="D770" s="123"/>
      <c r="E770" s="124"/>
      <c r="F770" s="125"/>
      <c r="G770" s="125"/>
      <c r="H770" s="126"/>
      <c r="I770" s="127"/>
      <c r="J770" s="118">
        <f>IF(ISERROR(VLOOKUP(H770,#REF!,9,0)),0,VLOOKUP(H770,#REF!,9,0)*I770)/3600</f>
        <v>0</v>
      </c>
    </row>
    <row r="771" spans="2:10" x14ac:dyDescent="0.3">
      <c r="B771" s="121">
        <f t="shared" si="23"/>
        <v>0</v>
      </c>
      <c r="C771" s="122">
        <f t="shared" si="24"/>
        <v>0</v>
      </c>
      <c r="D771" s="123"/>
      <c r="E771" s="125"/>
      <c r="F771" s="125"/>
      <c r="G771" s="125"/>
      <c r="H771" s="126"/>
      <c r="I771" s="127"/>
      <c r="J771" s="118">
        <f>IF(ISERROR(VLOOKUP(H771,#REF!,9,0)),0,VLOOKUP(H771,#REF!,9,0)*I771)/3600</f>
        <v>0</v>
      </c>
    </row>
    <row r="772" spans="2:10" x14ac:dyDescent="0.3">
      <c r="B772" s="121">
        <f t="shared" si="23"/>
        <v>0</v>
      </c>
      <c r="C772" s="122">
        <f t="shared" si="24"/>
        <v>0</v>
      </c>
      <c r="D772" s="123"/>
      <c r="E772" s="124"/>
      <c r="F772" s="125"/>
      <c r="G772" s="125"/>
      <c r="H772" s="126"/>
      <c r="I772" s="127"/>
      <c r="J772" s="118">
        <f>IF(ISERROR(VLOOKUP(H772,#REF!,9,0)),0,VLOOKUP(H772,#REF!,9,0)*I772)/3600</f>
        <v>0</v>
      </c>
    </row>
    <row r="773" spans="2:10" x14ac:dyDescent="0.3">
      <c r="B773" s="121">
        <f t="shared" si="23"/>
        <v>0</v>
      </c>
      <c r="C773" s="122">
        <f t="shared" si="24"/>
        <v>0</v>
      </c>
      <c r="D773" s="123"/>
      <c r="E773" s="125"/>
      <c r="F773" s="125"/>
      <c r="G773" s="125"/>
      <c r="H773" s="126"/>
      <c r="I773" s="127"/>
      <c r="J773" s="118">
        <f>IF(ISERROR(VLOOKUP(H773,#REF!,9,0)),0,VLOOKUP(H773,#REF!,9,0)*I773)/3600</f>
        <v>0</v>
      </c>
    </row>
    <row r="774" spans="2:10" x14ac:dyDescent="0.3">
      <c r="B774" s="121">
        <f t="shared" ref="B774:B837" si="25">IF(D774&gt;0,YEAR(D774),0)</f>
        <v>0</v>
      </c>
      <c r="C774" s="122">
        <f t="shared" ref="C774:C837" si="26">IF(D774&gt;0,MONTH(D774),0)</f>
        <v>0</v>
      </c>
      <c r="D774" s="123"/>
      <c r="E774" s="124"/>
      <c r="F774" s="125"/>
      <c r="G774" s="125"/>
      <c r="H774" s="126"/>
      <c r="I774" s="127"/>
      <c r="J774" s="118">
        <f>IF(ISERROR(VLOOKUP(H774,#REF!,9,0)),0,VLOOKUP(H774,#REF!,9,0)*I774)/3600</f>
        <v>0</v>
      </c>
    </row>
    <row r="775" spans="2:10" x14ac:dyDescent="0.3">
      <c r="B775" s="121">
        <f t="shared" si="25"/>
        <v>0</v>
      </c>
      <c r="C775" s="122">
        <f t="shared" si="26"/>
        <v>0</v>
      </c>
      <c r="D775" s="123"/>
      <c r="E775" s="125"/>
      <c r="F775" s="125"/>
      <c r="G775" s="125"/>
      <c r="H775" s="126"/>
      <c r="I775" s="127"/>
      <c r="J775" s="118">
        <f>IF(ISERROR(VLOOKUP(H775,#REF!,9,0)),0,VLOOKUP(H775,#REF!,9,0)*I775)/3600</f>
        <v>0</v>
      </c>
    </row>
    <row r="776" spans="2:10" x14ac:dyDescent="0.3">
      <c r="B776" s="121">
        <f t="shared" si="25"/>
        <v>0</v>
      </c>
      <c r="C776" s="122">
        <f t="shared" si="26"/>
        <v>0</v>
      </c>
      <c r="D776" s="123"/>
      <c r="E776" s="124"/>
      <c r="F776" s="125"/>
      <c r="G776" s="125"/>
      <c r="H776" s="126"/>
      <c r="I776" s="127"/>
      <c r="J776" s="118">
        <f>IF(ISERROR(VLOOKUP(H776,#REF!,9,0)),0,VLOOKUP(H776,#REF!,9,0)*I776)/3600</f>
        <v>0</v>
      </c>
    </row>
    <row r="777" spans="2:10" x14ac:dyDescent="0.3">
      <c r="B777" s="121">
        <f t="shared" si="25"/>
        <v>0</v>
      </c>
      <c r="C777" s="122">
        <f t="shared" si="26"/>
        <v>0</v>
      </c>
      <c r="D777" s="123"/>
      <c r="E777" s="125"/>
      <c r="F777" s="125"/>
      <c r="G777" s="125"/>
      <c r="H777" s="126"/>
      <c r="I777" s="127"/>
      <c r="J777" s="118">
        <f>IF(ISERROR(VLOOKUP(H777,#REF!,9,0)),0,VLOOKUP(H777,#REF!,9,0)*I777)/3600</f>
        <v>0</v>
      </c>
    </row>
    <row r="778" spans="2:10" x14ac:dyDescent="0.3">
      <c r="B778" s="121">
        <f t="shared" si="25"/>
        <v>0</v>
      </c>
      <c r="C778" s="122">
        <f t="shared" si="26"/>
        <v>0</v>
      </c>
      <c r="D778" s="123"/>
      <c r="E778" s="124"/>
      <c r="F778" s="125"/>
      <c r="G778" s="125"/>
      <c r="H778" s="126"/>
      <c r="I778" s="127"/>
      <c r="J778" s="118">
        <f>IF(ISERROR(VLOOKUP(H778,#REF!,9,0)),0,VLOOKUP(H778,#REF!,9,0)*I778)/3600</f>
        <v>0</v>
      </c>
    </row>
    <row r="779" spans="2:10" x14ac:dyDescent="0.3">
      <c r="B779" s="121">
        <f t="shared" si="25"/>
        <v>0</v>
      </c>
      <c r="C779" s="122">
        <f t="shared" si="26"/>
        <v>0</v>
      </c>
      <c r="D779" s="123"/>
      <c r="E779" s="125"/>
      <c r="F779" s="125"/>
      <c r="G779" s="125"/>
      <c r="H779" s="126"/>
      <c r="I779" s="127"/>
      <c r="J779" s="118">
        <f>IF(ISERROR(VLOOKUP(H779,#REF!,9,0)),0,VLOOKUP(H779,#REF!,9,0)*I779)/3600</f>
        <v>0</v>
      </c>
    </row>
    <row r="780" spans="2:10" x14ac:dyDescent="0.3">
      <c r="B780" s="121">
        <f t="shared" si="25"/>
        <v>0</v>
      </c>
      <c r="C780" s="122">
        <f t="shared" si="26"/>
        <v>0</v>
      </c>
      <c r="D780" s="123"/>
      <c r="E780" s="124"/>
      <c r="F780" s="125"/>
      <c r="G780" s="125"/>
      <c r="H780" s="126"/>
      <c r="I780" s="127"/>
      <c r="J780" s="118">
        <f>IF(ISERROR(VLOOKUP(H780,#REF!,9,0)),0,VLOOKUP(H780,#REF!,9,0)*I780)/3600</f>
        <v>0</v>
      </c>
    </row>
    <row r="781" spans="2:10" x14ac:dyDescent="0.3">
      <c r="B781" s="121">
        <f t="shared" si="25"/>
        <v>0</v>
      </c>
      <c r="C781" s="122">
        <f t="shared" si="26"/>
        <v>0</v>
      </c>
      <c r="D781" s="123"/>
      <c r="E781" s="125"/>
      <c r="F781" s="125"/>
      <c r="G781" s="125"/>
      <c r="H781" s="126"/>
      <c r="I781" s="127"/>
      <c r="J781" s="118">
        <f>IF(ISERROR(VLOOKUP(H781,#REF!,9,0)),0,VLOOKUP(H781,#REF!,9,0)*I781)/3600</f>
        <v>0</v>
      </c>
    </row>
    <row r="782" spans="2:10" x14ac:dyDescent="0.3">
      <c r="B782" s="121">
        <f t="shared" si="25"/>
        <v>0</v>
      </c>
      <c r="C782" s="122">
        <f t="shared" si="26"/>
        <v>0</v>
      </c>
      <c r="D782" s="123"/>
      <c r="E782" s="124"/>
      <c r="F782" s="125"/>
      <c r="G782" s="125"/>
      <c r="H782" s="126"/>
      <c r="I782" s="127"/>
      <c r="J782" s="118">
        <f>IF(ISERROR(VLOOKUP(H782,#REF!,9,0)),0,VLOOKUP(H782,#REF!,9,0)*I782)/3600</f>
        <v>0</v>
      </c>
    </row>
    <row r="783" spans="2:10" x14ac:dyDescent="0.3">
      <c r="B783" s="121">
        <f t="shared" si="25"/>
        <v>0</v>
      </c>
      <c r="C783" s="122">
        <f t="shared" si="26"/>
        <v>0</v>
      </c>
      <c r="D783" s="123"/>
      <c r="E783" s="125"/>
      <c r="F783" s="125"/>
      <c r="G783" s="125"/>
      <c r="H783" s="126"/>
      <c r="I783" s="127"/>
      <c r="J783" s="118">
        <f>IF(ISERROR(VLOOKUP(H783,#REF!,9,0)),0,VLOOKUP(H783,#REF!,9,0)*I783)/3600</f>
        <v>0</v>
      </c>
    </row>
    <row r="784" spans="2:10" x14ac:dyDescent="0.3">
      <c r="B784" s="121">
        <f t="shared" si="25"/>
        <v>0</v>
      </c>
      <c r="C784" s="122">
        <f t="shared" si="26"/>
        <v>0</v>
      </c>
      <c r="D784" s="123"/>
      <c r="E784" s="124"/>
      <c r="F784" s="125"/>
      <c r="G784" s="125"/>
      <c r="H784" s="126"/>
      <c r="I784" s="127"/>
      <c r="J784" s="118">
        <f>IF(ISERROR(VLOOKUP(H784,#REF!,9,0)),0,VLOOKUP(H784,#REF!,9,0)*I784)/3600</f>
        <v>0</v>
      </c>
    </row>
    <row r="785" spans="2:10" x14ac:dyDescent="0.3">
      <c r="B785" s="121">
        <f t="shared" si="25"/>
        <v>0</v>
      </c>
      <c r="C785" s="122">
        <f t="shared" si="26"/>
        <v>0</v>
      </c>
      <c r="D785" s="123"/>
      <c r="E785" s="125"/>
      <c r="F785" s="125"/>
      <c r="G785" s="125"/>
      <c r="H785" s="126"/>
      <c r="I785" s="127"/>
      <c r="J785" s="118">
        <f>IF(ISERROR(VLOOKUP(H785,#REF!,9,0)),0,VLOOKUP(H785,#REF!,9,0)*I785)/3600</f>
        <v>0</v>
      </c>
    </row>
    <row r="786" spans="2:10" x14ac:dyDescent="0.3">
      <c r="B786" s="121">
        <f t="shared" si="25"/>
        <v>0</v>
      </c>
      <c r="C786" s="122">
        <f t="shared" si="26"/>
        <v>0</v>
      </c>
      <c r="D786" s="123"/>
      <c r="E786" s="124"/>
      <c r="F786" s="125"/>
      <c r="G786" s="125"/>
      <c r="H786" s="126"/>
      <c r="I786" s="127"/>
      <c r="J786" s="118">
        <f>IF(ISERROR(VLOOKUP(H786,#REF!,9,0)),0,VLOOKUP(H786,#REF!,9,0)*I786)/3600</f>
        <v>0</v>
      </c>
    </row>
    <row r="787" spans="2:10" x14ac:dyDescent="0.3">
      <c r="B787" s="121">
        <f t="shared" si="25"/>
        <v>0</v>
      </c>
      <c r="C787" s="122">
        <f t="shared" si="26"/>
        <v>0</v>
      </c>
      <c r="D787" s="123"/>
      <c r="E787" s="125"/>
      <c r="F787" s="125"/>
      <c r="G787" s="125"/>
      <c r="H787" s="126"/>
      <c r="I787" s="127"/>
      <c r="J787" s="118">
        <f>IF(ISERROR(VLOOKUP(H787,#REF!,9,0)),0,VLOOKUP(H787,#REF!,9,0)*I787)/3600</f>
        <v>0</v>
      </c>
    </row>
    <row r="788" spans="2:10" x14ac:dyDescent="0.3">
      <c r="B788" s="121">
        <f t="shared" si="25"/>
        <v>0</v>
      </c>
      <c r="C788" s="122">
        <f t="shared" si="26"/>
        <v>0</v>
      </c>
      <c r="D788" s="123"/>
      <c r="E788" s="124"/>
      <c r="F788" s="125"/>
      <c r="G788" s="125"/>
      <c r="H788" s="126"/>
      <c r="I788" s="127"/>
      <c r="J788" s="118">
        <f>IF(ISERROR(VLOOKUP(H788,#REF!,9,0)),0,VLOOKUP(H788,#REF!,9,0)*I788)/3600</f>
        <v>0</v>
      </c>
    </row>
    <row r="789" spans="2:10" x14ac:dyDescent="0.3">
      <c r="B789" s="121">
        <f t="shared" si="25"/>
        <v>0</v>
      </c>
      <c r="C789" s="122">
        <f t="shared" si="26"/>
        <v>0</v>
      </c>
      <c r="D789" s="123"/>
      <c r="E789" s="125"/>
      <c r="F789" s="125"/>
      <c r="G789" s="125"/>
      <c r="H789" s="126"/>
      <c r="I789" s="127"/>
      <c r="J789" s="118">
        <f>IF(ISERROR(VLOOKUP(H789,#REF!,9,0)),0,VLOOKUP(H789,#REF!,9,0)*I789)/3600</f>
        <v>0</v>
      </c>
    </row>
    <row r="790" spans="2:10" x14ac:dyDescent="0.3">
      <c r="B790" s="121">
        <f t="shared" si="25"/>
        <v>0</v>
      </c>
      <c r="C790" s="122">
        <f t="shared" si="26"/>
        <v>0</v>
      </c>
      <c r="D790" s="123"/>
      <c r="E790" s="124"/>
      <c r="F790" s="125"/>
      <c r="G790" s="125"/>
      <c r="H790" s="126"/>
      <c r="I790" s="127"/>
      <c r="J790" s="118">
        <f>IF(ISERROR(VLOOKUP(H790,#REF!,9,0)),0,VLOOKUP(H790,#REF!,9,0)*I790)/3600</f>
        <v>0</v>
      </c>
    </row>
    <row r="791" spans="2:10" x14ac:dyDescent="0.3">
      <c r="B791" s="121">
        <f t="shared" si="25"/>
        <v>0</v>
      </c>
      <c r="C791" s="122">
        <f t="shared" si="26"/>
        <v>0</v>
      </c>
      <c r="D791" s="123"/>
      <c r="E791" s="125"/>
      <c r="F791" s="125"/>
      <c r="G791" s="125"/>
      <c r="H791" s="126"/>
      <c r="I791" s="127"/>
      <c r="J791" s="118">
        <f>IF(ISERROR(VLOOKUP(H791,#REF!,9,0)),0,VLOOKUP(H791,#REF!,9,0)*I791)/3600</f>
        <v>0</v>
      </c>
    </row>
    <row r="792" spans="2:10" x14ac:dyDescent="0.3">
      <c r="B792" s="121">
        <f t="shared" si="25"/>
        <v>0</v>
      </c>
      <c r="C792" s="122">
        <f t="shared" si="26"/>
        <v>0</v>
      </c>
      <c r="D792" s="123"/>
      <c r="E792" s="124"/>
      <c r="F792" s="125"/>
      <c r="G792" s="125"/>
      <c r="H792" s="126"/>
      <c r="I792" s="127"/>
      <c r="J792" s="118">
        <f>IF(ISERROR(VLOOKUP(H792,#REF!,9,0)),0,VLOOKUP(H792,#REF!,9,0)*I792)/3600</f>
        <v>0</v>
      </c>
    </row>
    <row r="793" spans="2:10" x14ac:dyDescent="0.3">
      <c r="B793" s="121">
        <f t="shared" si="25"/>
        <v>0</v>
      </c>
      <c r="C793" s="122">
        <f t="shared" si="26"/>
        <v>0</v>
      </c>
      <c r="D793" s="123"/>
      <c r="E793" s="125"/>
      <c r="F793" s="125"/>
      <c r="G793" s="125"/>
      <c r="H793" s="126"/>
      <c r="I793" s="127"/>
      <c r="J793" s="118">
        <f>IF(ISERROR(VLOOKUP(H793,#REF!,9,0)),0,VLOOKUP(H793,#REF!,9,0)*I793)/3600</f>
        <v>0</v>
      </c>
    </row>
    <row r="794" spans="2:10" x14ac:dyDescent="0.3">
      <c r="B794" s="121">
        <f t="shared" si="25"/>
        <v>0</v>
      </c>
      <c r="C794" s="122">
        <f t="shared" si="26"/>
        <v>0</v>
      </c>
      <c r="D794" s="123"/>
      <c r="E794" s="124"/>
      <c r="F794" s="125"/>
      <c r="G794" s="125"/>
      <c r="H794" s="126"/>
      <c r="I794" s="127"/>
      <c r="J794" s="118">
        <f>IF(ISERROR(VLOOKUP(H794,#REF!,9,0)),0,VLOOKUP(H794,#REF!,9,0)*I794)/3600</f>
        <v>0</v>
      </c>
    </row>
    <row r="795" spans="2:10" x14ac:dyDescent="0.3">
      <c r="B795" s="121">
        <f t="shared" si="25"/>
        <v>0</v>
      </c>
      <c r="C795" s="122">
        <f t="shared" si="26"/>
        <v>0</v>
      </c>
      <c r="D795" s="123"/>
      <c r="E795" s="125"/>
      <c r="F795" s="125"/>
      <c r="G795" s="125"/>
      <c r="H795" s="126"/>
      <c r="I795" s="127"/>
      <c r="J795" s="118">
        <f>IF(ISERROR(VLOOKUP(H795,#REF!,9,0)),0,VLOOKUP(H795,#REF!,9,0)*I795)/3600</f>
        <v>0</v>
      </c>
    </row>
    <row r="796" spans="2:10" x14ac:dyDescent="0.3">
      <c r="B796" s="121">
        <f t="shared" si="25"/>
        <v>0</v>
      </c>
      <c r="C796" s="122">
        <f t="shared" si="26"/>
        <v>0</v>
      </c>
      <c r="D796" s="123"/>
      <c r="E796" s="124"/>
      <c r="F796" s="125"/>
      <c r="G796" s="125"/>
      <c r="H796" s="126"/>
      <c r="I796" s="127"/>
      <c r="J796" s="118">
        <f>IF(ISERROR(VLOOKUP(H796,#REF!,9,0)),0,VLOOKUP(H796,#REF!,9,0)*I796)/3600</f>
        <v>0</v>
      </c>
    </row>
    <row r="797" spans="2:10" x14ac:dyDescent="0.3">
      <c r="B797" s="121">
        <f t="shared" si="25"/>
        <v>0</v>
      </c>
      <c r="C797" s="122">
        <f t="shared" si="26"/>
        <v>0</v>
      </c>
      <c r="D797" s="123"/>
      <c r="E797" s="125"/>
      <c r="F797" s="125"/>
      <c r="G797" s="125"/>
      <c r="H797" s="126"/>
      <c r="I797" s="127"/>
      <c r="J797" s="118">
        <f>IF(ISERROR(VLOOKUP(H797,#REF!,9,0)),0,VLOOKUP(H797,#REF!,9,0)*I797)/3600</f>
        <v>0</v>
      </c>
    </row>
    <row r="798" spans="2:10" x14ac:dyDescent="0.3">
      <c r="B798" s="121">
        <f t="shared" si="25"/>
        <v>0</v>
      </c>
      <c r="C798" s="122">
        <f t="shared" si="26"/>
        <v>0</v>
      </c>
      <c r="D798" s="123"/>
      <c r="E798" s="124"/>
      <c r="F798" s="125"/>
      <c r="G798" s="125"/>
      <c r="H798" s="126"/>
      <c r="I798" s="127"/>
      <c r="J798" s="118">
        <f>IF(ISERROR(VLOOKUP(H798,#REF!,9,0)),0,VLOOKUP(H798,#REF!,9,0)*I798)/3600</f>
        <v>0</v>
      </c>
    </row>
    <row r="799" spans="2:10" x14ac:dyDescent="0.3">
      <c r="B799" s="121">
        <f t="shared" si="25"/>
        <v>0</v>
      </c>
      <c r="C799" s="122">
        <f t="shared" si="26"/>
        <v>0</v>
      </c>
      <c r="D799" s="123"/>
      <c r="E799" s="125"/>
      <c r="F799" s="125"/>
      <c r="G799" s="125"/>
      <c r="H799" s="126"/>
      <c r="I799" s="127"/>
      <c r="J799" s="118">
        <f>IF(ISERROR(VLOOKUP(H799,#REF!,9,0)),0,VLOOKUP(H799,#REF!,9,0)*I799)/3600</f>
        <v>0</v>
      </c>
    </row>
    <row r="800" spans="2:10" x14ac:dyDescent="0.3">
      <c r="B800" s="121">
        <f t="shared" si="25"/>
        <v>0</v>
      </c>
      <c r="C800" s="122">
        <f t="shared" si="26"/>
        <v>0</v>
      </c>
      <c r="D800" s="123"/>
      <c r="E800" s="124"/>
      <c r="F800" s="125"/>
      <c r="G800" s="125"/>
      <c r="H800" s="126"/>
      <c r="I800" s="127"/>
      <c r="J800" s="118">
        <f>IF(ISERROR(VLOOKUP(H800,#REF!,9,0)),0,VLOOKUP(H800,#REF!,9,0)*I800)/3600</f>
        <v>0</v>
      </c>
    </row>
    <row r="801" spans="2:10" x14ac:dyDescent="0.3">
      <c r="B801" s="121">
        <f t="shared" si="25"/>
        <v>0</v>
      </c>
      <c r="C801" s="122">
        <f t="shared" si="26"/>
        <v>0</v>
      </c>
      <c r="D801" s="123"/>
      <c r="E801" s="125"/>
      <c r="F801" s="125"/>
      <c r="G801" s="125"/>
      <c r="H801" s="126"/>
      <c r="I801" s="127"/>
      <c r="J801" s="118">
        <f>IF(ISERROR(VLOOKUP(H801,#REF!,9,0)),0,VLOOKUP(H801,#REF!,9,0)*I801)/3600</f>
        <v>0</v>
      </c>
    </row>
    <row r="802" spans="2:10" x14ac:dyDescent="0.3">
      <c r="B802" s="121">
        <f t="shared" si="25"/>
        <v>0</v>
      </c>
      <c r="C802" s="122">
        <f t="shared" si="26"/>
        <v>0</v>
      </c>
      <c r="D802" s="123"/>
      <c r="E802" s="124"/>
      <c r="F802" s="125"/>
      <c r="G802" s="125"/>
      <c r="H802" s="126"/>
      <c r="I802" s="127"/>
      <c r="J802" s="118">
        <f>IF(ISERROR(VLOOKUP(H802,#REF!,9,0)),0,VLOOKUP(H802,#REF!,9,0)*I802)/3600</f>
        <v>0</v>
      </c>
    </row>
    <row r="803" spans="2:10" x14ac:dyDescent="0.3">
      <c r="B803" s="121">
        <f t="shared" si="25"/>
        <v>0</v>
      </c>
      <c r="C803" s="122">
        <f t="shared" si="26"/>
        <v>0</v>
      </c>
      <c r="D803" s="123"/>
      <c r="E803" s="125"/>
      <c r="F803" s="125"/>
      <c r="G803" s="125"/>
      <c r="H803" s="126"/>
      <c r="I803" s="127"/>
      <c r="J803" s="118">
        <f>IF(ISERROR(VLOOKUP(H803,#REF!,9,0)),0,VLOOKUP(H803,#REF!,9,0)*I803)/3600</f>
        <v>0</v>
      </c>
    </row>
    <row r="804" spans="2:10" x14ac:dyDescent="0.3">
      <c r="B804" s="121">
        <f t="shared" si="25"/>
        <v>0</v>
      </c>
      <c r="C804" s="122">
        <f t="shared" si="26"/>
        <v>0</v>
      </c>
      <c r="D804" s="123"/>
      <c r="E804" s="124"/>
      <c r="F804" s="125"/>
      <c r="G804" s="125"/>
      <c r="H804" s="126"/>
      <c r="I804" s="127"/>
      <c r="J804" s="118">
        <f>IF(ISERROR(VLOOKUP(H804,#REF!,9,0)),0,VLOOKUP(H804,#REF!,9,0)*I804)/3600</f>
        <v>0</v>
      </c>
    </row>
    <row r="805" spans="2:10" x14ac:dyDescent="0.3">
      <c r="B805" s="121">
        <f t="shared" si="25"/>
        <v>0</v>
      </c>
      <c r="C805" s="122">
        <f t="shared" si="26"/>
        <v>0</v>
      </c>
      <c r="D805" s="123"/>
      <c r="E805" s="125"/>
      <c r="F805" s="125"/>
      <c r="G805" s="125"/>
      <c r="H805" s="126"/>
      <c r="I805" s="127"/>
      <c r="J805" s="118">
        <f>IF(ISERROR(VLOOKUP(H805,#REF!,9,0)),0,VLOOKUP(H805,#REF!,9,0)*I805)/3600</f>
        <v>0</v>
      </c>
    </row>
    <row r="806" spans="2:10" x14ac:dyDescent="0.3">
      <c r="B806" s="121">
        <f t="shared" si="25"/>
        <v>0</v>
      </c>
      <c r="C806" s="122">
        <f t="shared" si="26"/>
        <v>0</v>
      </c>
      <c r="D806" s="123"/>
      <c r="E806" s="124"/>
      <c r="F806" s="125"/>
      <c r="G806" s="125"/>
      <c r="H806" s="126"/>
      <c r="I806" s="127"/>
      <c r="J806" s="118">
        <f>IF(ISERROR(VLOOKUP(H806,#REF!,9,0)),0,VLOOKUP(H806,#REF!,9,0)*I806)/3600</f>
        <v>0</v>
      </c>
    </row>
    <row r="807" spans="2:10" x14ac:dyDescent="0.3">
      <c r="B807" s="121">
        <f t="shared" si="25"/>
        <v>0</v>
      </c>
      <c r="C807" s="122">
        <f t="shared" si="26"/>
        <v>0</v>
      </c>
      <c r="D807" s="123"/>
      <c r="E807" s="125"/>
      <c r="F807" s="125"/>
      <c r="G807" s="125"/>
      <c r="H807" s="126"/>
      <c r="I807" s="127"/>
      <c r="J807" s="118">
        <f>IF(ISERROR(VLOOKUP(H807,#REF!,9,0)),0,VLOOKUP(H807,#REF!,9,0)*I807)/3600</f>
        <v>0</v>
      </c>
    </row>
    <row r="808" spans="2:10" x14ac:dyDescent="0.3">
      <c r="B808" s="121">
        <f t="shared" si="25"/>
        <v>0</v>
      </c>
      <c r="C808" s="122">
        <f t="shared" si="26"/>
        <v>0</v>
      </c>
      <c r="D808" s="123"/>
      <c r="E808" s="124"/>
      <c r="F808" s="125"/>
      <c r="G808" s="125"/>
      <c r="H808" s="126"/>
      <c r="I808" s="127"/>
      <c r="J808" s="118">
        <f>IF(ISERROR(VLOOKUP(H808,#REF!,9,0)),0,VLOOKUP(H808,#REF!,9,0)*I808)/3600</f>
        <v>0</v>
      </c>
    </row>
    <row r="809" spans="2:10" x14ac:dyDescent="0.3">
      <c r="B809" s="121">
        <f t="shared" si="25"/>
        <v>0</v>
      </c>
      <c r="C809" s="122">
        <f t="shared" si="26"/>
        <v>0</v>
      </c>
      <c r="D809" s="123"/>
      <c r="E809" s="125"/>
      <c r="F809" s="125"/>
      <c r="G809" s="125"/>
      <c r="H809" s="126"/>
      <c r="I809" s="127"/>
      <c r="J809" s="118">
        <f>IF(ISERROR(VLOOKUP(H809,#REF!,9,0)),0,VLOOKUP(H809,#REF!,9,0)*I809)/3600</f>
        <v>0</v>
      </c>
    </row>
    <row r="810" spans="2:10" x14ac:dyDescent="0.3">
      <c r="B810" s="121">
        <f t="shared" si="25"/>
        <v>0</v>
      </c>
      <c r="C810" s="122">
        <f t="shared" si="26"/>
        <v>0</v>
      </c>
      <c r="D810" s="123"/>
      <c r="E810" s="124"/>
      <c r="F810" s="125"/>
      <c r="G810" s="125"/>
      <c r="H810" s="126"/>
      <c r="I810" s="127"/>
      <c r="J810" s="118">
        <f>IF(ISERROR(VLOOKUP(H810,#REF!,9,0)),0,VLOOKUP(H810,#REF!,9,0)*I810)/3600</f>
        <v>0</v>
      </c>
    </row>
    <row r="811" spans="2:10" x14ac:dyDescent="0.3">
      <c r="B811" s="121">
        <f t="shared" si="25"/>
        <v>0</v>
      </c>
      <c r="C811" s="122">
        <f t="shared" si="26"/>
        <v>0</v>
      </c>
      <c r="D811" s="123"/>
      <c r="E811" s="125"/>
      <c r="F811" s="125"/>
      <c r="G811" s="125"/>
      <c r="H811" s="126"/>
      <c r="I811" s="127"/>
      <c r="J811" s="118">
        <f>IF(ISERROR(VLOOKUP(H811,#REF!,9,0)),0,VLOOKUP(H811,#REF!,9,0)*I811)/3600</f>
        <v>0</v>
      </c>
    </row>
    <row r="812" spans="2:10" x14ac:dyDescent="0.3">
      <c r="B812" s="121">
        <f t="shared" si="25"/>
        <v>0</v>
      </c>
      <c r="C812" s="122">
        <f t="shared" si="26"/>
        <v>0</v>
      </c>
      <c r="D812" s="123"/>
      <c r="E812" s="124"/>
      <c r="F812" s="125"/>
      <c r="G812" s="125"/>
      <c r="H812" s="126"/>
      <c r="I812" s="127"/>
      <c r="J812" s="118">
        <f>IF(ISERROR(VLOOKUP(H812,#REF!,9,0)),0,VLOOKUP(H812,#REF!,9,0)*I812)/3600</f>
        <v>0</v>
      </c>
    </row>
    <row r="813" spans="2:10" x14ac:dyDescent="0.3">
      <c r="B813" s="121">
        <f t="shared" si="25"/>
        <v>0</v>
      </c>
      <c r="C813" s="122">
        <f t="shared" si="26"/>
        <v>0</v>
      </c>
      <c r="D813" s="123"/>
      <c r="E813" s="125"/>
      <c r="F813" s="125"/>
      <c r="G813" s="125"/>
      <c r="H813" s="126"/>
      <c r="I813" s="127"/>
      <c r="J813" s="118">
        <f>IF(ISERROR(VLOOKUP(H813,#REF!,9,0)),0,VLOOKUP(H813,#REF!,9,0)*I813)/3600</f>
        <v>0</v>
      </c>
    </row>
    <row r="814" spans="2:10" x14ac:dyDescent="0.3">
      <c r="B814" s="121">
        <f t="shared" si="25"/>
        <v>0</v>
      </c>
      <c r="C814" s="122">
        <f t="shared" si="26"/>
        <v>0</v>
      </c>
      <c r="D814" s="123"/>
      <c r="E814" s="124"/>
      <c r="F814" s="125"/>
      <c r="G814" s="125"/>
      <c r="H814" s="126"/>
      <c r="I814" s="127"/>
      <c r="J814" s="118">
        <f>IF(ISERROR(VLOOKUP(H814,#REF!,9,0)),0,VLOOKUP(H814,#REF!,9,0)*I814)/3600</f>
        <v>0</v>
      </c>
    </row>
    <row r="815" spans="2:10" x14ac:dyDescent="0.3">
      <c r="B815" s="121">
        <f t="shared" si="25"/>
        <v>0</v>
      </c>
      <c r="C815" s="122">
        <f t="shared" si="26"/>
        <v>0</v>
      </c>
      <c r="D815" s="123"/>
      <c r="E815" s="125"/>
      <c r="F815" s="125"/>
      <c r="G815" s="125"/>
      <c r="H815" s="126"/>
      <c r="I815" s="127"/>
      <c r="J815" s="118">
        <f>IF(ISERROR(VLOOKUP(H815,#REF!,9,0)),0,VLOOKUP(H815,#REF!,9,0)*I815)/3600</f>
        <v>0</v>
      </c>
    </row>
    <row r="816" spans="2:10" x14ac:dyDescent="0.3">
      <c r="B816" s="121">
        <f t="shared" si="25"/>
        <v>0</v>
      </c>
      <c r="C816" s="122">
        <f t="shared" si="26"/>
        <v>0</v>
      </c>
      <c r="D816" s="123"/>
      <c r="E816" s="124"/>
      <c r="F816" s="125"/>
      <c r="G816" s="125"/>
      <c r="H816" s="126"/>
      <c r="I816" s="127"/>
      <c r="J816" s="118">
        <f>IF(ISERROR(VLOOKUP(H816,#REF!,9,0)),0,VLOOKUP(H816,#REF!,9,0)*I816)/3600</f>
        <v>0</v>
      </c>
    </row>
    <row r="817" spans="2:10" x14ac:dyDescent="0.3">
      <c r="B817" s="121">
        <f t="shared" si="25"/>
        <v>0</v>
      </c>
      <c r="C817" s="122">
        <f t="shared" si="26"/>
        <v>0</v>
      </c>
      <c r="D817" s="123"/>
      <c r="E817" s="125"/>
      <c r="F817" s="125"/>
      <c r="G817" s="125"/>
      <c r="H817" s="126"/>
      <c r="I817" s="127"/>
      <c r="J817" s="118">
        <f>IF(ISERROR(VLOOKUP(H817,#REF!,9,0)),0,VLOOKUP(H817,#REF!,9,0)*I817)/3600</f>
        <v>0</v>
      </c>
    </row>
    <row r="818" spans="2:10" x14ac:dyDescent="0.3">
      <c r="B818" s="121">
        <f t="shared" si="25"/>
        <v>0</v>
      </c>
      <c r="C818" s="122">
        <f t="shared" si="26"/>
        <v>0</v>
      </c>
      <c r="D818" s="123"/>
      <c r="E818" s="124"/>
      <c r="F818" s="125"/>
      <c r="G818" s="125"/>
      <c r="H818" s="126"/>
      <c r="I818" s="127"/>
      <c r="J818" s="118">
        <f>IF(ISERROR(VLOOKUP(H818,#REF!,9,0)),0,VLOOKUP(H818,#REF!,9,0)*I818)/3600</f>
        <v>0</v>
      </c>
    </row>
    <row r="819" spans="2:10" x14ac:dyDescent="0.3">
      <c r="B819" s="121">
        <f t="shared" si="25"/>
        <v>0</v>
      </c>
      <c r="C819" s="122">
        <f t="shared" si="26"/>
        <v>0</v>
      </c>
      <c r="D819" s="123"/>
      <c r="E819" s="125"/>
      <c r="F819" s="125"/>
      <c r="G819" s="125"/>
      <c r="H819" s="126"/>
      <c r="I819" s="127"/>
      <c r="J819" s="118">
        <f>IF(ISERROR(VLOOKUP(H819,#REF!,9,0)),0,VLOOKUP(H819,#REF!,9,0)*I819)/3600</f>
        <v>0</v>
      </c>
    </row>
    <row r="820" spans="2:10" x14ac:dyDescent="0.3">
      <c r="B820" s="121">
        <f t="shared" si="25"/>
        <v>0</v>
      </c>
      <c r="C820" s="122">
        <f t="shared" si="26"/>
        <v>0</v>
      </c>
      <c r="D820" s="123"/>
      <c r="E820" s="124"/>
      <c r="F820" s="125"/>
      <c r="G820" s="125"/>
      <c r="H820" s="126"/>
      <c r="I820" s="127"/>
      <c r="J820" s="118">
        <f>IF(ISERROR(VLOOKUP(H820,#REF!,9,0)),0,VLOOKUP(H820,#REF!,9,0)*I820)/3600</f>
        <v>0</v>
      </c>
    </row>
    <row r="821" spans="2:10" x14ac:dyDescent="0.3">
      <c r="B821" s="121">
        <f t="shared" si="25"/>
        <v>0</v>
      </c>
      <c r="C821" s="122">
        <f t="shared" si="26"/>
        <v>0</v>
      </c>
      <c r="D821" s="123"/>
      <c r="E821" s="125"/>
      <c r="F821" s="125"/>
      <c r="G821" s="125"/>
      <c r="H821" s="126"/>
      <c r="I821" s="127"/>
      <c r="J821" s="118">
        <f>IF(ISERROR(VLOOKUP(H821,#REF!,9,0)),0,VLOOKUP(H821,#REF!,9,0)*I821)/3600</f>
        <v>0</v>
      </c>
    </row>
    <row r="822" spans="2:10" x14ac:dyDescent="0.3">
      <c r="B822" s="121">
        <f t="shared" si="25"/>
        <v>0</v>
      </c>
      <c r="C822" s="122">
        <f t="shared" si="26"/>
        <v>0</v>
      </c>
      <c r="D822" s="123"/>
      <c r="E822" s="124"/>
      <c r="F822" s="125"/>
      <c r="G822" s="125"/>
      <c r="H822" s="126"/>
      <c r="I822" s="127"/>
      <c r="J822" s="118">
        <f>IF(ISERROR(VLOOKUP(H822,#REF!,9,0)),0,VLOOKUP(H822,#REF!,9,0)*I822)/3600</f>
        <v>0</v>
      </c>
    </row>
    <row r="823" spans="2:10" x14ac:dyDescent="0.3">
      <c r="B823" s="121">
        <f t="shared" si="25"/>
        <v>0</v>
      </c>
      <c r="C823" s="122">
        <f t="shared" si="26"/>
        <v>0</v>
      </c>
      <c r="D823" s="123"/>
      <c r="E823" s="125"/>
      <c r="F823" s="125"/>
      <c r="G823" s="125"/>
      <c r="H823" s="126"/>
      <c r="I823" s="127"/>
      <c r="J823" s="118">
        <f>IF(ISERROR(VLOOKUP(H823,#REF!,9,0)),0,VLOOKUP(H823,#REF!,9,0)*I823)/3600</f>
        <v>0</v>
      </c>
    </row>
    <row r="824" spans="2:10" x14ac:dyDescent="0.3">
      <c r="B824" s="121">
        <f t="shared" si="25"/>
        <v>0</v>
      </c>
      <c r="C824" s="122">
        <f t="shared" si="26"/>
        <v>0</v>
      </c>
      <c r="D824" s="123"/>
      <c r="E824" s="124"/>
      <c r="F824" s="125"/>
      <c r="G824" s="125"/>
      <c r="H824" s="126"/>
      <c r="I824" s="127"/>
      <c r="J824" s="118">
        <f>IF(ISERROR(VLOOKUP(H824,#REF!,9,0)),0,VLOOKUP(H824,#REF!,9,0)*I824)/3600</f>
        <v>0</v>
      </c>
    </row>
    <row r="825" spans="2:10" x14ac:dyDescent="0.3">
      <c r="B825" s="121">
        <f t="shared" si="25"/>
        <v>0</v>
      </c>
      <c r="C825" s="122">
        <f t="shared" si="26"/>
        <v>0</v>
      </c>
      <c r="D825" s="123"/>
      <c r="E825" s="125"/>
      <c r="F825" s="125"/>
      <c r="G825" s="125"/>
      <c r="H825" s="126"/>
      <c r="I825" s="127"/>
      <c r="J825" s="118">
        <f>IF(ISERROR(VLOOKUP(H825,#REF!,9,0)),0,VLOOKUP(H825,#REF!,9,0)*I825)/3600</f>
        <v>0</v>
      </c>
    </row>
    <row r="826" spans="2:10" x14ac:dyDescent="0.3">
      <c r="B826" s="121">
        <f t="shared" si="25"/>
        <v>0</v>
      </c>
      <c r="C826" s="122">
        <f t="shared" si="26"/>
        <v>0</v>
      </c>
      <c r="D826" s="123"/>
      <c r="E826" s="124"/>
      <c r="F826" s="125"/>
      <c r="G826" s="125"/>
      <c r="H826" s="126"/>
      <c r="I826" s="127"/>
      <c r="J826" s="118">
        <f>IF(ISERROR(VLOOKUP(H826,#REF!,9,0)),0,VLOOKUP(H826,#REF!,9,0)*I826)/3600</f>
        <v>0</v>
      </c>
    </row>
    <row r="827" spans="2:10" x14ac:dyDescent="0.3">
      <c r="B827" s="121">
        <f t="shared" si="25"/>
        <v>0</v>
      </c>
      <c r="C827" s="122">
        <f t="shared" si="26"/>
        <v>0</v>
      </c>
      <c r="D827" s="123"/>
      <c r="E827" s="125"/>
      <c r="F827" s="125"/>
      <c r="G827" s="125"/>
      <c r="H827" s="126"/>
      <c r="I827" s="127"/>
      <c r="J827" s="118">
        <f>IF(ISERROR(VLOOKUP(H827,#REF!,9,0)),0,VLOOKUP(H827,#REF!,9,0)*I827)/3600</f>
        <v>0</v>
      </c>
    </row>
    <row r="828" spans="2:10" x14ac:dyDescent="0.3">
      <c r="B828" s="121">
        <f t="shared" si="25"/>
        <v>0</v>
      </c>
      <c r="C828" s="122">
        <f t="shared" si="26"/>
        <v>0</v>
      </c>
      <c r="D828" s="123"/>
      <c r="E828" s="124"/>
      <c r="F828" s="125"/>
      <c r="G828" s="125"/>
      <c r="H828" s="126"/>
      <c r="I828" s="127"/>
      <c r="J828" s="118">
        <f>IF(ISERROR(VLOOKUP(H828,#REF!,9,0)),0,VLOOKUP(H828,#REF!,9,0)*I828)/3600</f>
        <v>0</v>
      </c>
    </row>
    <row r="829" spans="2:10" x14ac:dyDescent="0.3">
      <c r="B829" s="121">
        <f t="shared" si="25"/>
        <v>0</v>
      </c>
      <c r="C829" s="122">
        <f t="shared" si="26"/>
        <v>0</v>
      </c>
      <c r="D829" s="123"/>
      <c r="E829" s="125"/>
      <c r="F829" s="125"/>
      <c r="G829" s="125"/>
      <c r="H829" s="126"/>
      <c r="I829" s="127"/>
      <c r="J829" s="118">
        <f>IF(ISERROR(VLOOKUP(H829,#REF!,9,0)),0,VLOOKUP(H829,#REF!,9,0)*I829)/3600</f>
        <v>0</v>
      </c>
    </row>
    <row r="830" spans="2:10" x14ac:dyDescent="0.3">
      <c r="B830" s="121">
        <f t="shared" si="25"/>
        <v>0</v>
      </c>
      <c r="C830" s="122">
        <f t="shared" si="26"/>
        <v>0</v>
      </c>
      <c r="D830" s="123"/>
      <c r="E830" s="124"/>
      <c r="F830" s="125"/>
      <c r="G830" s="125"/>
      <c r="H830" s="126"/>
      <c r="I830" s="127"/>
      <c r="J830" s="118">
        <f>IF(ISERROR(VLOOKUP(H830,#REF!,9,0)),0,VLOOKUP(H830,#REF!,9,0)*I830)/3600</f>
        <v>0</v>
      </c>
    </row>
    <row r="831" spans="2:10" x14ac:dyDescent="0.3">
      <c r="B831" s="121">
        <f t="shared" si="25"/>
        <v>0</v>
      </c>
      <c r="C831" s="122">
        <f t="shared" si="26"/>
        <v>0</v>
      </c>
      <c r="D831" s="123"/>
      <c r="E831" s="125"/>
      <c r="F831" s="125"/>
      <c r="G831" s="125"/>
      <c r="H831" s="126"/>
      <c r="I831" s="127"/>
      <c r="J831" s="118">
        <f>IF(ISERROR(VLOOKUP(H831,#REF!,9,0)),0,VLOOKUP(H831,#REF!,9,0)*I831)/3600</f>
        <v>0</v>
      </c>
    </row>
    <row r="832" spans="2:10" x14ac:dyDescent="0.3">
      <c r="B832" s="121">
        <f t="shared" si="25"/>
        <v>0</v>
      </c>
      <c r="C832" s="122">
        <f t="shared" si="26"/>
        <v>0</v>
      </c>
      <c r="D832" s="123"/>
      <c r="E832" s="124"/>
      <c r="F832" s="125"/>
      <c r="G832" s="125"/>
      <c r="H832" s="126"/>
      <c r="I832" s="127"/>
      <c r="J832" s="118">
        <f>IF(ISERROR(VLOOKUP(H832,#REF!,9,0)),0,VLOOKUP(H832,#REF!,9,0)*I832)/3600</f>
        <v>0</v>
      </c>
    </row>
    <row r="833" spans="2:10" x14ac:dyDescent="0.3">
      <c r="B833" s="121">
        <f t="shared" si="25"/>
        <v>0</v>
      </c>
      <c r="C833" s="122">
        <f t="shared" si="26"/>
        <v>0</v>
      </c>
      <c r="D833" s="123"/>
      <c r="E833" s="125"/>
      <c r="F833" s="125"/>
      <c r="G833" s="125"/>
      <c r="H833" s="126"/>
      <c r="I833" s="127"/>
      <c r="J833" s="118">
        <f>IF(ISERROR(VLOOKUP(H833,#REF!,9,0)),0,VLOOKUP(H833,#REF!,9,0)*I833)/3600</f>
        <v>0</v>
      </c>
    </row>
    <row r="834" spans="2:10" x14ac:dyDescent="0.3">
      <c r="B834" s="121">
        <f t="shared" si="25"/>
        <v>0</v>
      </c>
      <c r="C834" s="122">
        <f t="shared" si="26"/>
        <v>0</v>
      </c>
      <c r="D834" s="123"/>
      <c r="E834" s="124"/>
      <c r="F834" s="125"/>
      <c r="G834" s="125"/>
      <c r="H834" s="126"/>
      <c r="I834" s="127"/>
      <c r="J834" s="118">
        <f>IF(ISERROR(VLOOKUP(H834,#REF!,9,0)),0,VLOOKUP(H834,#REF!,9,0)*I834)/3600</f>
        <v>0</v>
      </c>
    </row>
    <row r="835" spans="2:10" x14ac:dyDescent="0.3">
      <c r="B835" s="121">
        <f t="shared" si="25"/>
        <v>0</v>
      </c>
      <c r="C835" s="122">
        <f t="shared" si="26"/>
        <v>0</v>
      </c>
      <c r="D835" s="123"/>
      <c r="E835" s="125"/>
      <c r="F835" s="125"/>
      <c r="G835" s="125"/>
      <c r="H835" s="126"/>
      <c r="I835" s="127"/>
      <c r="J835" s="118">
        <f>IF(ISERROR(VLOOKUP(H835,#REF!,9,0)),0,VLOOKUP(H835,#REF!,9,0)*I835)/3600</f>
        <v>0</v>
      </c>
    </row>
    <row r="836" spans="2:10" x14ac:dyDescent="0.3">
      <c r="B836" s="121">
        <f t="shared" si="25"/>
        <v>0</v>
      </c>
      <c r="C836" s="122">
        <f t="shared" si="26"/>
        <v>0</v>
      </c>
      <c r="D836" s="123"/>
      <c r="E836" s="124"/>
      <c r="F836" s="125"/>
      <c r="G836" s="125"/>
      <c r="H836" s="126"/>
      <c r="I836" s="127"/>
      <c r="J836" s="118">
        <f>IF(ISERROR(VLOOKUP(H836,#REF!,9,0)),0,VLOOKUP(H836,#REF!,9,0)*I836)/3600</f>
        <v>0</v>
      </c>
    </row>
    <row r="837" spans="2:10" x14ac:dyDescent="0.3">
      <c r="B837" s="121">
        <f t="shared" si="25"/>
        <v>0</v>
      </c>
      <c r="C837" s="122">
        <f t="shared" si="26"/>
        <v>0</v>
      </c>
      <c r="D837" s="123"/>
      <c r="E837" s="125"/>
      <c r="F837" s="125"/>
      <c r="G837" s="125"/>
      <c r="H837" s="126"/>
      <c r="I837" s="127"/>
      <c r="J837" s="118">
        <f>IF(ISERROR(VLOOKUP(H837,#REF!,9,0)),0,VLOOKUP(H837,#REF!,9,0)*I837)/3600</f>
        <v>0</v>
      </c>
    </row>
    <row r="838" spans="2:10" x14ac:dyDescent="0.3">
      <c r="B838" s="121">
        <f t="shared" ref="B838:B901" si="27">IF(D838&gt;0,YEAR(D838),0)</f>
        <v>0</v>
      </c>
      <c r="C838" s="122">
        <f t="shared" ref="C838:C901" si="28">IF(D838&gt;0,MONTH(D838),0)</f>
        <v>0</v>
      </c>
      <c r="D838" s="123"/>
      <c r="E838" s="124"/>
      <c r="F838" s="125"/>
      <c r="G838" s="125"/>
      <c r="H838" s="126"/>
      <c r="I838" s="127"/>
      <c r="J838" s="118">
        <f>IF(ISERROR(VLOOKUP(H838,#REF!,9,0)),0,VLOOKUP(H838,#REF!,9,0)*I838)/3600</f>
        <v>0</v>
      </c>
    </row>
    <row r="839" spans="2:10" x14ac:dyDescent="0.3">
      <c r="B839" s="121">
        <f t="shared" si="27"/>
        <v>0</v>
      </c>
      <c r="C839" s="122">
        <f t="shared" si="28"/>
        <v>0</v>
      </c>
      <c r="D839" s="123"/>
      <c r="E839" s="125"/>
      <c r="F839" s="125"/>
      <c r="G839" s="125"/>
      <c r="H839" s="126"/>
      <c r="I839" s="127"/>
      <c r="J839" s="118">
        <f>IF(ISERROR(VLOOKUP(H839,#REF!,9,0)),0,VLOOKUP(H839,#REF!,9,0)*I839)/3600</f>
        <v>0</v>
      </c>
    </row>
    <row r="840" spans="2:10" x14ac:dyDescent="0.3">
      <c r="B840" s="121">
        <f t="shared" si="27"/>
        <v>0</v>
      </c>
      <c r="C840" s="122">
        <f t="shared" si="28"/>
        <v>0</v>
      </c>
      <c r="D840" s="123"/>
      <c r="E840" s="124"/>
      <c r="F840" s="125"/>
      <c r="G840" s="125"/>
      <c r="H840" s="126"/>
      <c r="I840" s="127"/>
      <c r="J840" s="118">
        <f>IF(ISERROR(VLOOKUP(H840,#REF!,9,0)),0,VLOOKUP(H840,#REF!,9,0)*I840)/3600</f>
        <v>0</v>
      </c>
    </row>
    <row r="841" spans="2:10" x14ac:dyDescent="0.3">
      <c r="B841" s="121">
        <f t="shared" si="27"/>
        <v>0</v>
      </c>
      <c r="C841" s="122">
        <f t="shared" si="28"/>
        <v>0</v>
      </c>
      <c r="D841" s="123"/>
      <c r="E841" s="125"/>
      <c r="F841" s="125"/>
      <c r="G841" s="125"/>
      <c r="H841" s="126"/>
      <c r="I841" s="127"/>
      <c r="J841" s="118">
        <f>IF(ISERROR(VLOOKUP(H841,#REF!,9,0)),0,VLOOKUP(H841,#REF!,9,0)*I841)/3600</f>
        <v>0</v>
      </c>
    </row>
    <row r="842" spans="2:10" x14ac:dyDescent="0.3">
      <c r="B842" s="121">
        <f t="shared" si="27"/>
        <v>0</v>
      </c>
      <c r="C842" s="122">
        <f t="shared" si="28"/>
        <v>0</v>
      </c>
      <c r="D842" s="123"/>
      <c r="E842" s="124"/>
      <c r="F842" s="125"/>
      <c r="G842" s="125"/>
      <c r="H842" s="126"/>
      <c r="I842" s="127"/>
      <c r="J842" s="118">
        <f>IF(ISERROR(VLOOKUP(H842,#REF!,9,0)),0,VLOOKUP(H842,#REF!,9,0)*I842)/3600</f>
        <v>0</v>
      </c>
    </row>
    <row r="843" spans="2:10" x14ac:dyDescent="0.3">
      <c r="B843" s="121">
        <f t="shared" si="27"/>
        <v>0</v>
      </c>
      <c r="C843" s="122">
        <f t="shared" si="28"/>
        <v>0</v>
      </c>
      <c r="D843" s="123"/>
      <c r="E843" s="125"/>
      <c r="F843" s="125"/>
      <c r="G843" s="125"/>
      <c r="H843" s="126"/>
      <c r="I843" s="127"/>
      <c r="J843" s="118">
        <f>IF(ISERROR(VLOOKUP(H843,#REF!,9,0)),0,VLOOKUP(H843,#REF!,9,0)*I843)/3600</f>
        <v>0</v>
      </c>
    </row>
    <row r="844" spans="2:10" x14ac:dyDescent="0.3">
      <c r="B844" s="121">
        <f t="shared" si="27"/>
        <v>0</v>
      </c>
      <c r="C844" s="122">
        <f t="shared" si="28"/>
        <v>0</v>
      </c>
      <c r="D844" s="123"/>
      <c r="E844" s="124"/>
      <c r="F844" s="125"/>
      <c r="G844" s="125"/>
      <c r="H844" s="126"/>
      <c r="I844" s="127"/>
      <c r="J844" s="118">
        <f>IF(ISERROR(VLOOKUP(H844,#REF!,9,0)),0,VLOOKUP(H844,#REF!,9,0)*I844)/3600</f>
        <v>0</v>
      </c>
    </row>
    <row r="845" spans="2:10" x14ac:dyDescent="0.3">
      <c r="B845" s="121">
        <f t="shared" si="27"/>
        <v>0</v>
      </c>
      <c r="C845" s="122">
        <f t="shared" si="28"/>
        <v>0</v>
      </c>
      <c r="D845" s="123"/>
      <c r="E845" s="125"/>
      <c r="F845" s="125"/>
      <c r="G845" s="125"/>
      <c r="H845" s="126"/>
      <c r="I845" s="127"/>
      <c r="J845" s="118">
        <f>IF(ISERROR(VLOOKUP(H845,#REF!,9,0)),0,VLOOKUP(H845,#REF!,9,0)*I845)/3600</f>
        <v>0</v>
      </c>
    </row>
    <row r="846" spans="2:10" x14ac:dyDescent="0.3">
      <c r="B846" s="121">
        <f t="shared" si="27"/>
        <v>0</v>
      </c>
      <c r="C846" s="122">
        <f t="shared" si="28"/>
        <v>0</v>
      </c>
      <c r="D846" s="123"/>
      <c r="E846" s="124"/>
      <c r="F846" s="125"/>
      <c r="G846" s="125"/>
      <c r="H846" s="126"/>
      <c r="I846" s="127"/>
      <c r="J846" s="118">
        <f>IF(ISERROR(VLOOKUP(H846,#REF!,9,0)),0,VLOOKUP(H846,#REF!,9,0)*I846)/3600</f>
        <v>0</v>
      </c>
    </row>
    <row r="847" spans="2:10" x14ac:dyDescent="0.3">
      <c r="B847" s="121">
        <f t="shared" si="27"/>
        <v>0</v>
      </c>
      <c r="C847" s="122">
        <f t="shared" si="28"/>
        <v>0</v>
      </c>
      <c r="D847" s="123"/>
      <c r="E847" s="125"/>
      <c r="F847" s="125"/>
      <c r="G847" s="125"/>
      <c r="H847" s="126"/>
      <c r="I847" s="127"/>
      <c r="J847" s="118">
        <f>IF(ISERROR(VLOOKUP(H847,#REF!,9,0)),0,VLOOKUP(H847,#REF!,9,0)*I847)/3600</f>
        <v>0</v>
      </c>
    </row>
    <row r="848" spans="2:10" x14ac:dyDescent="0.3">
      <c r="B848" s="121">
        <f t="shared" si="27"/>
        <v>0</v>
      </c>
      <c r="C848" s="122">
        <f t="shared" si="28"/>
        <v>0</v>
      </c>
      <c r="D848" s="123"/>
      <c r="E848" s="124"/>
      <c r="F848" s="125"/>
      <c r="G848" s="125"/>
      <c r="H848" s="126"/>
      <c r="I848" s="127"/>
      <c r="J848" s="118">
        <f>IF(ISERROR(VLOOKUP(H848,#REF!,9,0)),0,VLOOKUP(H848,#REF!,9,0)*I848)/3600</f>
        <v>0</v>
      </c>
    </row>
    <row r="849" spans="2:10" x14ac:dyDescent="0.3">
      <c r="B849" s="121">
        <f t="shared" si="27"/>
        <v>0</v>
      </c>
      <c r="C849" s="122">
        <f t="shared" si="28"/>
        <v>0</v>
      </c>
      <c r="D849" s="123"/>
      <c r="E849" s="125"/>
      <c r="F849" s="125"/>
      <c r="G849" s="125"/>
      <c r="H849" s="126"/>
      <c r="I849" s="127"/>
      <c r="J849" s="118">
        <f>IF(ISERROR(VLOOKUP(H849,#REF!,9,0)),0,VLOOKUP(H849,#REF!,9,0)*I849)/3600</f>
        <v>0</v>
      </c>
    </row>
    <row r="850" spans="2:10" x14ac:dyDescent="0.3">
      <c r="B850" s="121">
        <f t="shared" si="27"/>
        <v>0</v>
      </c>
      <c r="C850" s="122">
        <f t="shared" si="28"/>
        <v>0</v>
      </c>
      <c r="D850" s="123"/>
      <c r="E850" s="124"/>
      <c r="F850" s="125"/>
      <c r="G850" s="125"/>
      <c r="H850" s="126"/>
      <c r="I850" s="127"/>
      <c r="J850" s="118">
        <f>IF(ISERROR(VLOOKUP(H850,#REF!,9,0)),0,VLOOKUP(H850,#REF!,9,0)*I850)/3600</f>
        <v>0</v>
      </c>
    </row>
    <row r="851" spans="2:10" x14ac:dyDescent="0.3">
      <c r="B851" s="121">
        <f t="shared" si="27"/>
        <v>0</v>
      </c>
      <c r="C851" s="122">
        <f t="shared" si="28"/>
        <v>0</v>
      </c>
      <c r="D851" s="123"/>
      <c r="E851" s="125"/>
      <c r="F851" s="125"/>
      <c r="G851" s="125"/>
      <c r="H851" s="126"/>
      <c r="I851" s="127"/>
      <c r="J851" s="118">
        <f>IF(ISERROR(VLOOKUP(H851,#REF!,9,0)),0,VLOOKUP(H851,#REF!,9,0)*I851)/3600</f>
        <v>0</v>
      </c>
    </row>
    <row r="852" spans="2:10" x14ac:dyDescent="0.3">
      <c r="B852" s="121">
        <f t="shared" si="27"/>
        <v>0</v>
      </c>
      <c r="C852" s="122">
        <f t="shared" si="28"/>
        <v>0</v>
      </c>
      <c r="D852" s="123"/>
      <c r="E852" s="124"/>
      <c r="F852" s="125"/>
      <c r="G852" s="125"/>
      <c r="H852" s="126"/>
      <c r="I852" s="127"/>
      <c r="J852" s="118">
        <f>IF(ISERROR(VLOOKUP(H852,#REF!,9,0)),0,VLOOKUP(H852,#REF!,9,0)*I852)/3600</f>
        <v>0</v>
      </c>
    </row>
    <row r="853" spans="2:10" x14ac:dyDescent="0.3">
      <c r="B853" s="121">
        <f t="shared" si="27"/>
        <v>0</v>
      </c>
      <c r="C853" s="122">
        <f t="shared" si="28"/>
        <v>0</v>
      </c>
      <c r="D853" s="123"/>
      <c r="E853" s="125"/>
      <c r="F853" s="125"/>
      <c r="G853" s="125"/>
      <c r="H853" s="126"/>
      <c r="I853" s="127"/>
      <c r="J853" s="118">
        <f>IF(ISERROR(VLOOKUP(H853,#REF!,9,0)),0,VLOOKUP(H853,#REF!,9,0)*I853)/3600</f>
        <v>0</v>
      </c>
    </row>
    <row r="854" spans="2:10" x14ac:dyDescent="0.3">
      <c r="B854" s="121">
        <f t="shared" si="27"/>
        <v>0</v>
      </c>
      <c r="C854" s="122">
        <f t="shared" si="28"/>
        <v>0</v>
      </c>
      <c r="D854" s="123"/>
      <c r="E854" s="124"/>
      <c r="F854" s="125"/>
      <c r="G854" s="125"/>
      <c r="H854" s="126"/>
      <c r="I854" s="127"/>
      <c r="J854" s="118">
        <f>IF(ISERROR(VLOOKUP(H854,#REF!,9,0)),0,VLOOKUP(H854,#REF!,9,0)*I854)/3600</f>
        <v>0</v>
      </c>
    </row>
    <row r="855" spans="2:10" x14ac:dyDescent="0.3">
      <c r="B855" s="121">
        <f t="shared" si="27"/>
        <v>0</v>
      </c>
      <c r="C855" s="122">
        <f t="shared" si="28"/>
        <v>0</v>
      </c>
      <c r="D855" s="123"/>
      <c r="E855" s="125"/>
      <c r="F855" s="125"/>
      <c r="G855" s="125"/>
      <c r="H855" s="126"/>
      <c r="I855" s="127"/>
      <c r="J855" s="118">
        <f>IF(ISERROR(VLOOKUP(H855,#REF!,9,0)),0,VLOOKUP(H855,#REF!,9,0)*I855)/3600</f>
        <v>0</v>
      </c>
    </row>
    <row r="856" spans="2:10" x14ac:dyDescent="0.3">
      <c r="B856" s="121">
        <f t="shared" si="27"/>
        <v>0</v>
      </c>
      <c r="C856" s="122">
        <f t="shared" si="28"/>
        <v>0</v>
      </c>
      <c r="D856" s="123"/>
      <c r="E856" s="124"/>
      <c r="F856" s="125"/>
      <c r="G856" s="125"/>
      <c r="H856" s="126"/>
      <c r="I856" s="127"/>
      <c r="J856" s="118">
        <f>IF(ISERROR(VLOOKUP(H856,#REF!,9,0)),0,VLOOKUP(H856,#REF!,9,0)*I856)/3600</f>
        <v>0</v>
      </c>
    </row>
    <row r="857" spans="2:10" x14ac:dyDescent="0.3">
      <c r="B857" s="121">
        <f t="shared" si="27"/>
        <v>0</v>
      </c>
      <c r="C857" s="122">
        <f t="shared" si="28"/>
        <v>0</v>
      </c>
      <c r="D857" s="123"/>
      <c r="E857" s="125"/>
      <c r="F857" s="125"/>
      <c r="G857" s="125"/>
      <c r="H857" s="126"/>
      <c r="I857" s="127"/>
      <c r="J857" s="118">
        <f>IF(ISERROR(VLOOKUP(H857,#REF!,9,0)),0,VLOOKUP(H857,#REF!,9,0)*I857)/3600</f>
        <v>0</v>
      </c>
    </row>
    <row r="858" spans="2:10" x14ac:dyDescent="0.3">
      <c r="B858" s="121">
        <f t="shared" si="27"/>
        <v>0</v>
      </c>
      <c r="C858" s="122">
        <f t="shared" si="28"/>
        <v>0</v>
      </c>
      <c r="D858" s="123"/>
      <c r="E858" s="124"/>
      <c r="F858" s="125"/>
      <c r="G858" s="125"/>
      <c r="H858" s="126"/>
      <c r="I858" s="127"/>
      <c r="J858" s="118">
        <f>IF(ISERROR(VLOOKUP(H858,#REF!,9,0)),0,VLOOKUP(H858,#REF!,9,0)*I858)/3600</f>
        <v>0</v>
      </c>
    </row>
    <row r="859" spans="2:10" x14ac:dyDescent="0.3">
      <c r="B859" s="121">
        <f t="shared" si="27"/>
        <v>0</v>
      </c>
      <c r="C859" s="122">
        <f t="shared" si="28"/>
        <v>0</v>
      </c>
      <c r="D859" s="123"/>
      <c r="E859" s="125"/>
      <c r="F859" s="125"/>
      <c r="G859" s="125"/>
      <c r="H859" s="126"/>
      <c r="I859" s="127"/>
      <c r="J859" s="118">
        <f>IF(ISERROR(VLOOKUP(H859,#REF!,9,0)),0,VLOOKUP(H859,#REF!,9,0)*I859)/3600</f>
        <v>0</v>
      </c>
    </row>
    <row r="860" spans="2:10" x14ac:dyDescent="0.3">
      <c r="B860" s="121">
        <f t="shared" si="27"/>
        <v>0</v>
      </c>
      <c r="C860" s="122">
        <f t="shared" si="28"/>
        <v>0</v>
      </c>
      <c r="D860" s="123"/>
      <c r="E860" s="124"/>
      <c r="F860" s="125"/>
      <c r="G860" s="125"/>
      <c r="H860" s="126"/>
      <c r="I860" s="127"/>
      <c r="J860" s="118">
        <f>IF(ISERROR(VLOOKUP(H860,#REF!,9,0)),0,VLOOKUP(H860,#REF!,9,0)*I860)/3600</f>
        <v>0</v>
      </c>
    </row>
    <row r="861" spans="2:10" x14ac:dyDescent="0.3">
      <c r="B861" s="121">
        <f t="shared" si="27"/>
        <v>0</v>
      </c>
      <c r="C861" s="122">
        <f t="shared" si="28"/>
        <v>0</v>
      </c>
      <c r="D861" s="123"/>
      <c r="E861" s="125"/>
      <c r="F861" s="125"/>
      <c r="G861" s="125"/>
      <c r="H861" s="126"/>
      <c r="I861" s="127"/>
      <c r="J861" s="118">
        <f>IF(ISERROR(VLOOKUP(H861,#REF!,9,0)),0,VLOOKUP(H861,#REF!,9,0)*I861)/3600</f>
        <v>0</v>
      </c>
    </row>
    <row r="862" spans="2:10" x14ac:dyDescent="0.3">
      <c r="B862" s="121">
        <f t="shared" si="27"/>
        <v>0</v>
      </c>
      <c r="C862" s="122">
        <f t="shared" si="28"/>
        <v>0</v>
      </c>
      <c r="D862" s="123"/>
      <c r="E862" s="124"/>
      <c r="F862" s="125"/>
      <c r="G862" s="125"/>
      <c r="H862" s="126"/>
      <c r="I862" s="127"/>
      <c r="J862" s="118">
        <f>IF(ISERROR(VLOOKUP(H862,#REF!,9,0)),0,VLOOKUP(H862,#REF!,9,0)*I862)/3600</f>
        <v>0</v>
      </c>
    </row>
    <row r="863" spans="2:10" x14ac:dyDescent="0.3">
      <c r="B863" s="121">
        <f t="shared" si="27"/>
        <v>0</v>
      </c>
      <c r="C863" s="122">
        <f t="shared" si="28"/>
        <v>0</v>
      </c>
      <c r="D863" s="123"/>
      <c r="E863" s="125"/>
      <c r="F863" s="125"/>
      <c r="G863" s="125"/>
      <c r="H863" s="126"/>
      <c r="I863" s="127"/>
      <c r="J863" s="118">
        <f>IF(ISERROR(VLOOKUP(H863,#REF!,9,0)),0,VLOOKUP(H863,#REF!,9,0)*I863)/3600</f>
        <v>0</v>
      </c>
    </row>
    <row r="864" spans="2:10" x14ac:dyDescent="0.3">
      <c r="B864" s="121">
        <f t="shared" si="27"/>
        <v>0</v>
      </c>
      <c r="C864" s="122">
        <f t="shared" si="28"/>
        <v>0</v>
      </c>
      <c r="D864" s="123"/>
      <c r="E864" s="124"/>
      <c r="F864" s="125"/>
      <c r="G864" s="125"/>
      <c r="H864" s="126"/>
      <c r="I864" s="127"/>
      <c r="J864" s="118">
        <f>IF(ISERROR(VLOOKUP(H864,#REF!,9,0)),0,VLOOKUP(H864,#REF!,9,0)*I864)/3600</f>
        <v>0</v>
      </c>
    </row>
    <row r="865" spans="2:10" x14ac:dyDescent="0.3">
      <c r="B865" s="121">
        <f t="shared" si="27"/>
        <v>0</v>
      </c>
      <c r="C865" s="122">
        <f t="shared" si="28"/>
        <v>0</v>
      </c>
      <c r="D865" s="123"/>
      <c r="E865" s="125"/>
      <c r="F865" s="125"/>
      <c r="G865" s="125"/>
      <c r="H865" s="126"/>
      <c r="I865" s="127"/>
      <c r="J865" s="118">
        <f>IF(ISERROR(VLOOKUP(H865,#REF!,9,0)),0,VLOOKUP(H865,#REF!,9,0)*I865)/3600</f>
        <v>0</v>
      </c>
    </row>
    <row r="866" spans="2:10" x14ac:dyDescent="0.3">
      <c r="B866" s="121">
        <f t="shared" si="27"/>
        <v>0</v>
      </c>
      <c r="C866" s="122">
        <f t="shared" si="28"/>
        <v>0</v>
      </c>
      <c r="D866" s="123"/>
      <c r="E866" s="124"/>
      <c r="F866" s="125"/>
      <c r="G866" s="125"/>
      <c r="H866" s="126"/>
      <c r="I866" s="127"/>
      <c r="J866" s="118">
        <f>IF(ISERROR(VLOOKUP(H866,#REF!,9,0)),0,VLOOKUP(H866,#REF!,9,0)*I866)/3600</f>
        <v>0</v>
      </c>
    </row>
    <row r="867" spans="2:10" x14ac:dyDescent="0.3">
      <c r="B867" s="121">
        <f t="shared" si="27"/>
        <v>0</v>
      </c>
      <c r="C867" s="122">
        <f t="shared" si="28"/>
        <v>0</v>
      </c>
      <c r="D867" s="123"/>
      <c r="E867" s="125"/>
      <c r="F867" s="125"/>
      <c r="G867" s="125"/>
      <c r="H867" s="126"/>
      <c r="I867" s="127"/>
      <c r="J867" s="118">
        <f>IF(ISERROR(VLOOKUP(H867,#REF!,9,0)),0,VLOOKUP(H867,#REF!,9,0)*I867)/3600</f>
        <v>0</v>
      </c>
    </row>
    <row r="868" spans="2:10" x14ac:dyDescent="0.3">
      <c r="B868" s="121">
        <f t="shared" si="27"/>
        <v>0</v>
      </c>
      <c r="C868" s="122">
        <f t="shared" si="28"/>
        <v>0</v>
      </c>
      <c r="D868" s="123"/>
      <c r="E868" s="124"/>
      <c r="F868" s="125"/>
      <c r="G868" s="125"/>
      <c r="H868" s="126"/>
      <c r="I868" s="127"/>
      <c r="J868" s="118">
        <f>IF(ISERROR(VLOOKUP(H868,#REF!,9,0)),0,VLOOKUP(H868,#REF!,9,0)*I868)/3600</f>
        <v>0</v>
      </c>
    </row>
    <row r="869" spans="2:10" x14ac:dyDescent="0.3">
      <c r="B869" s="121">
        <f t="shared" si="27"/>
        <v>0</v>
      </c>
      <c r="C869" s="122">
        <f t="shared" si="28"/>
        <v>0</v>
      </c>
      <c r="D869" s="123"/>
      <c r="E869" s="125"/>
      <c r="F869" s="125"/>
      <c r="G869" s="125"/>
      <c r="H869" s="126"/>
      <c r="I869" s="127"/>
      <c r="J869" s="118">
        <f>IF(ISERROR(VLOOKUP(H869,#REF!,9,0)),0,VLOOKUP(H869,#REF!,9,0)*I869)/3600</f>
        <v>0</v>
      </c>
    </row>
    <row r="870" spans="2:10" x14ac:dyDescent="0.3">
      <c r="B870" s="121">
        <f t="shared" si="27"/>
        <v>0</v>
      </c>
      <c r="C870" s="122">
        <f t="shared" si="28"/>
        <v>0</v>
      </c>
      <c r="D870" s="123"/>
      <c r="E870" s="124"/>
      <c r="F870" s="125"/>
      <c r="G870" s="125"/>
      <c r="H870" s="126"/>
      <c r="I870" s="127"/>
      <c r="J870" s="118">
        <f>IF(ISERROR(VLOOKUP(H870,#REF!,9,0)),0,VLOOKUP(H870,#REF!,9,0)*I870)/3600</f>
        <v>0</v>
      </c>
    </row>
    <row r="871" spans="2:10" x14ac:dyDescent="0.3">
      <c r="B871" s="121">
        <f t="shared" si="27"/>
        <v>0</v>
      </c>
      <c r="C871" s="122">
        <f t="shared" si="28"/>
        <v>0</v>
      </c>
      <c r="D871" s="123"/>
      <c r="E871" s="125"/>
      <c r="F871" s="125"/>
      <c r="G871" s="125"/>
      <c r="H871" s="126"/>
      <c r="I871" s="127"/>
      <c r="J871" s="118">
        <f>IF(ISERROR(VLOOKUP(H871,#REF!,9,0)),0,VLOOKUP(H871,#REF!,9,0)*I871)/3600</f>
        <v>0</v>
      </c>
    </row>
    <row r="872" spans="2:10" x14ac:dyDescent="0.3">
      <c r="B872" s="121">
        <f t="shared" si="27"/>
        <v>0</v>
      </c>
      <c r="C872" s="122">
        <f t="shared" si="28"/>
        <v>0</v>
      </c>
      <c r="D872" s="123"/>
      <c r="E872" s="124"/>
      <c r="F872" s="125"/>
      <c r="G872" s="125"/>
      <c r="H872" s="126"/>
      <c r="I872" s="127"/>
      <c r="J872" s="118">
        <f>IF(ISERROR(VLOOKUP(H872,#REF!,9,0)),0,VLOOKUP(H872,#REF!,9,0)*I872)/3600</f>
        <v>0</v>
      </c>
    </row>
    <row r="873" spans="2:10" x14ac:dyDescent="0.3">
      <c r="B873" s="121">
        <f t="shared" si="27"/>
        <v>0</v>
      </c>
      <c r="C873" s="122">
        <f t="shared" si="28"/>
        <v>0</v>
      </c>
      <c r="D873" s="123"/>
      <c r="E873" s="125"/>
      <c r="F873" s="125"/>
      <c r="G873" s="125"/>
      <c r="H873" s="126"/>
      <c r="I873" s="127"/>
      <c r="J873" s="118">
        <f>IF(ISERROR(VLOOKUP(H873,#REF!,9,0)),0,VLOOKUP(H873,#REF!,9,0)*I873)/3600</f>
        <v>0</v>
      </c>
    </row>
    <row r="874" spans="2:10" x14ac:dyDescent="0.3">
      <c r="B874" s="121">
        <f t="shared" si="27"/>
        <v>0</v>
      </c>
      <c r="C874" s="122">
        <f t="shared" si="28"/>
        <v>0</v>
      </c>
      <c r="D874" s="123"/>
      <c r="E874" s="124"/>
      <c r="F874" s="125"/>
      <c r="G874" s="125"/>
      <c r="H874" s="126"/>
      <c r="I874" s="127"/>
      <c r="J874" s="118">
        <f>IF(ISERROR(VLOOKUP(H874,#REF!,9,0)),0,VLOOKUP(H874,#REF!,9,0)*I874)/3600</f>
        <v>0</v>
      </c>
    </row>
    <row r="875" spans="2:10" x14ac:dyDescent="0.3">
      <c r="B875" s="121">
        <f t="shared" si="27"/>
        <v>0</v>
      </c>
      <c r="C875" s="122">
        <f t="shared" si="28"/>
        <v>0</v>
      </c>
      <c r="D875" s="123"/>
      <c r="E875" s="125"/>
      <c r="F875" s="125"/>
      <c r="G875" s="125"/>
      <c r="H875" s="126"/>
      <c r="I875" s="127"/>
      <c r="J875" s="118">
        <f>IF(ISERROR(VLOOKUP(H875,#REF!,9,0)),0,VLOOKUP(H875,#REF!,9,0)*I875)/3600</f>
        <v>0</v>
      </c>
    </row>
    <row r="876" spans="2:10" x14ac:dyDescent="0.3">
      <c r="B876" s="121">
        <f t="shared" si="27"/>
        <v>0</v>
      </c>
      <c r="C876" s="122">
        <f t="shared" si="28"/>
        <v>0</v>
      </c>
      <c r="D876" s="123"/>
      <c r="E876" s="124"/>
      <c r="F876" s="125"/>
      <c r="G876" s="125"/>
      <c r="H876" s="126"/>
      <c r="I876" s="127"/>
      <c r="J876" s="118">
        <f>IF(ISERROR(VLOOKUP(H876,#REF!,9,0)),0,VLOOKUP(H876,#REF!,9,0)*I876)/3600</f>
        <v>0</v>
      </c>
    </row>
    <row r="877" spans="2:10" x14ac:dyDescent="0.3">
      <c r="B877" s="121">
        <f t="shared" si="27"/>
        <v>0</v>
      </c>
      <c r="C877" s="122">
        <f t="shared" si="28"/>
        <v>0</v>
      </c>
      <c r="D877" s="123"/>
      <c r="E877" s="125"/>
      <c r="F877" s="125"/>
      <c r="G877" s="125"/>
      <c r="H877" s="126"/>
      <c r="I877" s="127"/>
      <c r="J877" s="118">
        <f>IF(ISERROR(VLOOKUP(H877,#REF!,9,0)),0,VLOOKUP(H877,#REF!,9,0)*I877)/3600</f>
        <v>0</v>
      </c>
    </row>
    <row r="878" spans="2:10" x14ac:dyDescent="0.3">
      <c r="B878" s="121">
        <f t="shared" si="27"/>
        <v>0</v>
      </c>
      <c r="C878" s="122">
        <f t="shared" si="28"/>
        <v>0</v>
      </c>
      <c r="D878" s="123"/>
      <c r="E878" s="124"/>
      <c r="F878" s="125"/>
      <c r="G878" s="125"/>
      <c r="H878" s="126"/>
      <c r="I878" s="127"/>
      <c r="J878" s="118">
        <f>IF(ISERROR(VLOOKUP(H878,#REF!,9,0)),0,VLOOKUP(H878,#REF!,9,0)*I878)/3600</f>
        <v>0</v>
      </c>
    </row>
    <row r="879" spans="2:10" x14ac:dyDescent="0.3">
      <c r="B879" s="121">
        <f t="shared" si="27"/>
        <v>0</v>
      </c>
      <c r="C879" s="122">
        <f t="shared" si="28"/>
        <v>0</v>
      </c>
      <c r="D879" s="123"/>
      <c r="E879" s="125"/>
      <c r="F879" s="125"/>
      <c r="G879" s="125"/>
      <c r="H879" s="126"/>
      <c r="I879" s="127"/>
      <c r="J879" s="118">
        <f>IF(ISERROR(VLOOKUP(H879,#REF!,9,0)),0,VLOOKUP(H879,#REF!,9,0)*I879)/3600</f>
        <v>0</v>
      </c>
    </row>
    <row r="880" spans="2:10" x14ac:dyDescent="0.3">
      <c r="B880" s="121">
        <f t="shared" si="27"/>
        <v>0</v>
      </c>
      <c r="C880" s="122">
        <f t="shared" si="28"/>
        <v>0</v>
      </c>
      <c r="D880" s="123"/>
      <c r="E880" s="124"/>
      <c r="F880" s="125"/>
      <c r="G880" s="125"/>
      <c r="H880" s="126"/>
      <c r="I880" s="127"/>
      <c r="J880" s="118">
        <f>IF(ISERROR(VLOOKUP(H880,#REF!,9,0)),0,VLOOKUP(H880,#REF!,9,0)*I880)/3600</f>
        <v>0</v>
      </c>
    </row>
    <row r="881" spans="2:10" x14ac:dyDescent="0.3">
      <c r="B881" s="121">
        <f t="shared" si="27"/>
        <v>0</v>
      </c>
      <c r="C881" s="122">
        <f t="shared" si="28"/>
        <v>0</v>
      </c>
      <c r="D881" s="123"/>
      <c r="E881" s="125"/>
      <c r="F881" s="125"/>
      <c r="G881" s="125"/>
      <c r="H881" s="126"/>
      <c r="I881" s="127"/>
      <c r="J881" s="118">
        <f>IF(ISERROR(VLOOKUP(H881,#REF!,9,0)),0,VLOOKUP(H881,#REF!,9,0)*I881)/3600</f>
        <v>0</v>
      </c>
    </row>
    <row r="882" spans="2:10" x14ac:dyDescent="0.3">
      <c r="B882" s="121">
        <f t="shared" si="27"/>
        <v>0</v>
      </c>
      <c r="C882" s="122">
        <f t="shared" si="28"/>
        <v>0</v>
      </c>
      <c r="D882" s="123"/>
      <c r="E882" s="124"/>
      <c r="F882" s="125"/>
      <c r="G882" s="125"/>
      <c r="H882" s="126"/>
      <c r="I882" s="127"/>
      <c r="J882" s="118">
        <f>IF(ISERROR(VLOOKUP(H882,#REF!,9,0)),0,VLOOKUP(H882,#REF!,9,0)*I882)/3600</f>
        <v>0</v>
      </c>
    </row>
    <row r="883" spans="2:10" x14ac:dyDescent="0.3">
      <c r="B883" s="121">
        <f t="shared" si="27"/>
        <v>0</v>
      </c>
      <c r="C883" s="122">
        <f t="shared" si="28"/>
        <v>0</v>
      </c>
      <c r="D883" s="123"/>
      <c r="E883" s="125"/>
      <c r="F883" s="125"/>
      <c r="G883" s="125"/>
      <c r="H883" s="126"/>
      <c r="I883" s="127"/>
      <c r="J883" s="118">
        <f>IF(ISERROR(VLOOKUP(H883,#REF!,9,0)),0,VLOOKUP(H883,#REF!,9,0)*I883)/3600</f>
        <v>0</v>
      </c>
    </row>
    <row r="884" spans="2:10" x14ac:dyDescent="0.3">
      <c r="B884" s="121">
        <f t="shared" si="27"/>
        <v>0</v>
      </c>
      <c r="C884" s="122">
        <f t="shared" si="28"/>
        <v>0</v>
      </c>
      <c r="D884" s="123"/>
      <c r="E884" s="124"/>
      <c r="F884" s="125"/>
      <c r="G884" s="125"/>
      <c r="H884" s="126"/>
      <c r="I884" s="127"/>
      <c r="J884" s="118">
        <f>IF(ISERROR(VLOOKUP(H884,#REF!,9,0)),0,VLOOKUP(H884,#REF!,9,0)*I884)/3600</f>
        <v>0</v>
      </c>
    </row>
    <row r="885" spans="2:10" x14ac:dyDescent="0.3">
      <c r="B885" s="121">
        <f t="shared" si="27"/>
        <v>0</v>
      </c>
      <c r="C885" s="122">
        <f t="shared" si="28"/>
        <v>0</v>
      </c>
      <c r="D885" s="123"/>
      <c r="E885" s="125"/>
      <c r="F885" s="125"/>
      <c r="G885" s="125"/>
      <c r="H885" s="126"/>
      <c r="I885" s="127"/>
      <c r="J885" s="118">
        <f>IF(ISERROR(VLOOKUP(H885,#REF!,9,0)),0,VLOOKUP(H885,#REF!,9,0)*I885)/3600</f>
        <v>0</v>
      </c>
    </row>
    <row r="886" spans="2:10" x14ac:dyDescent="0.3">
      <c r="B886" s="121">
        <f t="shared" si="27"/>
        <v>0</v>
      </c>
      <c r="C886" s="122">
        <f t="shared" si="28"/>
        <v>0</v>
      </c>
      <c r="D886" s="123"/>
      <c r="E886" s="124"/>
      <c r="F886" s="125"/>
      <c r="G886" s="125"/>
      <c r="H886" s="126"/>
      <c r="I886" s="127"/>
      <c r="J886" s="118">
        <f>IF(ISERROR(VLOOKUP(H886,#REF!,9,0)),0,VLOOKUP(H886,#REF!,9,0)*I886)/3600</f>
        <v>0</v>
      </c>
    </row>
    <row r="887" spans="2:10" x14ac:dyDescent="0.3">
      <c r="B887" s="121">
        <f t="shared" si="27"/>
        <v>0</v>
      </c>
      <c r="C887" s="122">
        <f t="shared" si="28"/>
        <v>0</v>
      </c>
      <c r="D887" s="123"/>
      <c r="E887" s="125"/>
      <c r="F887" s="125"/>
      <c r="G887" s="125"/>
      <c r="H887" s="126"/>
      <c r="I887" s="127"/>
      <c r="J887" s="118">
        <f>IF(ISERROR(VLOOKUP(H887,#REF!,9,0)),0,VLOOKUP(H887,#REF!,9,0)*I887)/3600</f>
        <v>0</v>
      </c>
    </row>
    <row r="888" spans="2:10" x14ac:dyDescent="0.3">
      <c r="B888" s="121">
        <f t="shared" si="27"/>
        <v>0</v>
      </c>
      <c r="C888" s="122">
        <f t="shared" si="28"/>
        <v>0</v>
      </c>
      <c r="D888" s="123"/>
      <c r="E888" s="124"/>
      <c r="F888" s="125"/>
      <c r="G888" s="125"/>
      <c r="H888" s="126"/>
      <c r="I888" s="127"/>
      <c r="J888" s="118">
        <f>IF(ISERROR(VLOOKUP(H888,#REF!,9,0)),0,VLOOKUP(H888,#REF!,9,0)*I888)/3600</f>
        <v>0</v>
      </c>
    </row>
    <row r="889" spans="2:10" x14ac:dyDescent="0.3">
      <c r="B889" s="121">
        <f t="shared" si="27"/>
        <v>0</v>
      </c>
      <c r="C889" s="122">
        <f t="shared" si="28"/>
        <v>0</v>
      </c>
      <c r="D889" s="123"/>
      <c r="E889" s="125"/>
      <c r="F889" s="125"/>
      <c r="G889" s="125"/>
      <c r="H889" s="126"/>
      <c r="I889" s="127"/>
      <c r="J889" s="118">
        <f>IF(ISERROR(VLOOKUP(H889,#REF!,9,0)),0,VLOOKUP(H889,#REF!,9,0)*I889)/3600</f>
        <v>0</v>
      </c>
    </row>
    <row r="890" spans="2:10" x14ac:dyDescent="0.3">
      <c r="B890" s="121">
        <f t="shared" si="27"/>
        <v>0</v>
      </c>
      <c r="C890" s="122">
        <f t="shared" si="28"/>
        <v>0</v>
      </c>
      <c r="D890" s="123"/>
      <c r="E890" s="124"/>
      <c r="F890" s="125"/>
      <c r="G890" s="125"/>
      <c r="H890" s="126"/>
      <c r="I890" s="127"/>
      <c r="J890" s="118">
        <f>IF(ISERROR(VLOOKUP(H890,#REF!,9,0)),0,VLOOKUP(H890,#REF!,9,0)*I890)/3600</f>
        <v>0</v>
      </c>
    </row>
    <row r="891" spans="2:10" x14ac:dyDescent="0.3">
      <c r="B891" s="121">
        <f t="shared" si="27"/>
        <v>0</v>
      </c>
      <c r="C891" s="122">
        <f t="shared" si="28"/>
        <v>0</v>
      </c>
      <c r="D891" s="123"/>
      <c r="E891" s="125"/>
      <c r="F891" s="125"/>
      <c r="G891" s="125"/>
      <c r="H891" s="126"/>
      <c r="I891" s="127"/>
      <c r="J891" s="118">
        <f>IF(ISERROR(VLOOKUP(H891,#REF!,9,0)),0,VLOOKUP(H891,#REF!,9,0)*I891)/3600</f>
        <v>0</v>
      </c>
    </row>
    <row r="892" spans="2:10" x14ac:dyDescent="0.3">
      <c r="B892" s="121">
        <f t="shared" si="27"/>
        <v>0</v>
      </c>
      <c r="C892" s="122">
        <f t="shared" si="28"/>
        <v>0</v>
      </c>
      <c r="D892" s="123"/>
      <c r="E892" s="124"/>
      <c r="F892" s="125"/>
      <c r="G892" s="125"/>
      <c r="H892" s="126"/>
      <c r="I892" s="127"/>
      <c r="J892" s="118">
        <f>IF(ISERROR(VLOOKUP(H892,#REF!,9,0)),0,VLOOKUP(H892,#REF!,9,0)*I892)/3600</f>
        <v>0</v>
      </c>
    </row>
    <row r="893" spans="2:10" x14ac:dyDescent="0.3">
      <c r="B893" s="121">
        <f t="shared" si="27"/>
        <v>0</v>
      </c>
      <c r="C893" s="122">
        <f t="shared" si="28"/>
        <v>0</v>
      </c>
      <c r="D893" s="123"/>
      <c r="E893" s="125"/>
      <c r="F893" s="125"/>
      <c r="G893" s="125"/>
      <c r="H893" s="126"/>
      <c r="I893" s="127"/>
      <c r="J893" s="118">
        <f>IF(ISERROR(VLOOKUP(H893,#REF!,9,0)),0,VLOOKUP(H893,#REF!,9,0)*I893)/3600</f>
        <v>0</v>
      </c>
    </row>
    <row r="894" spans="2:10" x14ac:dyDescent="0.3">
      <c r="B894" s="121">
        <f t="shared" si="27"/>
        <v>0</v>
      </c>
      <c r="C894" s="122">
        <f t="shared" si="28"/>
        <v>0</v>
      </c>
      <c r="D894" s="123"/>
      <c r="E894" s="124"/>
      <c r="F894" s="125"/>
      <c r="G894" s="125"/>
      <c r="H894" s="126"/>
      <c r="I894" s="127"/>
      <c r="J894" s="118">
        <f>IF(ISERROR(VLOOKUP(H894,#REF!,9,0)),0,VLOOKUP(H894,#REF!,9,0)*I894)/3600</f>
        <v>0</v>
      </c>
    </row>
    <row r="895" spans="2:10" x14ac:dyDescent="0.3">
      <c r="B895" s="121">
        <f t="shared" si="27"/>
        <v>0</v>
      </c>
      <c r="C895" s="122">
        <f t="shared" si="28"/>
        <v>0</v>
      </c>
      <c r="D895" s="123"/>
      <c r="E895" s="125"/>
      <c r="F895" s="125"/>
      <c r="G895" s="125"/>
      <c r="H895" s="126"/>
      <c r="I895" s="127"/>
      <c r="J895" s="118">
        <f>IF(ISERROR(VLOOKUP(H895,#REF!,9,0)),0,VLOOKUP(H895,#REF!,9,0)*I895)/3600</f>
        <v>0</v>
      </c>
    </row>
    <row r="896" spans="2:10" x14ac:dyDescent="0.3">
      <c r="B896" s="121">
        <f t="shared" si="27"/>
        <v>0</v>
      </c>
      <c r="C896" s="122">
        <f t="shared" si="28"/>
        <v>0</v>
      </c>
      <c r="D896" s="123"/>
      <c r="E896" s="124"/>
      <c r="F896" s="125"/>
      <c r="G896" s="125"/>
      <c r="H896" s="126"/>
      <c r="I896" s="127"/>
      <c r="J896" s="118">
        <f>IF(ISERROR(VLOOKUP(H896,#REF!,9,0)),0,VLOOKUP(H896,#REF!,9,0)*I896)/3600</f>
        <v>0</v>
      </c>
    </row>
    <row r="897" spans="2:10" x14ac:dyDescent="0.3">
      <c r="B897" s="121">
        <f t="shared" si="27"/>
        <v>0</v>
      </c>
      <c r="C897" s="122">
        <f t="shared" si="28"/>
        <v>0</v>
      </c>
      <c r="D897" s="123"/>
      <c r="E897" s="125"/>
      <c r="F897" s="125"/>
      <c r="G897" s="125"/>
      <c r="H897" s="126"/>
      <c r="I897" s="127"/>
      <c r="J897" s="118">
        <f>IF(ISERROR(VLOOKUP(H897,#REF!,9,0)),0,VLOOKUP(H897,#REF!,9,0)*I897)/3600</f>
        <v>0</v>
      </c>
    </row>
    <row r="898" spans="2:10" x14ac:dyDescent="0.3">
      <c r="B898" s="121">
        <f t="shared" si="27"/>
        <v>0</v>
      </c>
      <c r="C898" s="122">
        <f t="shared" si="28"/>
        <v>0</v>
      </c>
      <c r="D898" s="123"/>
      <c r="E898" s="124"/>
      <c r="F898" s="125"/>
      <c r="G898" s="125"/>
      <c r="H898" s="126"/>
      <c r="I898" s="127"/>
      <c r="J898" s="118">
        <f>IF(ISERROR(VLOOKUP(H898,#REF!,9,0)),0,VLOOKUP(H898,#REF!,9,0)*I898)/3600</f>
        <v>0</v>
      </c>
    </row>
    <row r="899" spans="2:10" x14ac:dyDescent="0.3">
      <c r="B899" s="121">
        <f t="shared" si="27"/>
        <v>0</v>
      </c>
      <c r="C899" s="122">
        <f t="shared" si="28"/>
        <v>0</v>
      </c>
      <c r="D899" s="123"/>
      <c r="E899" s="125"/>
      <c r="F899" s="125"/>
      <c r="G899" s="125"/>
      <c r="H899" s="126"/>
      <c r="I899" s="127"/>
      <c r="J899" s="118">
        <f>IF(ISERROR(VLOOKUP(H899,#REF!,9,0)),0,VLOOKUP(H899,#REF!,9,0)*I899)/3600</f>
        <v>0</v>
      </c>
    </row>
    <row r="900" spans="2:10" x14ac:dyDescent="0.3">
      <c r="B900" s="121">
        <f t="shared" si="27"/>
        <v>0</v>
      </c>
      <c r="C900" s="122">
        <f t="shared" si="28"/>
        <v>0</v>
      </c>
      <c r="D900" s="123"/>
      <c r="E900" s="124"/>
      <c r="F900" s="125"/>
      <c r="G900" s="125"/>
      <c r="H900" s="126"/>
      <c r="I900" s="127"/>
      <c r="J900" s="118">
        <f>IF(ISERROR(VLOOKUP(H900,#REF!,9,0)),0,VLOOKUP(H900,#REF!,9,0)*I900)/3600</f>
        <v>0</v>
      </c>
    </row>
    <row r="901" spans="2:10" x14ac:dyDescent="0.3">
      <c r="B901" s="121">
        <f t="shared" si="27"/>
        <v>0</v>
      </c>
      <c r="C901" s="122">
        <f t="shared" si="28"/>
        <v>0</v>
      </c>
      <c r="D901" s="123"/>
      <c r="E901" s="125"/>
      <c r="F901" s="125"/>
      <c r="G901" s="125"/>
      <c r="H901" s="126"/>
      <c r="I901" s="127"/>
      <c r="J901" s="118">
        <f>IF(ISERROR(VLOOKUP(H901,#REF!,9,0)),0,VLOOKUP(H901,#REF!,9,0)*I901)/3600</f>
        <v>0</v>
      </c>
    </row>
    <row r="902" spans="2:10" x14ac:dyDescent="0.3">
      <c r="B902" s="121">
        <f t="shared" ref="B902:B965" si="29">IF(D902&gt;0,YEAR(D902),0)</f>
        <v>0</v>
      </c>
      <c r="C902" s="122">
        <f t="shared" ref="C902:C965" si="30">IF(D902&gt;0,MONTH(D902),0)</f>
        <v>0</v>
      </c>
      <c r="D902" s="123"/>
      <c r="E902" s="124"/>
      <c r="F902" s="125"/>
      <c r="G902" s="125"/>
      <c r="H902" s="126"/>
      <c r="I902" s="127"/>
      <c r="J902" s="118">
        <f>IF(ISERROR(VLOOKUP(H902,#REF!,9,0)),0,VLOOKUP(H902,#REF!,9,0)*I902)/3600</f>
        <v>0</v>
      </c>
    </row>
    <row r="903" spans="2:10" x14ac:dyDescent="0.3">
      <c r="B903" s="121">
        <f t="shared" si="29"/>
        <v>0</v>
      </c>
      <c r="C903" s="122">
        <f t="shared" si="30"/>
        <v>0</v>
      </c>
      <c r="D903" s="123"/>
      <c r="E903" s="125"/>
      <c r="F903" s="125"/>
      <c r="G903" s="125"/>
      <c r="H903" s="126"/>
      <c r="I903" s="127"/>
      <c r="J903" s="118">
        <f>IF(ISERROR(VLOOKUP(H903,#REF!,9,0)),0,VLOOKUP(H903,#REF!,9,0)*I903)/3600</f>
        <v>0</v>
      </c>
    </row>
    <row r="904" spans="2:10" x14ac:dyDescent="0.3">
      <c r="B904" s="121">
        <f t="shared" si="29"/>
        <v>0</v>
      </c>
      <c r="C904" s="122">
        <f t="shared" si="30"/>
        <v>0</v>
      </c>
      <c r="D904" s="123"/>
      <c r="E904" s="124"/>
      <c r="F904" s="125"/>
      <c r="G904" s="125"/>
      <c r="H904" s="126"/>
      <c r="I904" s="127"/>
      <c r="J904" s="118">
        <f>IF(ISERROR(VLOOKUP(H904,#REF!,9,0)),0,VLOOKUP(H904,#REF!,9,0)*I904)/3600</f>
        <v>0</v>
      </c>
    </row>
    <row r="905" spans="2:10" x14ac:dyDescent="0.3">
      <c r="B905" s="121">
        <f t="shared" si="29"/>
        <v>0</v>
      </c>
      <c r="C905" s="122">
        <f t="shared" si="30"/>
        <v>0</v>
      </c>
      <c r="D905" s="123"/>
      <c r="E905" s="125"/>
      <c r="F905" s="125"/>
      <c r="G905" s="125"/>
      <c r="H905" s="126"/>
      <c r="I905" s="127"/>
      <c r="J905" s="118">
        <f>IF(ISERROR(VLOOKUP(H905,#REF!,9,0)),0,VLOOKUP(H905,#REF!,9,0)*I905)/3600</f>
        <v>0</v>
      </c>
    </row>
    <row r="906" spans="2:10" x14ac:dyDescent="0.3">
      <c r="B906" s="121">
        <f t="shared" si="29"/>
        <v>0</v>
      </c>
      <c r="C906" s="122">
        <f t="shared" si="30"/>
        <v>0</v>
      </c>
      <c r="D906" s="123"/>
      <c r="E906" s="124"/>
      <c r="F906" s="125"/>
      <c r="G906" s="125"/>
      <c r="H906" s="126"/>
      <c r="I906" s="127"/>
      <c r="J906" s="118">
        <f>IF(ISERROR(VLOOKUP(H906,#REF!,9,0)),0,VLOOKUP(H906,#REF!,9,0)*I906)/3600</f>
        <v>0</v>
      </c>
    </row>
    <row r="907" spans="2:10" x14ac:dyDescent="0.3">
      <c r="B907" s="121">
        <f t="shared" si="29"/>
        <v>0</v>
      </c>
      <c r="C907" s="122">
        <f t="shared" si="30"/>
        <v>0</v>
      </c>
      <c r="D907" s="123"/>
      <c r="E907" s="125"/>
      <c r="F907" s="125"/>
      <c r="G907" s="125"/>
      <c r="H907" s="126"/>
      <c r="I907" s="127"/>
      <c r="J907" s="118">
        <f>IF(ISERROR(VLOOKUP(H907,#REF!,9,0)),0,VLOOKUP(H907,#REF!,9,0)*I907)/3600</f>
        <v>0</v>
      </c>
    </row>
    <row r="908" spans="2:10" x14ac:dyDescent="0.3">
      <c r="B908" s="121">
        <f t="shared" si="29"/>
        <v>0</v>
      </c>
      <c r="C908" s="122">
        <f t="shared" si="30"/>
        <v>0</v>
      </c>
      <c r="D908" s="123"/>
      <c r="E908" s="124"/>
      <c r="F908" s="125"/>
      <c r="G908" s="125"/>
      <c r="H908" s="126"/>
      <c r="I908" s="127"/>
      <c r="J908" s="118">
        <f>IF(ISERROR(VLOOKUP(H908,#REF!,9,0)),0,VLOOKUP(H908,#REF!,9,0)*I908)/3600</f>
        <v>0</v>
      </c>
    </row>
    <row r="909" spans="2:10" x14ac:dyDescent="0.3">
      <c r="B909" s="121">
        <f t="shared" si="29"/>
        <v>0</v>
      </c>
      <c r="C909" s="122">
        <f t="shared" si="30"/>
        <v>0</v>
      </c>
      <c r="D909" s="123"/>
      <c r="E909" s="125"/>
      <c r="F909" s="125"/>
      <c r="G909" s="125"/>
      <c r="H909" s="126"/>
      <c r="I909" s="127"/>
      <c r="J909" s="118">
        <f>IF(ISERROR(VLOOKUP(H909,#REF!,9,0)),0,VLOOKUP(H909,#REF!,9,0)*I909)/3600</f>
        <v>0</v>
      </c>
    </row>
    <row r="910" spans="2:10" x14ac:dyDescent="0.3">
      <c r="B910" s="121">
        <f t="shared" si="29"/>
        <v>0</v>
      </c>
      <c r="C910" s="122">
        <f t="shared" si="30"/>
        <v>0</v>
      </c>
      <c r="D910" s="123"/>
      <c r="E910" s="124"/>
      <c r="F910" s="125"/>
      <c r="G910" s="125"/>
      <c r="H910" s="126"/>
      <c r="I910" s="127"/>
      <c r="J910" s="118">
        <f>IF(ISERROR(VLOOKUP(H910,#REF!,9,0)),0,VLOOKUP(H910,#REF!,9,0)*I910)/3600</f>
        <v>0</v>
      </c>
    </row>
    <row r="911" spans="2:10" x14ac:dyDescent="0.3">
      <c r="B911" s="121">
        <f t="shared" si="29"/>
        <v>0</v>
      </c>
      <c r="C911" s="122">
        <f t="shared" si="30"/>
        <v>0</v>
      </c>
      <c r="D911" s="123"/>
      <c r="E911" s="125"/>
      <c r="F911" s="125"/>
      <c r="G911" s="125"/>
      <c r="H911" s="126"/>
      <c r="I911" s="127"/>
      <c r="J911" s="118">
        <f>IF(ISERROR(VLOOKUP(H911,#REF!,9,0)),0,VLOOKUP(H911,#REF!,9,0)*I911)/3600</f>
        <v>0</v>
      </c>
    </row>
    <row r="912" spans="2:10" x14ac:dyDescent="0.3">
      <c r="B912" s="121">
        <f t="shared" si="29"/>
        <v>0</v>
      </c>
      <c r="C912" s="122">
        <f t="shared" si="30"/>
        <v>0</v>
      </c>
      <c r="D912" s="123"/>
      <c r="E912" s="124"/>
      <c r="F912" s="125"/>
      <c r="G912" s="125"/>
      <c r="H912" s="126"/>
      <c r="I912" s="127"/>
      <c r="J912" s="118">
        <f>IF(ISERROR(VLOOKUP(H912,#REF!,9,0)),0,VLOOKUP(H912,#REF!,9,0)*I912)/3600</f>
        <v>0</v>
      </c>
    </row>
    <row r="913" spans="2:10" x14ac:dyDescent="0.3">
      <c r="B913" s="121">
        <f t="shared" si="29"/>
        <v>0</v>
      </c>
      <c r="C913" s="122">
        <f t="shared" si="30"/>
        <v>0</v>
      </c>
      <c r="D913" s="123"/>
      <c r="E913" s="125"/>
      <c r="F913" s="125"/>
      <c r="G913" s="125"/>
      <c r="H913" s="126"/>
      <c r="I913" s="127"/>
      <c r="J913" s="118">
        <f>IF(ISERROR(VLOOKUP(H913,#REF!,9,0)),0,VLOOKUP(H913,#REF!,9,0)*I913)/3600</f>
        <v>0</v>
      </c>
    </row>
    <row r="914" spans="2:10" x14ac:dyDescent="0.3">
      <c r="B914" s="121">
        <f t="shared" si="29"/>
        <v>0</v>
      </c>
      <c r="C914" s="122">
        <f t="shared" si="30"/>
        <v>0</v>
      </c>
      <c r="D914" s="123"/>
      <c r="E914" s="124"/>
      <c r="F914" s="125"/>
      <c r="G914" s="125"/>
      <c r="H914" s="126"/>
      <c r="I914" s="127"/>
      <c r="J914" s="118">
        <f>IF(ISERROR(VLOOKUP(H914,#REF!,9,0)),0,VLOOKUP(H914,#REF!,9,0)*I914)/3600</f>
        <v>0</v>
      </c>
    </row>
    <row r="915" spans="2:10" x14ac:dyDescent="0.3">
      <c r="B915" s="121">
        <f t="shared" si="29"/>
        <v>0</v>
      </c>
      <c r="C915" s="122">
        <f t="shared" si="30"/>
        <v>0</v>
      </c>
      <c r="D915" s="123"/>
      <c r="E915" s="125"/>
      <c r="F915" s="125"/>
      <c r="G915" s="125"/>
      <c r="H915" s="126"/>
      <c r="I915" s="127"/>
      <c r="J915" s="118">
        <f>IF(ISERROR(VLOOKUP(H915,#REF!,9,0)),0,VLOOKUP(H915,#REF!,9,0)*I915)/3600</f>
        <v>0</v>
      </c>
    </row>
    <row r="916" spans="2:10" x14ac:dyDescent="0.3">
      <c r="B916" s="121">
        <f t="shared" si="29"/>
        <v>0</v>
      </c>
      <c r="C916" s="122">
        <f t="shared" si="30"/>
        <v>0</v>
      </c>
      <c r="D916" s="123"/>
      <c r="E916" s="124"/>
      <c r="F916" s="125"/>
      <c r="G916" s="125"/>
      <c r="H916" s="126"/>
      <c r="I916" s="127"/>
      <c r="J916" s="118">
        <f>IF(ISERROR(VLOOKUP(H916,#REF!,9,0)),0,VLOOKUP(H916,#REF!,9,0)*I916)/3600</f>
        <v>0</v>
      </c>
    </row>
    <row r="917" spans="2:10" x14ac:dyDescent="0.3">
      <c r="B917" s="121">
        <f t="shared" si="29"/>
        <v>0</v>
      </c>
      <c r="C917" s="122">
        <f t="shared" si="30"/>
        <v>0</v>
      </c>
      <c r="D917" s="123"/>
      <c r="E917" s="125"/>
      <c r="F917" s="125"/>
      <c r="G917" s="125"/>
      <c r="H917" s="126"/>
      <c r="I917" s="127"/>
      <c r="J917" s="118">
        <f>IF(ISERROR(VLOOKUP(H917,#REF!,9,0)),0,VLOOKUP(H917,#REF!,9,0)*I917)/3600</f>
        <v>0</v>
      </c>
    </row>
    <row r="918" spans="2:10" x14ac:dyDescent="0.3">
      <c r="B918" s="121">
        <f t="shared" si="29"/>
        <v>0</v>
      </c>
      <c r="C918" s="122">
        <f t="shared" si="30"/>
        <v>0</v>
      </c>
      <c r="D918" s="123"/>
      <c r="E918" s="124"/>
      <c r="F918" s="125"/>
      <c r="G918" s="125"/>
      <c r="H918" s="126"/>
      <c r="I918" s="127"/>
      <c r="J918" s="118">
        <f>IF(ISERROR(VLOOKUP(H918,#REF!,9,0)),0,VLOOKUP(H918,#REF!,9,0)*I918)/3600</f>
        <v>0</v>
      </c>
    </row>
    <row r="919" spans="2:10" x14ac:dyDescent="0.3">
      <c r="B919" s="121">
        <f t="shared" si="29"/>
        <v>0</v>
      </c>
      <c r="C919" s="122">
        <f t="shared" si="30"/>
        <v>0</v>
      </c>
      <c r="D919" s="123"/>
      <c r="E919" s="125"/>
      <c r="F919" s="125"/>
      <c r="G919" s="125"/>
      <c r="H919" s="126"/>
      <c r="I919" s="127"/>
      <c r="J919" s="118">
        <f>IF(ISERROR(VLOOKUP(H919,#REF!,9,0)),0,VLOOKUP(H919,#REF!,9,0)*I919)/3600</f>
        <v>0</v>
      </c>
    </row>
    <row r="920" spans="2:10" x14ac:dyDescent="0.3">
      <c r="B920" s="121">
        <f t="shared" si="29"/>
        <v>0</v>
      </c>
      <c r="C920" s="122">
        <f t="shared" si="30"/>
        <v>0</v>
      </c>
      <c r="D920" s="123"/>
      <c r="E920" s="124"/>
      <c r="F920" s="125"/>
      <c r="G920" s="125"/>
      <c r="H920" s="126"/>
      <c r="I920" s="127"/>
      <c r="J920" s="118">
        <f>IF(ISERROR(VLOOKUP(H920,#REF!,9,0)),0,VLOOKUP(H920,#REF!,9,0)*I920)/3600</f>
        <v>0</v>
      </c>
    </row>
    <row r="921" spans="2:10" x14ac:dyDescent="0.3">
      <c r="B921" s="121">
        <f t="shared" si="29"/>
        <v>0</v>
      </c>
      <c r="C921" s="122">
        <f t="shared" si="30"/>
        <v>0</v>
      </c>
      <c r="D921" s="123"/>
      <c r="E921" s="125"/>
      <c r="F921" s="125"/>
      <c r="G921" s="125"/>
      <c r="H921" s="126"/>
      <c r="I921" s="127"/>
      <c r="J921" s="118">
        <f>IF(ISERROR(VLOOKUP(H921,#REF!,9,0)),0,VLOOKUP(H921,#REF!,9,0)*I921)/3600</f>
        <v>0</v>
      </c>
    </row>
    <row r="922" spans="2:10" x14ac:dyDescent="0.3">
      <c r="B922" s="121">
        <f t="shared" si="29"/>
        <v>0</v>
      </c>
      <c r="C922" s="122">
        <f t="shared" si="30"/>
        <v>0</v>
      </c>
      <c r="D922" s="123"/>
      <c r="E922" s="124"/>
      <c r="F922" s="125"/>
      <c r="G922" s="125"/>
      <c r="H922" s="126"/>
      <c r="I922" s="127"/>
      <c r="J922" s="118">
        <f>IF(ISERROR(VLOOKUP(H922,#REF!,9,0)),0,VLOOKUP(H922,#REF!,9,0)*I922)/3600</f>
        <v>0</v>
      </c>
    </row>
    <row r="923" spans="2:10" x14ac:dyDescent="0.3">
      <c r="B923" s="121">
        <f t="shared" si="29"/>
        <v>0</v>
      </c>
      <c r="C923" s="122">
        <f t="shared" si="30"/>
        <v>0</v>
      </c>
      <c r="D923" s="123"/>
      <c r="E923" s="125"/>
      <c r="F923" s="125"/>
      <c r="G923" s="125"/>
      <c r="H923" s="126"/>
      <c r="I923" s="127"/>
      <c r="J923" s="118">
        <f>IF(ISERROR(VLOOKUP(H923,#REF!,9,0)),0,VLOOKUP(H923,#REF!,9,0)*I923)/3600</f>
        <v>0</v>
      </c>
    </row>
    <row r="924" spans="2:10" x14ac:dyDescent="0.3">
      <c r="B924" s="121">
        <f t="shared" si="29"/>
        <v>0</v>
      </c>
      <c r="C924" s="122">
        <f t="shared" si="30"/>
        <v>0</v>
      </c>
      <c r="D924" s="123"/>
      <c r="E924" s="124"/>
      <c r="F924" s="125"/>
      <c r="G924" s="125"/>
      <c r="H924" s="126"/>
      <c r="I924" s="127"/>
      <c r="J924" s="118">
        <f>IF(ISERROR(VLOOKUP(H924,#REF!,9,0)),0,VLOOKUP(H924,#REF!,9,0)*I924)/3600</f>
        <v>0</v>
      </c>
    </row>
    <row r="925" spans="2:10" x14ac:dyDescent="0.3">
      <c r="B925" s="121">
        <f t="shared" si="29"/>
        <v>0</v>
      </c>
      <c r="C925" s="122">
        <f t="shared" si="30"/>
        <v>0</v>
      </c>
      <c r="D925" s="123"/>
      <c r="E925" s="125"/>
      <c r="F925" s="125"/>
      <c r="G925" s="125"/>
      <c r="H925" s="126"/>
      <c r="I925" s="127"/>
      <c r="J925" s="118">
        <f>IF(ISERROR(VLOOKUP(H925,#REF!,9,0)),0,VLOOKUP(H925,#REF!,9,0)*I925)/3600</f>
        <v>0</v>
      </c>
    </row>
    <row r="926" spans="2:10" x14ac:dyDescent="0.3">
      <c r="B926" s="121">
        <f t="shared" si="29"/>
        <v>0</v>
      </c>
      <c r="C926" s="122">
        <f t="shared" si="30"/>
        <v>0</v>
      </c>
      <c r="D926" s="123"/>
      <c r="E926" s="124"/>
      <c r="F926" s="125"/>
      <c r="G926" s="125"/>
      <c r="H926" s="126"/>
      <c r="I926" s="127"/>
      <c r="J926" s="118">
        <f>IF(ISERROR(VLOOKUP(H926,#REF!,9,0)),0,VLOOKUP(H926,#REF!,9,0)*I926)/3600</f>
        <v>0</v>
      </c>
    </row>
    <row r="927" spans="2:10" x14ac:dyDescent="0.3">
      <c r="B927" s="121">
        <f t="shared" si="29"/>
        <v>0</v>
      </c>
      <c r="C927" s="122">
        <f t="shared" si="30"/>
        <v>0</v>
      </c>
      <c r="D927" s="123"/>
      <c r="E927" s="125"/>
      <c r="F927" s="125"/>
      <c r="G927" s="125"/>
      <c r="H927" s="126"/>
      <c r="I927" s="127"/>
      <c r="J927" s="118">
        <f>IF(ISERROR(VLOOKUP(H927,#REF!,9,0)),0,VLOOKUP(H927,#REF!,9,0)*I927)/3600</f>
        <v>0</v>
      </c>
    </row>
    <row r="928" spans="2:10" x14ac:dyDescent="0.3">
      <c r="B928" s="121">
        <f t="shared" si="29"/>
        <v>0</v>
      </c>
      <c r="C928" s="122">
        <f t="shared" si="30"/>
        <v>0</v>
      </c>
      <c r="D928" s="123"/>
      <c r="E928" s="124"/>
      <c r="F928" s="125"/>
      <c r="G928" s="125"/>
      <c r="H928" s="126"/>
      <c r="I928" s="127"/>
      <c r="J928" s="118">
        <f>IF(ISERROR(VLOOKUP(H928,#REF!,9,0)),0,VLOOKUP(H928,#REF!,9,0)*I928)/3600</f>
        <v>0</v>
      </c>
    </row>
    <row r="929" spans="2:10" x14ac:dyDescent="0.3">
      <c r="B929" s="121">
        <f t="shared" si="29"/>
        <v>0</v>
      </c>
      <c r="C929" s="122">
        <f t="shared" si="30"/>
        <v>0</v>
      </c>
      <c r="D929" s="123"/>
      <c r="E929" s="125"/>
      <c r="F929" s="125"/>
      <c r="G929" s="125"/>
      <c r="H929" s="126"/>
      <c r="I929" s="127"/>
      <c r="J929" s="118">
        <f>IF(ISERROR(VLOOKUP(H929,#REF!,9,0)),0,VLOOKUP(H929,#REF!,9,0)*I929)/3600</f>
        <v>0</v>
      </c>
    </row>
    <row r="930" spans="2:10" x14ac:dyDescent="0.3">
      <c r="B930" s="121">
        <f t="shared" si="29"/>
        <v>0</v>
      </c>
      <c r="C930" s="122">
        <f t="shared" si="30"/>
        <v>0</v>
      </c>
      <c r="D930" s="123"/>
      <c r="E930" s="124"/>
      <c r="F930" s="125"/>
      <c r="G930" s="125"/>
      <c r="H930" s="126"/>
      <c r="I930" s="127"/>
      <c r="J930" s="118">
        <f>IF(ISERROR(VLOOKUP(H930,#REF!,9,0)),0,VLOOKUP(H930,#REF!,9,0)*I930)/3600</f>
        <v>0</v>
      </c>
    </row>
    <row r="931" spans="2:10" x14ac:dyDescent="0.3">
      <c r="B931" s="121">
        <f t="shared" si="29"/>
        <v>0</v>
      </c>
      <c r="C931" s="122">
        <f t="shared" si="30"/>
        <v>0</v>
      </c>
      <c r="D931" s="123"/>
      <c r="E931" s="125"/>
      <c r="F931" s="125"/>
      <c r="G931" s="125"/>
      <c r="H931" s="126"/>
      <c r="I931" s="127"/>
      <c r="J931" s="118">
        <f>IF(ISERROR(VLOOKUP(H931,#REF!,9,0)),0,VLOOKUP(H931,#REF!,9,0)*I931)/3600</f>
        <v>0</v>
      </c>
    </row>
    <row r="932" spans="2:10" x14ac:dyDescent="0.3">
      <c r="B932" s="121">
        <f t="shared" si="29"/>
        <v>0</v>
      </c>
      <c r="C932" s="122">
        <f t="shared" si="30"/>
        <v>0</v>
      </c>
      <c r="D932" s="123"/>
      <c r="E932" s="124"/>
      <c r="F932" s="125"/>
      <c r="G932" s="125"/>
      <c r="H932" s="126"/>
      <c r="I932" s="127"/>
      <c r="J932" s="118">
        <f>IF(ISERROR(VLOOKUP(H932,#REF!,9,0)),0,VLOOKUP(H932,#REF!,9,0)*I932)/3600</f>
        <v>0</v>
      </c>
    </row>
    <row r="933" spans="2:10" x14ac:dyDescent="0.3">
      <c r="B933" s="121">
        <f t="shared" si="29"/>
        <v>0</v>
      </c>
      <c r="C933" s="122">
        <f t="shared" si="30"/>
        <v>0</v>
      </c>
      <c r="D933" s="123"/>
      <c r="E933" s="125"/>
      <c r="F933" s="125"/>
      <c r="G933" s="125"/>
      <c r="H933" s="126"/>
      <c r="I933" s="127"/>
      <c r="J933" s="118">
        <f>IF(ISERROR(VLOOKUP(H933,#REF!,9,0)),0,VLOOKUP(H933,#REF!,9,0)*I933)/3600</f>
        <v>0</v>
      </c>
    </row>
    <row r="934" spans="2:10" x14ac:dyDescent="0.3">
      <c r="B934" s="121">
        <f t="shared" si="29"/>
        <v>0</v>
      </c>
      <c r="C934" s="122">
        <f t="shared" si="30"/>
        <v>0</v>
      </c>
      <c r="D934" s="123"/>
      <c r="E934" s="124"/>
      <c r="F934" s="125"/>
      <c r="G934" s="125"/>
      <c r="H934" s="126"/>
      <c r="I934" s="127"/>
      <c r="J934" s="118">
        <f>IF(ISERROR(VLOOKUP(H934,#REF!,9,0)),0,VLOOKUP(H934,#REF!,9,0)*I934)/3600</f>
        <v>0</v>
      </c>
    </row>
    <row r="935" spans="2:10" x14ac:dyDescent="0.3">
      <c r="B935" s="121">
        <f t="shared" si="29"/>
        <v>0</v>
      </c>
      <c r="C935" s="122">
        <f t="shared" si="30"/>
        <v>0</v>
      </c>
      <c r="D935" s="123"/>
      <c r="E935" s="125"/>
      <c r="F935" s="125"/>
      <c r="G935" s="125"/>
      <c r="H935" s="126"/>
      <c r="I935" s="127"/>
      <c r="J935" s="118">
        <f>IF(ISERROR(VLOOKUP(H935,#REF!,9,0)),0,VLOOKUP(H935,#REF!,9,0)*I935)/3600</f>
        <v>0</v>
      </c>
    </row>
    <row r="936" spans="2:10" x14ac:dyDescent="0.3">
      <c r="B936" s="121">
        <f t="shared" si="29"/>
        <v>0</v>
      </c>
      <c r="C936" s="122">
        <f t="shared" si="30"/>
        <v>0</v>
      </c>
      <c r="D936" s="123"/>
      <c r="E936" s="124"/>
      <c r="F936" s="125"/>
      <c r="G936" s="125"/>
      <c r="H936" s="126"/>
      <c r="I936" s="127"/>
      <c r="J936" s="118">
        <f>IF(ISERROR(VLOOKUP(H936,#REF!,9,0)),0,VLOOKUP(H936,#REF!,9,0)*I936)/3600</f>
        <v>0</v>
      </c>
    </row>
    <row r="937" spans="2:10" x14ac:dyDescent="0.3">
      <c r="B937" s="121">
        <f t="shared" si="29"/>
        <v>0</v>
      </c>
      <c r="C937" s="122">
        <f t="shared" si="30"/>
        <v>0</v>
      </c>
      <c r="D937" s="123"/>
      <c r="E937" s="125"/>
      <c r="F937" s="125"/>
      <c r="G937" s="125"/>
      <c r="H937" s="126"/>
      <c r="I937" s="127"/>
      <c r="J937" s="118">
        <f>IF(ISERROR(VLOOKUP(H937,#REF!,9,0)),0,VLOOKUP(H937,#REF!,9,0)*I937)/3600</f>
        <v>0</v>
      </c>
    </row>
    <row r="938" spans="2:10" x14ac:dyDescent="0.3">
      <c r="B938" s="121">
        <f t="shared" si="29"/>
        <v>0</v>
      </c>
      <c r="C938" s="122">
        <f t="shared" si="30"/>
        <v>0</v>
      </c>
      <c r="D938" s="123"/>
      <c r="E938" s="124"/>
      <c r="F938" s="125"/>
      <c r="G938" s="125"/>
      <c r="H938" s="126"/>
      <c r="I938" s="127"/>
      <c r="J938" s="118">
        <f>IF(ISERROR(VLOOKUP(H938,#REF!,9,0)),0,VLOOKUP(H938,#REF!,9,0)*I938)/3600</f>
        <v>0</v>
      </c>
    </row>
    <row r="939" spans="2:10" x14ac:dyDescent="0.3">
      <c r="B939" s="121">
        <f t="shared" si="29"/>
        <v>0</v>
      </c>
      <c r="C939" s="122">
        <f t="shared" si="30"/>
        <v>0</v>
      </c>
      <c r="D939" s="123"/>
      <c r="E939" s="125"/>
      <c r="F939" s="125"/>
      <c r="G939" s="125"/>
      <c r="H939" s="126"/>
      <c r="I939" s="127"/>
      <c r="J939" s="118">
        <f>IF(ISERROR(VLOOKUP(H939,#REF!,9,0)),0,VLOOKUP(H939,#REF!,9,0)*I939)/3600</f>
        <v>0</v>
      </c>
    </row>
    <row r="940" spans="2:10" x14ac:dyDescent="0.3">
      <c r="B940" s="121">
        <f t="shared" si="29"/>
        <v>0</v>
      </c>
      <c r="C940" s="122">
        <f t="shared" si="30"/>
        <v>0</v>
      </c>
      <c r="D940" s="123"/>
      <c r="E940" s="124"/>
      <c r="F940" s="125"/>
      <c r="G940" s="125"/>
      <c r="H940" s="126"/>
      <c r="I940" s="127"/>
      <c r="J940" s="118">
        <f>IF(ISERROR(VLOOKUP(H940,#REF!,9,0)),0,VLOOKUP(H940,#REF!,9,0)*I940)/3600</f>
        <v>0</v>
      </c>
    </row>
    <row r="941" spans="2:10" x14ac:dyDescent="0.3">
      <c r="B941" s="121">
        <f t="shared" si="29"/>
        <v>0</v>
      </c>
      <c r="C941" s="122">
        <f t="shared" si="30"/>
        <v>0</v>
      </c>
      <c r="D941" s="123"/>
      <c r="E941" s="125"/>
      <c r="F941" s="125"/>
      <c r="G941" s="125"/>
      <c r="H941" s="126"/>
      <c r="I941" s="127"/>
      <c r="J941" s="118">
        <f>IF(ISERROR(VLOOKUP(H941,#REF!,9,0)),0,VLOOKUP(H941,#REF!,9,0)*I941)/3600</f>
        <v>0</v>
      </c>
    </row>
    <row r="942" spans="2:10" x14ac:dyDescent="0.3">
      <c r="B942" s="121">
        <f t="shared" si="29"/>
        <v>0</v>
      </c>
      <c r="C942" s="122">
        <f t="shared" si="30"/>
        <v>0</v>
      </c>
      <c r="D942" s="123"/>
      <c r="E942" s="124"/>
      <c r="F942" s="125"/>
      <c r="G942" s="125"/>
      <c r="H942" s="126"/>
      <c r="I942" s="127"/>
      <c r="J942" s="118">
        <f>IF(ISERROR(VLOOKUP(H942,#REF!,9,0)),0,VLOOKUP(H942,#REF!,9,0)*I942)/3600</f>
        <v>0</v>
      </c>
    </row>
    <row r="943" spans="2:10" x14ac:dyDescent="0.3">
      <c r="B943" s="121">
        <f t="shared" si="29"/>
        <v>0</v>
      </c>
      <c r="C943" s="122">
        <f t="shared" si="30"/>
        <v>0</v>
      </c>
      <c r="D943" s="123"/>
      <c r="E943" s="125"/>
      <c r="F943" s="125"/>
      <c r="G943" s="125"/>
      <c r="H943" s="126"/>
      <c r="I943" s="127"/>
      <c r="J943" s="118">
        <f>IF(ISERROR(VLOOKUP(H943,#REF!,9,0)),0,VLOOKUP(H943,#REF!,9,0)*I943)/3600</f>
        <v>0</v>
      </c>
    </row>
    <row r="944" spans="2:10" x14ac:dyDescent="0.3">
      <c r="B944" s="121">
        <f t="shared" si="29"/>
        <v>0</v>
      </c>
      <c r="C944" s="122">
        <f t="shared" si="30"/>
        <v>0</v>
      </c>
      <c r="D944" s="123"/>
      <c r="E944" s="124"/>
      <c r="F944" s="125"/>
      <c r="G944" s="125"/>
      <c r="H944" s="126"/>
      <c r="I944" s="127"/>
      <c r="J944" s="118">
        <f>IF(ISERROR(VLOOKUP(H944,#REF!,9,0)),0,VLOOKUP(H944,#REF!,9,0)*I944)/3600</f>
        <v>0</v>
      </c>
    </row>
    <row r="945" spans="2:10" x14ac:dyDescent="0.3">
      <c r="B945" s="121">
        <f t="shared" si="29"/>
        <v>0</v>
      </c>
      <c r="C945" s="122">
        <f t="shared" si="30"/>
        <v>0</v>
      </c>
      <c r="D945" s="123"/>
      <c r="E945" s="125"/>
      <c r="F945" s="125"/>
      <c r="G945" s="125"/>
      <c r="H945" s="126"/>
      <c r="I945" s="127"/>
      <c r="J945" s="118">
        <f>IF(ISERROR(VLOOKUP(H945,#REF!,9,0)),0,VLOOKUP(H945,#REF!,9,0)*I945)/3600</f>
        <v>0</v>
      </c>
    </row>
    <row r="946" spans="2:10" x14ac:dyDescent="0.3">
      <c r="B946" s="121">
        <f t="shared" si="29"/>
        <v>0</v>
      </c>
      <c r="C946" s="122">
        <f t="shared" si="30"/>
        <v>0</v>
      </c>
      <c r="D946" s="123"/>
      <c r="E946" s="124"/>
      <c r="F946" s="125"/>
      <c r="G946" s="125"/>
      <c r="H946" s="126"/>
      <c r="I946" s="127"/>
      <c r="J946" s="118">
        <f>IF(ISERROR(VLOOKUP(H946,#REF!,9,0)),0,VLOOKUP(H946,#REF!,9,0)*I946)/3600</f>
        <v>0</v>
      </c>
    </row>
    <row r="947" spans="2:10" x14ac:dyDescent="0.3">
      <c r="B947" s="121">
        <f t="shared" si="29"/>
        <v>0</v>
      </c>
      <c r="C947" s="122">
        <f t="shared" si="30"/>
        <v>0</v>
      </c>
      <c r="D947" s="123"/>
      <c r="E947" s="125"/>
      <c r="F947" s="125"/>
      <c r="G947" s="125"/>
      <c r="H947" s="126"/>
      <c r="I947" s="127"/>
      <c r="J947" s="118">
        <f>IF(ISERROR(VLOOKUP(H947,#REF!,9,0)),0,VLOOKUP(H947,#REF!,9,0)*I947)/3600</f>
        <v>0</v>
      </c>
    </row>
    <row r="948" spans="2:10" x14ac:dyDescent="0.3">
      <c r="B948" s="121">
        <f t="shared" si="29"/>
        <v>0</v>
      </c>
      <c r="C948" s="122">
        <f t="shared" si="30"/>
        <v>0</v>
      </c>
      <c r="D948" s="123"/>
      <c r="E948" s="124"/>
      <c r="F948" s="125"/>
      <c r="G948" s="125"/>
      <c r="H948" s="126"/>
      <c r="I948" s="127"/>
      <c r="J948" s="118">
        <f>IF(ISERROR(VLOOKUP(H948,#REF!,9,0)),0,VLOOKUP(H948,#REF!,9,0)*I948)/3600</f>
        <v>0</v>
      </c>
    </row>
    <row r="949" spans="2:10" x14ac:dyDescent="0.3">
      <c r="B949" s="121">
        <f t="shared" si="29"/>
        <v>0</v>
      </c>
      <c r="C949" s="122">
        <f t="shared" si="30"/>
        <v>0</v>
      </c>
      <c r="D949" s="123"/>
      <c r="E949" s="125"/>
      <c r="F949" s="125"/>
      <c r="G949" s="125"/>
      <c r="H949" s="126"/>
      <c r="I949" s="127"/>
      <c r="J949" s="118">
        <f>IF(ISERROR(VLOOKUP(H949,#REF!,9,0)),0,VLOOKUP(H949,#REF!,9,0)*I949)/3600</f>
        <v>0</v>
      </c>
    </row>
    <row r="950" spans="2:10" x14ac:dyDescent="0.3">
      <c r="B950" s="121">
        <f t="shared" si="29"/>
        <v>0</v>
      </c>
      <c r="C950" s="122">
        <f t="shared" si="30"/>
        <v>0</v>
      </c>
      <c r="D950" s="123"/>
      <c r="E950" s="124"/>
      <c r="F950" s="125"/>
      <c r="G950" s="125"/>
      <c r="H950" s="126"/>
      <c r="I950" s="127"/>
      <c r="J950" s="118">
        <f>IF(ISERROR(VLOOKUP(H950,#REF!,9,0)),0,VLOOKUP(H950,#REF!,9,0)*I950)/3600</f>
        <v>0</v>
      </c>
    </row>
    <row r="951" spans="2:10" x14ac:dyDescent="0.3">
      <c r="B951" s="121">
        <f t="shared" si="29"/>
        <v>0</v>
      </c>
      <c r="C951" s="122">
        <f t="shared" si="30"/>
        <v>0</v>
      </c>
      <c r="D951" s="123"/>
      <c r="E951" s="125"/>
      <c r="F951" s="125"/>
      <c r="G951" s="125"/>
      <c r="H951" s="126"/>
      <c r="I951" s="127"/>
      <c r="J951" s="118">
        <f>IF(ISERROR(VLOOKUP(H951,#REF!,9,0)),0,VLOOKUP(H951,#REF!,9,0)*I951)/3600</f>
        <v>0</v>
      </c>
    </row>
    <row r="952" spans="2:10" x14ac:dyDescent="0.3">
      <c r="B952" s="121">
        <f t="shared" si="29"/>
        <v>0</v>
      </c>
      <c r="C952" s="122">
        <f t="shared" si="30"/>
        <v>0</v>
      </c>
      <c r="D952" s="123"/>
      <c r="E952" s="124"/>
      <c r="F952" s="125"/>
      <c r="G952" s="125"/>
      <c r="H952" s="126"/>
      <c r="I952" s="127"/>
      <c r="J952" s="118">
        <f>IF(ISERROR(VLOOKUP(H952,#REF!,9,0)),0,VLOOKUP(H952,#REF!,9,0)*I952)/3600</f>
        <v>0</v>
      </c>
    </row>
    <row r="953" spans="2:10" x14ac:dyDescent="0.3">
      <c r="B953" s="121">
        <f t="shared" si="29"/>
        <v>0</v>
      </c>
      <c r="C953" s="122">
        <f t="shared" si="30"/>
        <v>0</v>
      </c>
      <c r="D953" s="123"/>
      <c r="E953" s="125"/>
      <c r="F953" s="125"/>
      <c r="G953" s="125"/>
      <c r="H953" s="126"/>
      <c r="I953" s="127"/>
      <c r="J953" s="118">
        <f>IF(ISERROR(VLOOKUP(H953,#REF!,9,0)),0,VLOOKUP(H953,#REF!,9,0)*I953)/3600</f>
        <v>0</v>
      </c>
    </row>
    <row r="954" spans="2:10" x14ac:dyDescent="0.3">
      <c r="B954" s="121">
        <f t="shared" si="29"/>
        <v>0</v>
      </c>
      <c r="C954" s="122">
        <f t="shared" si="30"/>
        <v>0</v>
      </c>
      <c r="D954" s="123"/>
      <c r="E954" s="124"/>
      <c r="F954" s="125"/>
      <c r="G954" s="125"/>
      <c r="H954" s="126"/>
      <c r="I954" s="127"/>
      <c r="J954" s="118">
        <f>IF(ISERROR(VLOOKUP(H954,#REF!,9,0)),0,VLOOKUP(H954,#REF!,9,0)*I954)/3600</f>
        <v>0</v>
      </c>
    </row>
    <row r="955" spans="2:10" x14ac:dyDescent="0.3">
      <c r="B955" s="121">
        <f t="shared" si="29"/>
        <v>0</v>
      </c>
      <c r="C955" s="122">
        <f t="shared" si="30"/>
        <v>0</v>
      </c>
      <c r="D955" s="123"/>
      <c r="E955" s="125"/>
      <c r="F955" s="125"/>
      <c r="G955" s="125"/>
      <c r="H955" s="126"/>
      <c r="I955" s="127"/>
      <c r="J955" s="118">
        <f>IF(ISERROR(VLOOKUP(H955,#REF!,9,0)),0,VLOOKUP(H955,#REF!,9,0)*I955)/3600</f>
        <v>0</v>
      </c>
    </row>
    <row r="956" spans="2:10" x14ac:dyDescent="0.3">
      <c r="B956" s="121">
        <f t="shared" si="29"/>
        <v>0</v>
      </c>
      <c r="C956" s="122">
        <f t="shared" si="30"/>
        <v>0</v>
      </c>
      <c r="D956" s="123"/>
      <c r="E956" s="124"/>
      <c r="F956" s="125"/>
      <c r="G956" s="125"/>
      <c r="H956" s="126"/>
      <c r="I956" s="127"/>
      <c r="J956" s="118">
        <f>IF(ISERROR(VLOOKUP(H956,#REF!,9,0)),0,VLOOKUP(H956,#REF!,9,0)*I956)/3600</f>
        <v>0</v>
      </c>
    </row>
    <row r="957" spans="2:10" x14ac:dyDescent="0.3">
      <c r="B957" s="121">
        <f t="shared" si="29"/>
        <v>0</v>
      </c>
      <c r="C957" s="122">
        <f t="shared" si="30"/>
        <v>0</v>
      </c>
      <c r="D957" s="123"/>
      <c r="E957" s="125"/>
      <c r="F957" s="125"/>
      <c r="G957" s="125"/>
      <c r="H957" s="126"/>
      <c r="I957" s="127"/>
      <c r="J957" s="118">
        <f>IF(ISERROR(VLOOKUP(H957,#REF!,9,0)),0,VLOOKUP(H957,#REF!,9,0)*I957)/3600</f>
        <v>0</v>
      </c>
    </row>
    <row r="958" spans="2:10" x14ac:dyDescent="0.3">
      <c r="B958" s="121">
        <f t="shared" si="29"/>
        <v>0</v>
      </c>
      <c r="C958" s="122">
        <f t="shared" si="30"/>
        <v>0</v>
      </c>
      <c r="D958" s="123"/>
      <c r="E958" s="124"/>
      <c r="F958" s="125"/>
      <c r="G958" s="125"/>
      <c r="H958" s="126"/>
      <c r="I958" s="127"/>
      <c r="J958" s="118">
        <f>IF(ISERROR(VLOOKUP(H958,#REF!,9,0)),0,VLOOKUP(H958,#REF!,9,0)*I958)/3600</f>
        <v>0</v>
      </c>
    </row>
    <row r="959" spans="2:10" x14ac:dyDescent="0.3">
      <c r="B959" s="121">
        <f t="shared" si="29"/>
        <v>0</v>
      </c>
      <c r="C959" s="122">
        <f t="shared" si="30"/>
        <v>0</v>
      </c>
      <c r="D959" s="123"/>
      <c r="E959" s="125"/>
      <c r="F959" s="125"/>
      <c r="G959" s="125"/>
      <c r="H959" s="126"/>
      <c r="I959" s="127"/>
      <c r="J959" s="118">
        <f>IF(ISERROR(VLOOKUP(H959,#REF!,9,0)),0,VLOOKUP(H959,#REF!,9,0)*I959)/3600</f>
        <v>0</v>
      </c>
    </row>
    <row r="960" spans="2:10" x14ac:dyDescent="0.3">
      <c r="B960" s="121">
        <f t="shared" si="29"/>
        <v>0</v>
      </c>
      <c r="C960" s="122">
        <f t="shared" si="30"/>
        <v>0</v>
      </c>
      <c r="D960" s="123"/>
      <c r="E960" s="124"/>
      <c r="F960" s="125"/>
      <c r="G960" s="125"/>
      <c r="H960" s="126"/>
      <c r="I960" s="127"/>
      <c r="J960" s="118">
        <f>IF(ISERROR(VLOOKUP(H960,#REF!,9,0)),0,VLOOKUP(H960,#REF!,9,0)*I960)/3600</f>
        <v>0</v>
      </c>
    </row>
    <row r="961" spans="2:10" x14ac:dyDescent="0.3">
      <c r="B961" s="121">
        <f t="shared" si="29"/>
        <v>0</v>
      </c>
      <c r="C961" s="122">
        <f t="shared" si="30"/>
        <v>0</v>
      </c>
      <c r="D961" s="123"/>
      <c r="E961" s="125"/>
      <c r="F961" s="125"/>
      <c r="G961" s="125"/>
      <c r="H961" s="126"/>
      <c r="I961" s="127"/>
      <c r="J961" s="118">
        <f>IF(ISERROR(VLOOKUP(H961,#REF!,9,0)),0,VLOOKUP(H961,#REF!,9,0)*I961)/3600</f>
        <v>0</v>
      </c>
    </row>
    <row r="962" spans="2:10" x14ac:dyDescent="0.3">
      <c r="B962" s="121">
        <f t="shared" si="29"/>
        <v>0</v>
      </c>
      <c r="C962" s="122">
        <f t="shared" si="30"/>
        <v>0</v>
      </c>
      <c r="D962" s="123"/>
      <c r="E962" s="124"/>
      <c r="F962" s="125"/>
      <c r="G962" s="125"/>
      <c r="H962" s="126"/>
      <c r="I962" s="127"/>
      <c r="J962" s="118">
        <f>IF(ISERROR(VLOOKUP(H962,#REF!,9,0)),0,VLOOKUP(H962,#REF!,9,0)*I962)/3600</f>
        <v>0</v>
      </c>
    </row>
    <row r="963" spans="2:10" x14ac:dyDescent="0.3">
      <c r="B963" s="121">
        <f t="shared" si="29"/>
        <v>0</v>
      </c>
      <c r="C963" s="122">
        <f t="shared" si="30"/>
        <v>0</v>
      </c>
      <c r="D963" s="123"/>
      <c r="E963" s="125"/>
      <c r="F963" s="125"/>
      <c r="G963" s="125"/>
      <c r="H963" s="126"/>
      <c r="I963" s="127"/>
      <c r="J963" s="118">
        <f>IF(ISERROR(VLOOKUP(H963,#REF!,9,0)),0,VLOOKUP(H963,#REF!,9,0)*I963)/3600</f>
        <v>0</v>
      </c>
    </row>
    <row r="964" spans="2:10" x14ac:dyDescent="0.3">
      <c r="B964" s="121">
        <f t="shared" si="29"/>
        <v>0</v>
      </c>
      <c r="C964" s="122">
        <f t="shared" si="30"/>
        <v>0</v>
      </c>
      <c r="D964" s="123"/>
      <c r="E964" s="124"/>
      <c r="F964" s="125"/>
      <c r="G964" s="125"/>
      <c r="H964" s="126"/>
      <c r="I964" s="127"/>
      <c r="J964" s="118">
        <f>IF(ISERROR(VLOOKUP(H964,#REF!,9,0)),0,VLOOKUP(H964,#REF!,9,0)*I964)/3600</f>
        <v>0</v>
      </c>
    </row>
    <row r="965" spans="2:10" x14ac:dyDescent="0.3">
      <c r="B965" s="121">
        <f t="shared" si="29"/>
        <v>0</v>
      </c>
      <c r="C965" s="122">
        <f t="shared" si="30"/>
        <v>0</v>
      </c>
      <c r="D965" s="123"/>
      <c r="E965" s="125"/>
      <c r="F965" s="125"/>
      <c r="G965" s="125"/>
      <c r="H965" s="126"/>
      <c r="I965" s="127"/>
      <c r="J965" s="118">
        <f>IF(ISERROR(VLOOKUP(H965,#REF!,9,0)),0,VLOOKUP(H965,#REF!,9,0)*I965)/3600</f>
        <v>0</v>
      </c>
    </row>
    <row r="966" spans="2:10" x14ac:dyDescent="0.3">
      <c r="B966" s="121">
        <f t="shared" ref="B966:B1029" si="31">IF(D966&gt;0,YEAR(D966),0)</f>
        <v>0</v>
      </c>
      <c r="C966" s="122">
        <f t="shared" ref="C966:C1029" si="32">IF(D966&gt;0,MONTH(D966),0)</f>
        <v>0</v>
      </c>
      <c r="D966" s="123"/>
      <c r="E966" s="124"/>
      <c r="F966" s="125"/>
      <c r="G966" s="125"/>
      <c r="H966" s="126"/>
      <c r="I966" s="127"/>
      <c r="J966" s="118">
        <f>IF(ISERROR(VLOOKUP(H966,#REF!,9,0)),0,VLOOKUP(H966,#REF!,9,0)*I966)/3600</f>
        <v>0</v>
      </c>
    </row>
    <row r="967" spans="2:10" x14ac:dyDescent="0.3">
      <c r="B967" s="121">
        <f t="shared" si="31"/>
        <v>0</v>
      </c>
      <c r="C967" s="122">
        <f t="shared" si="32"/>
        <v>0</v>
      </c>
      <c r="D967" s="123"/>
      <c r="E967" s="125"/>
      <c r="F967" s="125"/>
      <c r="G967" s="125"/>
      <c r="H967" s="126"/>
      <c r="I967" s="127"/>
      <c r="J967" s="118">
        <f>IF(ISERROR(VLOOKUP(H967,#REF!,9,0)),0,VLOOKUP(H967,#REF!,9,0)*I967)/3600</f>
        <v>0</v>
      </c>
    </row>
    <row r="968" spans="2:10" x14ac:dyDescent="0.3">
      <c r="B968" s="121">
        <f t="shared" si="31"/>
        <v>0</v>
      </c>
      <c r="C968" s="122">
        <f t="shared" si="32"/>
        <v>0</v>
      </c>
      <c r="D968" s="123"/>
      <c r="E968" s="124"/>
      <c r="F968" s="125"/>
      <c r="G968" s="125"/>
      <c r="H968" s="126"/>
      <c r="I968" s="127"/>
      <c r="J968" s="118">
        <f>IF(ISERROR(VLOOKUP(H968,#REF!,9,0)),0,VLOOKUP(H968,#REF!,9,0)*I968)/3600</f>
        <v>0</v>
      </c>
    </row>
    <row r="969" spans="2:10" x14ac:dyDescent="0.3">
      <c r="B969" s="121">
        <f t="shared" si="31"/>
        <v>0</v>
      </c>
      <c r="C969" s="122">
        <f t="shared" si="32"/>
        <v>0</v>
      </c>
      <c r="D969" s="123"/>
      <c r="E969" s="125"/>
      <c r="F969" s="125"/>
      <c r="G969" s="125"/>
      <c r="H969" s="126"/>
      <c r="I969" s="127"/>
      <c r="J969" s="118">
        <f>IF(ISERROR(VLOOKUP(H969,#REF!,9,0)),0,VLOOKUP(H969,#REF!,9,0)*I969)/3600</f>
        <v>0</v>
      </c>
    </row>
    <row r="970" spans="2:10" x14ac:dyDescent="0.3">
      <c r="B970" s="121">
        <f t="shared" si="31"/>
        <v>0</v>
      </c>
      <c r="C970" s="122">
        <f t="shared" si="32"/>
        <v>0</v>
      </c>
      <c r="D970" s="123"/>
      <c r="E970" s="124"/>
      <c r="F970" s="125"/>
      <c r="G970" s="125"/>
      <c r="H970" s="126"/>
      <c r="I970" s="127"/>
      <c r="J970" s="118">
        <f>IF(ISERROR(VLOOKUP(H970,#REF!,9,0)),0,VLOOKUP(H970,#REF!,9,0)*I970)/3600</f>
        <v>0</v>
      </c>
    </row>
    <row r="971" spans="2:10" x14ac:dyDescent="0.3">
      <c r="B971" s="121">
        <f t="shared" si="31"/>
        <v>0</v>
      </c>
      <c r="C971" s="122">
        <f t="shared" si="32"/>
        <v>0</v>
      </c>
      <c r="D971" s="123"/>
      <c r="E971" s="125"/>
      <c r="F971" s="125"/>
      <c r="G971" s="125"/>
      <c r="H971" s="126"/>
      <c r="I971" s="127"/>
      <c r="J971" s="118">
        <f>IF(ISERROR(VLOOKUP(H971,#REF!,9,0)),0,VLOOKUP(H971,#REF!,9,0)*I971)/3600</f>
        <v>0</v>
      </c>
    </row>
    <row r="972" spans="2:10" x14ac:dyDescent="0.3">
      <c r="B972" s="121">
        <f t="shared" si="31"/>
        <v>0</v>
      </c>
      <c r="C972" s="122">
        <f t="shared" si="32"/>
        <v>0</v>
      </c>
      <c r="D972" s="123"/>
      <c r="E972" s="124"/>
      <c r="F972" s="125"/>
      <c r="G972" s="125"/>
      <c r="H972" s="126"/>
      <c r="I972" s="127"/>
      <c r="J972" s="118">
        <f>IF(ISERROR(VLOOKUP(H972,#REF!,9,0)),0,VLOOKUP(H972,#REF!,9,0)*I972)/3600</f>
        <v>0</v>
      </c>
    </row>
    <row r="973" spans="2:10" x14ac:dyDescent="0.3">
      <c r="B973" s="121">
        <f t="shared" si="31"/>
        <v>0</v>
      </c>
      <c r="C973" s="122">
        <f t="shared" si="32"/>
        <v>0</v>
      </c>
      <c r="D973" s="123"/>
      <c r="E973" s="125"/>
      <c r="F973" s="125"/>
      <c r="G973" s="125"/>
      <c r="H973" s="126"/>
      <c r="I973" s="127"/>
      <c r="J973" s="118">
        <f>IF(ISERROR(VLOOKUP(H973,#REF!,9,0)),0,VLOOKUP(H973,#REF!,9,0)*I973)/3600</f>
        <v>0</v>
      </c>
    </row>
    <row r="974" spans="2:10" x14ac:dyDescent="0.3">
      <c r="B974" s="121">
        <f t="shared" si="31"/>
        <v>0</v>
      </c>
      <c r="C974" s="122">
        <f t="shared" si="32"/>
        <v>0</v>
      </c>
      <c r="D974" s="123"/>
      <c r="E974" s="124"/>
      <c r="F974" s="125"/>
      <c r="G974" s="125"/>
      <c r="H974" s="126"/>
      <c r="I974" s="127"/>
      <c r="J974" s="118">
        <f>IF(ISERROR(VLOOKUP(H974,#REF!,9,0)),0,VLOOKUP(H974,#REF!,9,0)*I974)/3600</f>
        <v>0</v>
      </c>
    </row>
    <row r="975" spans="2:10" x14ac:dyDescent="0.3">
      <c r="B975" s="121">
        <f t="shared" si="31"/>
        <v>0</v>
      </c>
      <c r="C975" s="122">
        <f t="shared" si="32"/>
        <v>0</v>
      </c>
      <c r="D975" s="123"/>
      <c r="E975" s="125"/>
      <c r="F975" s="125"/>
      <c r="G975" s="125"/>
      <c r="H975" s="126"/>
      <c r="I975" s="127"/>
      <c r="J975" s="118">
        <f>IF(ISERROR(VLOOKUP(H975,#REF!,9,0)),0,VLOOKUP(H975,#REF!,9,0)*I975)/3600</f>
        <v>0</v>
      </c>
    </row>
    <row r="976" spans="2:10" x14ac:dyDescent="0.3">
      <c r="B976" s="121">
        <f t="shared" si="31"/>
        <v>0</v>
      </c>
      <c r="C976" s="122">
        <f t="shared" si="32"/>
        <v>0</v>
      </c>
      <c r="D976" s="123"/>
      <c r="E976" s="124"/>
      <c r="F976" s="125"/>
      <c r="G976" s="125"/>
      <c r="H976" s="126"/>
      <c r="I976" s="127"/>
      <c r="J976" s="118">
        <f>IF(ISERROR(VLOOKUP(H976,#REF!,9,0)),0,VLOOKUP(H976,#REF!,9,0)*I976)/3600</f>
        <v>0</v>
      </c>
    </row>
    <row r="977" spans="2:10" x14ac:dyDescent="0.3">
      <c r="B977" s="121">
        <f t="shared" si="31"/>
        <v>0</v>
      </c>
      <c r="C977" s="122">
        <f t="shared" si="32"/>
        <v>0</v>
      </c>
      <c r="D977" s="123"/>
      <c r="E977" s="125"/>
      <c r="F977" s="125"/>
      <c r="G977" s="125"/>
      <c r="H977" s="126"/>
      <c r="I977" s="127"/>
      <c r="J977" s="118">
        <f>IF(ISERROR(VLOOKUP(H977,#REF!,9,0)),0,VLOOKUP(H977,#REF!,9,0)*I977)/3600</f>
        <v>0</v>
      </c>
    </row>
    <row r="978" spans="2:10" x14ac:dyDescent="0.3">
      <c r="B978" s="121">
        <f t="shared" si="31"/>
        <v>0</v>
      </c>
      <c r="C978" s="122">
        <f t="shared" si="32"/>
        <v>0</v>
      </c>
      <c r="D978" s="123"/>
      <c r="E978" s="124"/>
      <c r="F978" s="125"/>
      <c r="G978" s="125"/>
      <c r="H978" s="126"/>
      <c r="I978" s="127"/>
      <c r="J978" s="118">
        <f>IF(ISERROR(VLOOKUP(H978,#REF!,9,0)),0,VLOOKUP(H978,#REF!,9,0)*I978)/3600</f>
        <v>0</v>
      </c>
    </row>
    <row r="979" spans="2:10" x14ac:dyDescent="0.3">
      <c r="B979" s="121">
        <f t="shared" si="31"/>
        <v>0</v>
      </c>
      <c r="C979" s="122">
        <f t="shared" si="32"/>
        <v>0</v>
      </c>
      <c r="D979" s="123"/>
      <c r="E979" s="125"/>
      <c r="F979" s="125"/>
      <c r="G979" s="125"/>
      <c r="H979" s="126"/>
      <c r="I979" s="127"/>
      <c r="J979" s="118">
        <f>IF(ISERROR(VLOOKUP(H979,#REF!,9,0)),0,VLOOKUP(H979,#REF!,9,0)*I979)/3600</f>
        <v>0</v>
      </c>
    </row>
    <row r="980" spans="2:10" x14ac:dyDescent="0.3">
      <c r="B980" s="121">
        <f t="shared" si="31"/>
        <v>0</v>
      </c>
      <c r="C980" s="122">
        <f t="shared" si="32"/>
        <v>0</v>
      </c>
      <c r="D980" s="123"/>
      <c r="E980" s="124"/>
      <c r="F980" s="125"/>
      <c r="G980" s="125"/>
      <c r="H980" s="126"/>
      <c r="I980" s="127"/>
      <c r="J980" s="118">
        <f>IF(ISERROR(VLOOKUP(H980,#REF!,9,0)),0,VLOOKUP(H980,#REF!,9,0)*I980)/3600</f>
        <v>0</v>
      </c>
    </row>
    <row r="981" spans="2:10" x14ac:dyDescent="0.3">
      <c r="B981" s="121">
        <f t="shared" si="31"/>
        <v>0</v>
      </c>
      <c r="C981" s="122">
        <f t="shared" si="32"/>
        <v>0</v>
      </c>
      <c r="D981" s="123"/>
      <c r="E981" s="125"/>
      <c r="F981" s="125"/>
      <c r="G981" s="125"/>
      <c r="H981" s="126"/>
      <c r="I981" s="127"/>
      <c r="J981" s="118">
        <f>IF(ISERROR(VLOOKUP(H981,#REF!,9,0)),0,VLOOKUP(H981,#REF!,9,0)*I981)/3600</f>
        <v>0</v>
      </c>
    </row>
    <row r="982" spans="2:10" x14ac:dyDescent="0.3">
      <c r="B982" s="121">
        <f t="shared" si="31"/>
        <v>0</v>
      </c>
      <c r="C982" s="122">
        <f t="shared" si="32"/>
        <v>0</v>
      </c>
      <c r="D982" s="123"/>
      <c r="E982" s="124"/>
      <c r="F982" s="125"/>
      <c r="G982" s="125"/>
      <c r="H982" s="126"/>
      <c r="I982" s="127"/>
      <c r="J982" s="118">
        <f>IF(ISERROR(VLOOKUP(H982,#REF!,9,0)),0,VLOOKUP(H982,#REF!,9,0)*I982)/3600</f>
        <v>0</v>
      </c>
    </row>
    <row r="983" spans="2:10" x14ac:dyDescent="0.3">
      <c r="B983" s="121">
        <f t="shared" si="31"/>
        <v>0</v>
      </c>
      <c r="C983" s="122">
        <f t="shared" si="32"/>
        <v>0</v>
      </c>
      <c r="D983" s="123"/>
      <c r="E983" s="125"/>
      <c r="F983" s="125"/>
      <c r="G983" s="125"/>
      <c r="H983" s="126"/>
      <c r="I983" s="127"/>
      <c r="J983" s="118">
        <f>IF(ISERROR(VLOOKUP(H983,#REF!,9,0)),0,VLOOKUP(H983,#REF!,9,0)*I983)/3600</f>
        <v>0</v>
      </c>
    </row>
    <row r="984" spans="2:10" x14ac:dyDescent="0.3">
      <c r="B984" s="121">
        <f t="shared" si="31"/>
        <v>0</v>
      </c>
      <c r="C984" s="122">
        <f t="shared" si="32"/>
        <v>0</v>
      </c>
      <c r="D984" s="123"/>
      <c r="E984" s="124"/>
      <c r="F984" s="125"/>
      <c r="G984" s="125"/>
      <c r="H984" s="126"/>
      <c r="I984" s="127"/>
      <c r="J984" s="118">
        <f>IF(ISERROR(VLOOKUP(H984,#REF!,9,0)),0,VLOOKUP(H984,#REF!,9,0)*I984)/3600</f>
        <v>0</v>
      </c>
    </row>
    <row r="985" spans="2:10" x14ac:dyDescent="0.3">
      <c r="B985" s="121">
        <f t="shared" si="31"/>
        <v>0</v>
      </c>
      <c r="C985" s="122">
        <f t="shared" si="32"/>
        <v>0</v>
      </c>
      <c r="D985" s="123"/>
      <c r="E985" s="125"/>
      <c r="F985" s="125"/>
      <c r="G985" s="125"/>
      <c r="H985" s="126"/>
      <c r="I985" s="127"/>
      <c r="J985" s="118">
        <f>IF(ISERROR(VLOOKUP(H985,#REF!,9,0)),0,VLOOKUP(H985,#REF!,9,0)*I985)/3600</f>
        <v>0</v>
      </c>
    </row>
    <row r="986" spans="2:10" x14ac:dyDescent="0.3">
      <c r="B986" s="121">
        <f t="shared" si="31"/>
        <v>0</v>
      </c>
      <c r="C986" s="122">
        <f t="shared" si="32"/>
        <v>0</v>
      </c>
      <c r="D986" s="123"/>
      <c r="E986" s="124"/>
      <c r="F986" s="125"/>
      <c r="G986" s="125"/>
      <c r="H986" s="126"/>
      <c r="I986" s="127"/>
      <c r="J986" s="118">
        <f>IF(ISERROR(VLOOKUP(H986,#REF!,9,0)),0,VLOOKUP(H986,#REF!,9,0)*I986)/3600</f>
        <v>0</v>
      </c>
    </row>
    <row r="987" spans="2:10" x14ac:dyDescent="0.3">
      <c r="B987" s="121">
        <f t="shared" si="31"/>
        <v>0</v>
      </c>
      <c r="C987" s="122">
        <f t="shared" si="32"/>
        <v>0</v>
      </c>
      <c r="D987" s="123"/>
      <c r="E987" s="125"/>
      <c r="F987" s="125"/>
      <c r="G987" s="125"/>
      <c r="H987" s="126"/>
      <c r="I987" s="127"/>
      <c r="J987" s="118">
        <f>IF(ISERROR(VLOOKUP(H987,#REF!,9,0)),0,VLOOKUP(H987,#REF!,9,0)*I987)/3600</f>
        <v>0</v>
      </c>
    </row>
    <row r="988" spans="2:10" x14ac:dyDescent="0.3">
      <c r="B988" s="121">
        <f t="shared" si="31"/>
        <v>0</v>
      </c>
      <c r="C988" s="122">
        <f t="shared" si="32"/>
        <v>0</v>
      </c>
      <c r="D988" s="123"/>
      <c r="E988" s="124"/>
      <c r="F988" s="125"/>
      <c r="G988" s="125"/>
      <c r="H988" s="126"/>
      <c r="I988" s="127"/>
      <c r="J988" s="118">
        <f>IF(ISERROR(VLOOKUP(H988,#REF!,9,0)),0,VLOOKUP(H988,#REF!,9,0)*I988)/3600</f>
        <v>0</v>
      </c>
    </row>
    <row r="989" spans="2:10" x14ac:dyDescent="0.3">
      <c r="B989" s="121">
        <f t="shared" si="31"/>
        <v>0</v>
      </c>
      <c r="C989" s="122">
        <f t="shared" si="32"/>
        <v>0</v>
      </c>
      <c r="D989" s="123"/>
      <c r="E989" s="125"/>
      <c r="F989" s="125"/>
      <c r="G989" s="125"/>
      <c r="H989" s="126"/>
      <c r="I989" s="127"/>
      <c r="J989" s="118">
        <f>IF(ISERROR(VLOOKUP(H989,#REF!,9,0)),0,VLOOKUP(H989,#REF!,9,0)*I989)/3600</f>
        <v>0</v>
      </c>
    </row>
    <row r="990" spans="2:10" x14ac:dyDescent="0.3">
      <c r="B990" s="121">
        <f t="shared" si="31"/>
        <v>0</v>
      </c>
      <c r="C990" s="122">
        <f t="shared" si="32"/>
        <v>0</v>
      </c>
      <c r="D990" s="123"/>
      <c r="E990" s="124"/>
      <c r="F990" s="125"/>
      <c r="G990" s="125"/>
      <c r="H990" s="126"/>
      <c r="I990" s="127"/>
      <c r="J990" s="118">
        <f>IF(ISERROR(VLOOKUP(H990,#REF!,9,0)),0,VLOOKUP(H990,#REF!,9,0)*I990)/3600</f>
        <v>0</v>
      </c>
    </row>
    <row r="991" spans="2:10" x14ac:dyDescent="0.3">
      <c r="B991" s="121">
        <f t="shared" si="31"/>
        <v>0</v>
      </c>
      <c r="C991" s="122">
        <f t="shared" si="32"/>
        <v>0</v>
      </c>
      <c r="D991" s="123"/>
      <c r="E991" s="125"/>
      <c r="F991" s="125"/>
      <c r="G991" s="125"/>
      <c r="H991" s="126"/>
      <c r="I991" s="127"/>
      <c r="J991" s="118">
        <f>IF(ISERROR(VLOOKUP(H991,#REF!,9,0)),0,VLOOKUP(H991,#REF!,9,0)*I991)/3600</f>
        <v>0</v>
      </c>
    </row>
    <row r="992" spans="2:10" x14ac:dyDescent="0.3">
      <c r="B992" s="121">
        <f t="shared" si="31"/>
        <v>0</v>
      </c>
      <c r="C992" s="122">
        <f t="shared" si="32"/>
        <v>0</v>
      </c>
      <c r="D992" s="123"/>
      <c r="E992" s="124"/>
      <c r="F992" s="125"/>
      <c r="G992" s="125"/>
      <c r="H992" s="126"/>
      <c r="I992" s="127"/>
      <c r="J992" s="118">
        <f>IF(ISERROR(VLOOKUP(H992,#REF!,9,0)),0,VLOOKUP(H992,#REF!,9,0)*I992)/3600</f>
        <v>0</v>
      </c>
    </row>
    <row r="993" spans="2:10" x14ac:dyDescent="0.3">
      <c r="B993" s="121">
        <f t="shared" si="31"/>
        <v>0</v>
      </c>
      <c r="C993" s="122">
        <f t="shared" si="32"/>
        <v>0</v>
      </c>
      <c r="D993" s="123"/>
      <c r="E993" s="125"/>
      <c r="F993" s="125"/>
      <c r="G993" s="125"/>
      <c r="H993" s="126"/>
      <c r="I993" s="127"/>
      <c r="J993" s="118">
        <f>IF(ISERROR(VLOOKUP(H993,#REF!,9,0)),0,VLOOKUP(H993,#REF!,9,0)*I993)/3600</f>
        <v>0</v>
      </c>
    </row>
    <row r="994" spans="2:10" x14ac:dyDescent="0.3">
      <c r="B994" s="121">
        <f t="shared" si="31"/>
        <v>0</v>
      </c>
      <c r="C994" s="122">
        <f t="shared" si="32"/>
        <v>0</v>
      </c>
      <c r="D994" s="123"/>
      <c r="E994" s="124"/>
      <c r="F994" s="125"/>
      <c r="G994" s="125"/>
      <c r="H994" s="126"/>
      <c r="I994" s="127"/>
      <c r="J994" s="118">
        <f>IF(ISERROR(VLOOKUP(H994,#REF!,9,0)),0,VLOOKUP(H994,#REF!,9,0)*I994)/3600</f>
        <v>0</v>
      </c>
    </row>
    <row r="995" spans="2:10" x14ac:dyDescent="0.3">
      <c r="B995" s="121">
        <f t="shared" si="31"/>
        <v>0</v>
      </c>
      <c r="C995" s="122">
        <f t="shared" si="32"/>
        <v>0</v>
      </c>
      <c r="D995" s="123"/>
      <c r="E995" s="125"/>
      <c r="F995" s="125"/>
      <c r="G995" s="125"/>
      <c r="H995" s="126"/>
      <c r="I995" s="127"/>
      <c r="J995" s="118">
        <f>IF(ISERROR(VLOOKUP(H995,#REF!,9,0)),0,VLOOKUP(H995,#REF!,9,0)*I995)/3600</f>
        <v>0</v>
      </c>
    </row>
    <row r="996" spans="2:10" x14ac:dyDescent="0.3">
      <c r="B996" s="121">
        <f t="shared" si="31"/>
        <v>0</v>
      </c>
      <c r="C996" s="122">
        <f t="shared" si="32"/>
        <v>0</v>
      </c>
      <c r="D996" s="123"/>
      <c r="E996" s="124"/>
      <c r="F996" s="125"/>
      <c r="G996" s="125"/>
      <c r="H996" s="126"/>
      <c r="I996" s="127"/>
      <c r="J996" s="118">
        <f>IF(ISERROR(VLOOKUP(H996,#REF!,9,0)),0,VLOOKUP(H996,#REF!,9,0)*I996)/3600</f>
        <v>0</v>
      </c>
    </row>
    <row r="997" spans="2:10" x14ac:dyDescent="0.3">
      <c r="B997" s="121">
        <f t="shared" si="31"/>
        <v>0</v>
      </c>
      <c r="C997" s="122">
        <f t="shared" si="32"/>
        <v>0</v>
      </c>
      <c r="D997" s="123"/>
      <c r="E997" s="125"/>
      <c r="F997" s="125"/>
      <c r="G997" s="125"/>
      <c r="H997" s="126"/>
      <c r="I997" s="127"/>
      <c r="J997" s="118">
        <f>IF(ISERROR(VLOOKUP(H997,#REF!,9,0)),0,VLOOKUP(H997,#REF!,9,0)*I997)/3600</f>
        <v>0</v>
      </c>
    </row>
    <row r="998" spans="2:10" x14ac:dyDescent="0.3">
      <c r="B998" s="121">
        <f t="shared" si="31"/>
        <v>0</v>
      </c>
      <c r="C998" s="122">
        <f t="shared" si="32"/>
        <v>0</v>
      </c>
      <c r="D998" s="123"/>
      <c r="E998" s="124"/>
      <c r="F998" s="125"/>
      <c r="G998" s="125"/>
      <c r="H998" s="126"/>
      <c r="I998" s="127"/>
      <c r="J998" s="118">
        <f>IF(ISERROR(VLOOKUP(H998,#REF!,9,0)),0,VLOOKUP(H998,#REF!,9,0)*I998)/3600</f>
        <v>0</v>
      </c>
    </row>
    <row r="999" spans="2:10" x14ac:dyDescent="0.3">
      <c r="B999" s="121">
        <f t="shared" si="31"/>
        <v>0</v>
      </c>
      <c r="C999" s="122">
        <f t="shared" si="32"/>
        <v>0</v>
      </c>
      <c r="D999" s="123"/>
      <c r="E999" s="125"/>
      <c r="F999" s="125"/>
      <c r="G999" s="125"/>
      <c r="H999" s="126"/>
      <c r="I999" s="127"/>
      <c r="J999" s="118">
        <f>IF(ISERROR(VLOOKUP(H999,#REF!,9,0)),0,VLOOKUP(H999,#REF!,9,0)*I999)/3600</f>
        <v>0</v>
      </c>
    </row>
    <row r="1000" spans="2:10" x14ac:dyDescent="0.3">
      <c r="B1000" s="121">
        <f t="shared" si="31"/>
        <v>0</v>
      </c>
      <c r="C1000" s="122">
        <f t="shared" si="32"/>
        <v>0</v>
      </c>
      <c r="D1000" s="123"/>
      <c r="E1000" s="124"/>
      <c r="F1000" s="125"/>
      <c r="G1000" s="125"/>
      <c r="H1000" s="126"/>
      <c r="I1000" s="127"/>
      <c r="J1000" s="118">
        <f>IF(ISERROR(VLOOKUP(H1000,#REF!,9,0)),0,VLOOKUP(H1000,#REF!,9,0)*I1000)/3600</f>
        <v>0</v>
      </c>
    </row>
    <row r="1001" spans="2:10" x14ac:dyDescent="0.3">
      <c r="B1001" s="121">
        <f t="shared" si="31"/>
        <v>0</v>
      </c>
      <c r="C1001" s="122">
        <f t="shared" si="32"/>
        <v>0</v>
      </c>
      <c r="D1001" s="123"/>
      <c r="E1001" s="125"/>
      <c r="F1001" s="125"/>
      <c r="G1001" s="125"/>
      <c r="H1001" s="126"/>
      <c r="I1001" s="127"/>
      <c r="J1001" s="118">
        <f>IF(ISERROR(VLOOKUP(H1001,#REF!,9,0)),0,VLOOKUP(H1001,#REF!,9,0)*I1001)/3600</f>
        <v>0</v>
      </c>
    </row>
    <row r="1002" spans="2:10" x14ac:dyDescent="0.3">
      <c r="B1002" s="121">
        <f t="shared" si="31"/>
        <v>0</v>
      </c>
      <c r="C1002" s="122">
        <f t="shared" si="32"/>
        <v>0</v>
      </c>
      <c r="D1002" s="123"/>
      <c r="E1002" s="124"/>
      <c r="F1002" s="125"/>
      <c r="G1002" s="125"/>
      <c r="H1002" s="126"/>
      <c r="I1002" s="127"/>
      <c r="J1002" s="118">
        <f>IF(ISERROR(VLOOKUP(H1002,#REF!,9,0)),0,VLOOKUP(H1002,#REF!,9,0)*I1002)/3600</f>
        <v>0</v>
      </c>
    </row>
    <row r="1003" spans="2:10" x14ac:dyDescent="0.3">
      <c r="B1003" s="121">
        <f t="shared" si="31"/>
        <v>0</v>
      </c>
      <c r="C1003" s="122">
        <f t="shared" si="32"/>
        <v>0</v>
      </c>
      <c r="D1003" s="123"/>
      <c r="E1003" s="125"/>
      <c r="F1003" s="125"/>
      <c r="G1003" s="125"/>
      <c r="H1003" s="126"/>
      <c r="I1003" s="127"/>
      <c r="J1003" s="118">
        <f>IF(ISERROR(VLOOKUP(H1003,#REF!,9,0)),0,VLOOKUP(H1003,#REF!,9,0)*I1003)/3600</f>
        <v>0</v>
      </c>
    </row>
    <row r="1004" spans="2:10" x14ac:dyDescent="0.3">
      <c r="B1004" s="121">
        <f t="shared" si="31"/>
        <v>0</v>
      </c>
      <c r="C1004" s="122">
        <f t="shared" si="32"/>
        <v>0</v>
      </c>
      <c r="D1004" s="123"/>
      <c r="E1004" s="124"/>
      <c r="F1004" s="125"/>
      <c r="G1004" s="125"/>
      <c r="H1004" s="126"/>
      <c r="I1004" s="127"/>
      <c r="J1004" s="118">
        <f>IF(ISERROR(VLOOKUP(H1004,#REF!,9,0)),0,VLOOKUP(H1004,#REF!,9,0)*I1004)/3600</f>
        <v>0</v>
      </c>
    </row>
    <row r="1005" spans="2:10" x14ac:dyDescent="0.3">
      <c r="B1005" s="121">
        <f t="shared" si="31"/>
        <v>0</v>
      </c>
      <c r="C1005" s="122">
        <f t="shared" si="32"/>
        <v>0</v>
      </c>
      <c r="D1005" s="123"/>
      <c r="E1005" s="125"/>
      <c r="F1005" s="125"/>
      <c r="G1005" s="125"/>
      <c r="H1005" s="126"/>
      <c r="I1005" s="127"/>
      <c r="J1005" s="118">
        <f>IF(ISERROR(VLOOKUP(H1005,#REF!,9,0)),0,VLOOKUP(H1005,#REF!,9,0)*I1005)/3600</f>
        <v>0</v>
      </c>
    </row>
    <row r="1006" spans="2:10" x14ac:dyDescent="0.3">
      <c r="B1006" s="121">
        <f t="shared" si="31"/>
        <v>0</v>
      </c>
      <c r="C1006" s="122">
        <f t="shared" si="32"/>
        <v>0</v>
      </c>
      <c r="D1006" s="123"/>
      <c r="E1006" s="124"/>
      <c r="F1006" s="125"/>
      <c r="G1006" s="125"/>
      <c r="H1006" s="126"/>
      <c r="I1006" s="127"/>
      <c r="J1006" s="118">
        <f>IF(ISERROR(VLOOKUP(H1006,#REF!,9,0)),0,VLOOKUP(H1006,#REF!,9,0)*I1006)/3600</f>
        <v>0</v>
      </c>
    </row>
    <row r="1007" spans="2:10" x14ac:dyDescent="0.3">
      <c r="B1007" s="121">
        <f t="shared" si="31"/>
        <v>0</v>
      </c>
      <c r="C1007" s="122">
        <f t="shared" si="32"/>
        <v>0</v>
      </c>
      <c r="D1007" s="123"/>
      <c r="E1007" s="125"/>
      <c r="F1007" s="125"/>
      <c r="G1007" s="125"/>
      <c r="H1007" s="126"/>
      <c r="I1007" s="127"/>
      <c r="J1007" s="118">
        <f>IF(ISERROR(VLOOKUP(H1007,#REF!,9,0)),0,VLOOKUP(H1007,#REF!,9,0)*I1007)/3600</f>
        <v>0</v>
      </c>
    </row>
    <row r="1008" spans="2:10" x14ac:dyDescent="0.3">
      <c r="B1008" s="121">
        <f t="shared" si="31"/>
        <v>0</v>
      </c>
      <c r="C1008" s="122">
        <f t="shared" si="32"/>
        <v>0</v>
      </c>
      <c r="D1008" s="123"/>
      <c r="E1008" s="124"/>
      <c r="F1008" s="125"/>
      <c r="G1008" s="125"/>
      <c r="H1008" s="126"/>
      <c r="I1008" s="127"/>
      <c r="J1008" s="118">
        <f>IF(ISERROR(VLOOKUP(H1008,#REF!,9,0)),0,VLOOKUP(H1008,#REF!,9,0)*I1008)/3600</f>
        <v>0</v>
      </c>
    </row>
    <row r="1009" spans="2:10" x14ac:dyDescent="0.3">
      <c r="B1009" s="121">
        <f t="shared" si="31"/>
        <v>0</v>
      </c>
      <c r="C1009" s="122">
        <f t="shared" si="32"/>
        <v>0</v>
      </c>
      <c r="D1009" s="123"/>
      <c r="E1009" s="125"/>
      <c r="F1009" s="125"/>
      <c r="G1009" s="125"/>
      <c r="H1009" s="126"/>
      <c r="I1009" s="127"/>
      <c r="J1009" s="118">
        <f>IF(ISERROR(VLOOKUP(H1009,#REF!,9,0)),0,VLOOKUP(H1009,#REF!,9,0)*I1009)/3600</f>
        <v>0</v>
      </c>
    </row>
    <row r="1010" spans="2:10" x14ac:dyDescent="0.3">
      <c r="B1010" s="121">
        <f t="shared" si="31"/>
        <v>0</v>
      </c>
      <c r="C1010" s="122">
        <f t="shared" si="32"/>
        <v>0</v>
      </c>
      <c r="D1010" s="123"/>
      <c r="E1010" s="124"/>
      <c r="F1010" s="125"/>
      <c r="G1010" s="125"/>
      <c r="H1010" s="126"/>
      <c r="I1010" s="127"/>
      <c r="J1010" s="118">
        <f>IF(ISERROR(VLOOKUP(H1010,#REF!,9,0)),0,VLOOKUP(H1010,#REF!,9,0)*I1010)/3600</f>
        <v>0</v>
      </c>
    </row>
    <row r="1011" spans="2:10" x14ac:dyDescent="0.3">
      <c r="B1011" s="121">
        <f t="shared" si="31"/>
        <v>0</v>
      </c>
      <c r="C1011" s="122">
        <f t="shared" si="32"/>
        <v>0</v>
      </c>
      <c r="D1011" s="123"/>
      <c r="E1011" s="125"/>
      <c r="F1011" s="125"/>
      <c r="G1011" s="125"/>
      <c r="H1011" s="126"/>
      <c r="I1011" s="127"/>
      <c r="J1011" s="118">
        <f>IF(ISERROR(VLOOKUP(H1011,#REF!,9,0)),0,VLOOKUP(H1011,#REF!,9,0)*I1011)/3600</f>
        <v>0</v>
      </c>
    </row>
    <row r="1012" spans="2:10" x14ac:dyDescent="0.3">
      <c r="B1012" s="121">
        <f t="shared" si="31"/>
        <v>0</v>
      </c>
      <c r="C1012" s="122">
        <f t="shared" si="32"/>
        <v>0</v>
      </c>
      <c r="D1012" s="123"/>
      <c r="E1012" s="124"/>
      <c r="F1012" s="125"/>
      <c r="G1012" s="125"/>
      <c r="H1012" s="126"/>
      <c r="I1012" s="127"/>
      <c r="J1012" s="118">
        <f>IF(ISERROR(VLOOKUP(H1012,#REF!,9,0)),0,VLOOKUP(H1012,#REF!,9,0)*I1012)/3600</f>
        <v>0</v>
      </c>
    </row>
    <row r="1013" spans="2:10" x14ac:dyDescent="0.3">
      <c r="B1013" s="121">
        <f t="shared" si="31"/>
        <v>0</v>
      </c>
      <c r="C1013" s="122">
        <f t="shared" si="32"/>
        <v>0</v>
      </c>
      <c r="D1013" s="123"/>
      <c r="E1013" s="125"/>
      <c r="F1013" s="125"/>
      <c r="G1013" s="125"/>
      <c r="H1013" s="126"/>
      <c r="I1013" s="127"/>
      <c r="J1013" s="118">
        <f>IF(ISERROR(VLOOKUP(H1013,#REF!,9,0)),0,VLOOKUP(H1013,#REF!,9,0)*I1013)/3600</f>
        <v>0</v>
      </c>
    </row>
    <row r="1014" spans="2:10" x14ac:dyDescent="0.3">
      <c r="B1014" s="121">
        <f t="shared" si="31"/>
        <v>0</v>
      </c>
      <c r="C1014" s="122">
        <f t="shared" si="32"/>
        <v>0</v>
      </c>
      <c r="D1014" s="123"/>
      <c r="E1014" s="124"/>
      <c r="F1014" s="125"/>
      <c r="G1014" s="125"/>
      <c r="H1014" s="126"/>
      <c r="I1014" s="127"/>
      <c r="J1014" s="118">
        <f>IF(ISERROR(VLOOKUP(H1014,#REF!,9,0)),0,VLOOKUP(H1014,#REF!,9,0)*I1014)/3600</f>
        <v>0</v>
      </c>
    </row>
    <row r="1015" spans="2:10" x14ac:dyDescent="0.3">
      <c r="B1015" s="121">
        <f t="shared" si="31"/>
        <v>0</v>
      </c>
      <c r="C1015" s="122">
        <f t="shared" si="32"/>
        <v>0</v>
      </c>
      <c r="D1015" s="123"/>
      <c r="E1015" s="125"/>
      <c r="F1015" s="125"/>
      <c r="G1015" s="125"/>
      <c r="H1015" s="126"/>
      <c r="I1015" s="127"/>
      <c r="J1015" s="118">
        <f>IF(ISERROR(VLOOKUP(H1015,#REF!,9,0)),0,VLOOKUP(H1015,#REF!,9,0)*I1015)/3600</f>
        <v>0</v>
      </c>
    </row>
    <row r="1016" spans="2:10" x14ac:dyDescent="0.3">
      <c r="B1016" s="121">
        <f t="shared" si="31"/>
        <v>0</v>
      </c>
      <c r="C1016" s="122">
        <f t="shared" si="32"/>
        <v>0</v>
      </c>
      <c r="D1016" s="123"/>
      <c r="E1016" s="124"/>
      <c r="F1016" s="125"/>
      <c r="G1016" s="125"/>
      <c r="H1016" s="126"/>
      <c r="I1016" s="127"/>
      <c r="J1016" s="118">
        <f>IF(ISERROR(VLOOKUP(H1016,#REF!,9,0)),0,VLOOKUP(H1016,#REF!,9,0)*I1016)/3600</f>
        <v>0</v>
      </c>
    </row>
    <row r="1017" spans="2:10" x14ac:dyDescent="0.3">
      <c r="B1017" s="121">
        <f t="shared" si="31"/>
        <v>0</v>
      </c>
      <c r="C1017" s="122">
        <f t="shared" si="32"/>
        <v>0</v>
      </c>
      <c r="D1017" s="123"/>
      <c r="E1017" s="125"/>
      <c r="F1017" s="125"/>
      <c r="G1017" s="125"/>
      <c r="H1017" s="126"/>
      <c r="I1017" s="127"/>
      <c r="J1017" s="118">
        <f>IF(ISERROR(VLOOKUP(H1017,#REF!,9,0)),0,VLOOKUP(H1017,#REF!,9,0)*I1017)/3600</f>
        <v>0</v>
      </c>
    </row>
    <row r="1018" spans="2:10" x14ac:dyDescent="0.3">
      <c r="B1018" s="121">
        <f t="shared" si="31"/>
        <v>0</v>
      </c>
      <c r="C1018" s="122">
        <f t="shared" si="32"/>
        <v>0</v>
      </c>
      <c r="D1018" s="123"/>
      <c r="E1018" s="124"/>
      <c r="F1018" s="125"/>
      <c r="G1018" s="125"/>
      <c r="H1018" s="126"/>
      <c r="I1018" s="127"/>
      <c r="J1018" s="118">
        <f>IF(ISERROR(VLOOKUP(H1018,#REF!,9,0)),0,VLOOKUP(H1018,#REF!,9,0)*I1018)/3600</f>
        <v>0</v>
      </c>
    </row>
    <row r="1019" spans="2:10" x14ac:dyDescent="0.3">
      <c r="B1019" s="121">
        <f t="shared" si="31"/>
        <v>0</v>
      </c>
      <c r="C1019" s="122">
        <f t="shared" si="32"/>
        <v>0</v>
      </c>
      <c r="D1019" s="123"/>
      <c r="E1019" s="125"/>
      <c r="F1019" s="125"/>
      <c r="G1019" s="125"/>
      <c r="H1019" s="126"/>
      <c r="I1019" s="127"/>
      <c r="J1019" s="118">
        <f>IF(ISERROR(VLOOKUP(H1019,#REF!,9,0)),0,VLOOKUP(H1019,#REF!,9,0)*I1019)/3600</f>
        <v>0</v>
      </c>
    </row>
    <row r="1020" spans="2:10" x14ac:dyDescent="0.3">
      <c r="B1020" s="121">
        <f t="shared" si="31"/>
        <v>0</v>
      </c>
      <c r="C1020" s="122">
        <f t="shared" si="32"/>
        <v>0</v>
      </c>
      <c r="D1020" s="123"/>
      <c r="E1020" s="124"/>
      <c r="F1020" s="125"/>
      <c r="G1020" s="125"/>
      <c r="H1020" s="126"/>
      <c r="I1020" s="127"/>
      <c r="J1020" s="118">
        <f>IF(ISERROR(VLOOKUP(H1020,#REF!,9,0)),0,VLOOKUP(H1020,#REF!,9,0)*I1020)/3600</f>
        <v>0</v>
      </c>
    </row>
    <row r="1021" spans="2:10" x14ac:dyDescent="0.3">
      <c r="B1021" s="121">
        <f t="shared" si="31"/>
        <v>0</v>
      </c>
      <c r="C1021" s="122">
        <f t="shared" si="32"/>
        <v>0</v>
      </c>
      <c r="D1021" s="123"/>
      <c r="E1021" s="125"/>
      <c r="F1021" s="125"/>
      <c r="G1021" s="125"/>
      <c r="H1021" s="126"/>
      <c r="I1021" s="127"/>
      <c r="J1021" s="118">
        <f>IF(ISERROR(VLOOKUP(H1021,#REF!,9,0)),0,VLOOKUP(H1021,#REF!,9,0)*I1021)/3600</f>
        <v>0</v>
      </c>
    </row>
    <row r="1022" spans="2:10" x14ac:dyDescent="0.3">
      <c r="B1022" s="121">
        <f t="shared" si="31"/>
        <v>0</v>
      </c>
      <c r="C1022" s="122">
        <f t="shared" si="32"/>
        <v>0</v>
      </c>
      <c r="D1022" s="123"/>
      <c r="E1022" s="124"/>
      <c r="F1022" s="125"/>
      <c r="G1022" s="125"/>
      <c r="H1022" s="126"/>
      <c r="I1022" s="127"/>
      <c r="J1022" s="118">
        <f>IF(ISERROR(VLOOKUP(H1022,#REF!,9,0)),0,VLOOKUP(H1022,#REF!,9,0)*I1022)/3600</f>
        <v>0</v>
      </c>
    </row>
    <row r="1023" spans="2:10" x14ac:dyDescent="0.3">
      <c r="B1023" s="121">
        <f t="shared" si="31"/>
        <v>0</v>
      </c>
      <c r="C1023" s="122">
        <f t="shared" si="32"/>
        <v>0</v>
      </c>
      <c r="D1023" s="123"/>
      <c r="E1023" s="125"/>
      <c r="F1023" s="125"/>
      <c r="G1023" s="125"/>
      <c r="H1023" s="126"/>
      <c r="I1023" s="127"/>
      <c r="J1023" s="118">
        <f>IF(ISERROR(VLOOKUP(H1023,#REF!,9,0)),0,VLOOKUP(H1023,#REF!,9,0)*I1023)/3600</f>
        <v>0</v>
      </c>
    </row>
    <row r="1024" spans="2:10" x14ac:dyDescent="0.3">
      <c r="B1024" s="121">
        <f t="shared" si="31"/>
        <v>0</v>
      </c>
      <c r="C1024" s="122">
        <f t="shared" si="32"/>
        <v>0</v>
      </c>
      <c r="D1024" s="123"/>
      <c r="E1024" s="124"/>
      <c r="F1024" s="125"/>
      <c r="G1024" s="125"/>
      <c r="H1024" s="126"/>
      <c r="I1024" s="127"/>
      <c r="J1024" s="118">
        <f>IF(ISERROR(VLOOKUP(H1024,#REF!,9,0)),0,VLOOKUP(H1024,#REF!,9,0)*I1024)/3600</f>
        <v>0</v>
      </c>
    </row>
    <row r="1025" spans="2:10" x14ac:dyDescent="0.3">
      <c r="B1025" s="121">
        <f t="shared" si="31"/>
        <v>0</v>
      </c>
      <c r="C1025" s="122">
        <f t="shared" si="32"/>
        <v>0</v>
      </c>
      <c r="D1025" s="123"/>
      <c r="E1025" s="125"/>
      <c r="F1025" s="125"/>
      <c r="G1025" s="125"/>
      <c r="H1025" s="126"/>
      <c r="I1025" s="127"/>
      <c r="J1025" s="118">
        <f>IF(ISERROR(VLOOKUP(H1025,#REF!,9,0)),0,VLOOKUP(H1025,#REF!,9,0)*I1025)/3600</f>
        <v>0</v>
      </c>
    </row>
    <row r="1026" spans="2:10" x14ac:dyDescent="0.3">
      <c r="B1026" s="121">
        <f t="shared" si="31"/>
        <v>0</v>
      </c>
      <c r="C1026" s="122">
        <f t="shared" si="32"/>
        <v>0</v>
      </c>
      <c r="D1026" s="123"/>
      <c r="E1026" s="124"/>
      <c r="F1026" s="125"/>
      <c r="G1026" s="125"/>
      <c r="H1026" s="126"/>
      <c r="I1026" s="127"/>
      <c r="J1026" s="118">
        <f>IF(ISERROR(VLOOKUP(H1026,#REF!,9,0)),0,VLOOKUP(H1026,#REF!,9,0)*I1026)/3600</f>
        <v>0</v>
      </c>
    </row>
    <row r="1027" spans="2:10" x14ac:dyDescent="0.3">
      <c r="B1027" s="121">
        <f t="shared" si="31"/>
        <v>0</v>
      </c>
      <c r="C1027" s="122">
        <f t="shared" si="32"/>
        <v>0</v>
      </c>
      <c r="D1027" s="123"/>
      <c r="E1027" s="125"/>
      <c r="F1027" s="125"/>
      <c r="G1027" s="125"/>
      <c r="H1027" s="126"/>
      <c r="I1027" s="127"/>
      <c r="J1027" s="118">
        <f>IF(ISERROR(VLOOKUP(H1027,#REF!,9,0)),0,VLOOKUP(H1027,#REF!,9,0)*I1027)/3600</f>
        <v>0</v>
      </c>
    </row>
    <row r="1028" spans="2:10" x14ac:dyDescent="0.3">
      <c r="B1028" s="121">
        <f t="shared" si="31"/>
        <v>0</v>
      </c>
      <c r="C1028" s="122">
        <f t="shared" si="32"/>
        <v>0</v>
      </c>
      <c r="D1028" s="123"/>
      <c r="E1028" s="124"/>
      <c r="F1028" s="125"/>
      <c r="G1028" s="125"/>
      <c r="H1028" s="126"/>
      <c r="I1028" s="127"/>
      <c r="J1028" s="118">
        <f>IF(ISERROR(VLOOKUP(H1028,#REF!,9,0)),0,VLOOKUP(H1028,#REF!,9,0)*I1028)/3600</f>
        <v>0</v>
      </c>
    </row>
    <row r="1029" spans="2:10" x14ac:dyDescent="0.3">
      <c r="B1029" s="121">
        <f t="shared" si="31"/>
        <v>0</v>
      </c>
      <c r="C1029" s="122">
        <f t="shared" si="32"/>
        <v>0</v>
      </c>
      <c r="D1029" s="123"/>
      <c r="E1029" s="125"/>
      <c r="F1029" s="125"/>
      <c r="G1029" s="125"/>
      <c r="H1029" s="126"/>
      <c r="I1029" s="127"/>
      <c r="J1029" s="118">
        <f>IF(ISERROR(VLOOKUP(H1029,#REF!,9,0)),0,VLOOKUP(H1029,#REF!,9,0)*I1029)/3600</f>
        <v>0</v>
      </c>
    </row>
    <row r="1030" spans="2:10" x14ac:dyDescent="0.3">
      <c r="B1030" s="121">
        <f t="shared" ref="B1030:B1093" si="33">IF(D1030&gt;0,YEAR(D1030),0)</f>
        <v>0</v>
      </c>
      <c r="C1030" s="122">
        <f t="shared" ref="C1030:C1093" si="34">IF(D1030&gt;0,MONTH(D1030),0)</f>
        <v>0</v>
      </c>
      <c r="D1030" s="123"/>
      <c r="E1030" s="124"/>
      <c r="F1030" s="125"/>
      <c r="G1030" s="125"/>
      <c r="H1030" s="126"/>
      <c r="I1030" s="127"/>
      <c r="J1030" s="118">
        <f>IF(ISERROR(VLOOKUP(H1030,#REF!,9,0)),0,VLOOKUP(H1030,#REF!,9,0)*I1030)/3600</f>
        <v>0</v>
      </c>
    </row>
    <row r="1031" spans="2:10" x14ac:dyDescent="0.3">
      <c r="B1031" s="121">
        <f t="shared" si="33"/>
        <v>0</v>
      </c>
      <c r="C1031" s="122">
        <f t="shared" si="34"/>
        <v>0</v>
      </c>
      <c r="D1031" s="123"/>
      <c r="E1031" s="125"/>
      <c r="F1031" s="125"/>
      <c r="G1031" s="125"/>
      <c r="H1031" s="126"/>
      <c r="I1031" s="127"/>
      <c r="J1031" s="118">
        <f>IF(ISERROR(VLOOKUP(H1031,#REF!,9,0)),0,VLOOKUP(H1031,#REF!,9,0)*I1031)/3600</f>
        <v>0</v>
      </c>
    </row>
    <row r="1032" spans="2:10" x14ac:dyDescent="0.3">
      <c r="B1032" s="121">
        <f t="shared" si="33"/>
        <v>0</v>
      </c>
      <c r="C1032" s="122">
        <f t="shared" si="34"/>
        <v>0</v>
      </c>
      <c r="D1032" s="123"/>
      <c r="E1032" s="124"/>
      <c r="F1032" s="125"/>
      <c r="G1032" s="125"/>
      <c r="H1032" s="126"/>
      <c r="I1032" s="127"/>
      <c r="J1032" s="118">
        <f>IF(ISERROR(VLOOKUP(H1032,#REF!,9,0)),0,VLOOKUP(H1032,#REF!,9,0)*I1032)/3600</f>
        <v>0</v>
      </c>
    </row>
    <row r="1033" spans="2:10" x14ac:dyDescent="0.3">
      <c r="B1033" s="121">
        <f t="shared" si="33"/>
        <v>0</v>
      </c>
      <c r="C1033" s="122">
        <f t="shared" si="34"/>
        <v>0</v>
      </c>
      <c r="D1033" s="123"/>
      <c r="E1033" s="125"/>
      <c r="F1033" s="125"/>
      <c r="G1033" s="125"/>
      <c r="H1033" s="126"/>
      <c r="I1033" s="127"/>
      <c r="J1033" s="118">
        <f>IF(ISERROR(VLOOKUP(H1033,#REF!,9,0)),0,VLOOKUP(H1033,#REF!,9,0)*I1033)/3600</f>
        <v>0</v>
      </c>
    </row>
    <row r="1034" spans="2:10" x14ac:dyDescent="0.3">
      <c r="B1034" s="121">
        <f t="shared" si="33"/>
        <v>0</v>
      </c>
      <c r="C1034" s="122">
        <f t="shared" si="34"/>
        <v>0</v>
      </c>
      <c r="D1034" s="123"/>
      <c r="E1034" s="124"/>
      <c r="F1034" s="125"/>
      <c r="G1034" s="125"/>
      <c r="H1034" s="126"/>
      <c r="I1034" s="127"/>
      <c r="J1034" s="118">
        <f>IF(ISERROR(VLOOKUP(H1034,#REF!,9,0)),0,VLOOKUP(H1034,#REF!,9,0)*I1034)/3600</f>
        <v>0</v>
      </c>
    </row>
    <row r="1035" spans="2:10" x14ac:dyDescent="0.3">
      <c r="B1035" s="121">
        <f t="shared" si="33"/>
        <v>0</v>
      </c>
      <c r="C1035" s="122">
        <f t="shared" si="34"/>
        <v>0</v>
      </c>
      <c r="D1035" s="123"/>
      <c r="E1035" s="125"/>
      <c r="F1035" s="125"/>
      <c r="G1035" s="125"/>
      <c r="H1035" s="126"/>
      <c r="I1035" s="127"/>
      <c r="J1035" s="118">
        <f>IF(ISERROR(VLOOKUP(H1035,#REF!,9,0)),0,VLOOKUP(H1035,#REF!,9,0)*I1035)/3600</f>
        <v>0</v>
      </c>
    </row>
    <row r="1036" spans="2:10" x14ac:dyDescent="0.3">
      <c r="B1036" s="121">
        <f t="shared" si="33"/>
        <v>0</v>
      </c>
      <c r="C1036" s="122">
        <f t="shared" si="34"/>
        <v>0</v>
      </c>
      <c r="D1036" s="123"/>
      <c r="E1036" s="124"/>
      <c r="F1036" s="125"/>
      <c r="G1036" s="125"/>
      <c r="H1036" s="126"/>
      <c r="I1036" s="127"/>
      <c r="J1036" s="118">
        <f>IF(ISERROR(VLOOKUP(H1036,#REF!,9,0)),0,VLOOKUP(H1036,#REF!,9,0)*I1036)/3600</f>
        <v>0</v>
      </c>
    </row>
    <row r="1037" spans="2:10" x14ac:dyDescent="0.3">
      <c r="B1037" s="121">
        <f t="shared" si="33"/>
        <v>0</v>
      </c>
      <c r="C1037" s="122">
        <f t="shared" si="34"/>
        <v>0</v>
      </c>
      <c r="D1037" s="123"/>
      <c r="E1037" s="125"/>
      <c r="F1037" s="125"/>
      <c r="G1037" s="125"/>
      <c r="H1037" s="126"/>
      <c r="I1037" s="127"/>
      <c r="J1037" s="118">
        <f>IF(ISERROR(VLOOKUP(H1037,#REF!,9,0)),0,VLOOKUP(H1037,#REF!,9,0)*I1037)/3600</f>
        <v>0</v>
      </c>
    </row>
    <row r="1038" spans="2:10" x14ac:dyDescent="0.3">
      <c r="B1038" s="121">
        <f t="shared" si="33"/>
        <v>0</v>
      </c>
      <c r="C1038" s="122">
        <f t="shared" si="34"/>
        <v>0</v>
      </c>
      <c r="D1038" s="123"/>
      <c r="E1038" s="124"/>
      <c r="F1038" s="125"/>
      <c r="G1038" s="125"/>
      <c r="H1038" s="126"/>
      <c r="I1038" s="127"/>
      <c r="J1038" s="118">
        <f>IF(ISERROR(VLOOKUP(H1038,#REF!,9,0)),0,VLOOKUP(H1038,#REF!,9,0)*I1038)/3600</f>
        <v>0</v>
      </c>
    </row>
    <row r="1039" spans="2:10" x14ac:dyDescent="0.3">
      <c r="B1039" s="121">
        <f t="shared" si="33"/>
        <v>0</v>
      </c>
      <c r="C1039" s="122">
        <f t="shared" si="34"/>
        <v>0</v>
      </c>
      <c r="D1039" s="123"/>
      <c r="E1039" s="125"/>
      <c r="F1039" s="125"/>
      <c r="G1039" s="125"/>
      <c r="H1039" s="126"/>
      <c r="I1039" s="127"/>
      <c r="J1039" s="118">
        <f>IF(ISERROR(VLOOKUP(H1039,#REF!,9,0)),0,VLOOKUP(H1039,#REF!,9,0)*I1039)/3600</f>
        <v>0</v>
      </c>
    </row>
    <row r="1040" spans="2:10" x14ac:dyDescent="0.3">
      <c r="B1040" s="121">
        <f t="shared" si="33"/>
        <v>0</v>
      </c>
      <c r="C1040" s="122">
        <f t="shared" si="34"/>
        <v>0</v>
      </c>
      <c r="D1040" s="123"/>
      <c r="E1040" s="124"/>
      <c r="F1040" s="125"/>
      <c r="G1040" s="125"/>
      <c r="H1040" s="126"/>
      <c r="I1040" s="127"/>
      <c r="J1040" s="118">
        <f>IF(ISERROR(VLOOKUP(H1040,#REF!,9,0)),0,VLOOKUP(H1040,#REF!,9,0)*I1040)/3600</f>
        <v>0</v>
      </c>
    </row>
    <row r="1041" spans="2:10" x14ac:dyDescent="0.3">
      <c r="B1041" s="121">
        <f t="shared" si="33"/>
        <v>0</v>
      </c>
      <c r="C1041" s="122">
        <f t="shared" si="34"/>
        <v>0</v>
      </c>
      <c r="D1041" s="123"/>
      <c r="E1041" s="125"/>
      <c r="F1041" s="125"/>
      <c r="G1041" s="125"/>
      <c r="H1041" s="126"/>
      <c r="I1041" s="127"/>
      <c r="J1041" s="118">
        <f>IF(ISERROR(VLOOKUP(H1041,#REF!,9,0)),0,VLOOKUP(H1041,#REF!,9,0)*I1041)/3600</f>
        <v>0</v>
      </c>
    </row>
    <row r="1042" spans="2:10" x14ac:dyDescent="0.3">
      <c r="B1042" s="121">
        <f t="shared" si="33"/>
        <v>0</v>
      </c>
      <c r="C1042" s="122">
        <f t="shared" si="34"/>
        <v>0</v>
      </c>
      <c r="D1042" s="123"/>
      <c r="E1042" s="124"/>
      <c r="F1042" s="125"/>
      <c r="G1042" s="125"/>
      <c r="H1042" s="126"/>
      <c r="I1042" s="127"/>
      <c r="J1042" s="118">
        <f>IF(ISERROR(VLOOKUP(H1042,#REF!,9,0)),0,VLOOKUP(H1042,#REF!,9,0)*I1042)/3600</f>
        <v>0</v>
      </c>
    </row>
    <row r="1043" spans="2:10" x14ac:dyDescent="0.3">
      <c r="B1043" s="121">
        <f t="shared" si="33"/>
        <v>0</v>
      </c>
      <c r="C1043" s="122">
        <f t="shared" si="34"/>
        <v>0</v>
      </c>
      <c r="D1043" s="123"/>
      <c r="E1043" s="125"/>
      <c r="F1043" s="125"/>
      <c r="G1043" s="125"/>
      <c r="H1043" s="126"/>
      <c r="I1043" s="127"/>
      <c r="J1043" s="118">
        <f>IF(ISERROR(VLOOKUP(H1043,#REF!,9,0)),0,VLOOKUP(H1043,#REF!,9,0)*I1043)/3600</f>
        <v>0</v>
      </c>
    </row>
    <row r="1044" spans="2:10" x14ac:dyDescent="0.3">
      <c r="B1044" s="121">
        <f t="shared" si="33"/>
        <v>0</v>
      </c>
      <c r="C1044" s="122">
        <f t="shared" si="34"/>
        <v>0</v>
      </c>
      <c r="D1044" s="123"/>
      <c r="E1044" s="124"/>
      <c r="F1044" s="125"/>
      <c r="G1044" s="125"/>
      <c r="H1044" s="126"/>
      <c r="I1044" s="127"/>
      <c r="J1044" s="118">
        <f>IF(ISERROR(VLOOKUP(H1044,#REF!,9,0)),0,VLOOKUP(H1044,#REF!,9,0)*I1044)/3600</f>
        <v>0</v>
      </c>
    </row>
    <row r="1045" spans="2:10" x14ac:dyDescent="0.3">
      <c r="B1045" s="121">
        <f t="shared" si="33"/>
        <v>0</v>
      </c>
      <c r="C1045" s="122">
        <f t="shared" si="34"/>
        <v>0</v>
      </c>
      <c r="D1045" s="123"/>
      <c r="E1045" s="125"/>
      <c r="F1045" s="125"/>
      <c r="G1045" s="125"/>
      <c r="H1045" s="126"/>
      <c r="I1045" s="127"/>
      <c r="J1045" s="118">
        <f>IF(ISERROR(VLOOKUP(H1045,#REF!,9,0)),0,VLOOKUP(H1045,#REF!,9,0)*I1045)/3600</f>
        <v>0</v>
      </c>
    </row>
    <row r="1046" spans="2:10" x14ac:dyDescent="0.3">
      <c r="B1046" s="121">
        <f t="shared" si="33"/>
        <v>0</v>
      </c>
      <c r="C1046" s="122">
        <f t="shared" si="34"/>
        <v>0</v>
      </c>
      <c r="D1046" s="123"/>
      <c r="E1046" s="124"/>
      <c r="F1046" s="125"/>
      <c r="G1046" s="125"/>
      <c r="H1046" s="126"/>
      <c r="I1046" s="127"/>
      <c r="J1046" s="118">
        <f>IF(ISERROR(VLOOKUP(H1046,#REF!,9,0)),0,VLOOKUP(H1046,#REF!,9,0)*I1046)/3600</f>
        <v>0</v>
      </c>
    </row>
    <row r="1047" spans="2:10" x14ac:dyDescent="0.3">
      <c r="B1047" s="121">
        <f t="shared" si="33"/>
        <v>0</v>
      </c>
      <c r="C1047" s="122">
        <f t="shared" si="34"/>
        <v>0</v>
      </c>
      <c r="D1047" s="123"/>
      <c r="E1047" s="125"/>
      <c r="F1047" s="125"/>
      <c r="G1047" s="125"/>
      <c r="H1047" s="126"/>
      <c r="I1047" s="127"/>
      <c r="J1047" s="118">
        <f>IF(ISERROR(VLOOKUP(H1047,#REF!,9,0)),0,VLOOKUP(H1047,#REF!,9,0)*I1047)/3600</f>
        <v>0</v>
      </c>
    </row>
    <row r="1048" spans="2:10" x14ac:dyDescent="0.3">
      <c r="B1048" s="121">
        <f t="shared" si="33"/>
        <v>0</v>
      </c>
      <c r="C1048" s="122">
        <f t="shared" si="34"/>
        <v>0</v>
      </c>
      <c r="D1048" s="123"/>
      <c r="E1048" s="124"/>
      <c r="F1048" s="125"/>
      <c r="G1048" s="125"/>
      <c r="H1048" s="126"/>
      <c r="I1048" s="127"/>
      <c r="J1048" s="118">
        <f>IF(ISERROR(VLOOKUP(H1048,#REF!,9,0)),0,VLOOKUP(H1048,#REF!,9,0)*I1048)/3600</f>
        <v>0</v>
      </c>
    </row>
    <row r="1049" spans="2:10" x14ac:dyDescent="0.3">
      <c r="B1049" s="121">
        <f t="shared" si="33"/>
        <v>0</v>
      </c>
      <c r="C1049" s="122">
        <f t="shared" si="34"/>
        <v>0</v>
      </c>
      <c r="D1049" s="123"/>
      <c r="E1049" s="125"/>
      <c r="F1049" s="125"/>
      <c r="G1049" s="125"/>
      <c r="H1049" s="126"/>
      <c r="I1049" s="127"/>
      <c r="J1049" s="118">
        <f>IF(ISERROR(VLOOKUP(H1049,#REF!,9,0)),0,VLOOKUP(H1049,#REF!,9,0)*I1049)/3600</f>
        <v>0</v>
      </c>
    </row>
    <row r="1050" spans="2:10" x14ac:dyDescent="0.3">
      <c r="B1050" s="121">
        <f t="shared" si="33"/>
        <v>0</v>
      </c>
      <c r="C1050" s="122">
        <f t="shared" si="34"/>
        <v>0</v>
      </c>
      <c r="D1050" s="123"/>
      <c r="E1050" s="124"/>
      <c r="F1050" s="125"/>
      <c r="G1050" s="125"/>
      <c r="H1050" s="126"/>
      <c r="I1050" s="127"/>
      <c r="J1050" s="118">
        <f>IF(ISERROR(VLOOKUP(H1050,#REF!,9,0)),0,VLOOKUP(H1050,#REF!,9,0)*I1050)/3600</f>
        <v>0</v>
      </c>
    </row>
    <row r="1051" spans="2:10" x14ac:dyDescent="0.3">
      <c r="B1051" s="121">
        <f t="shared" si="33"/>
        <v>0</v>
      </c>
      <c r="C1051" s="122">
        <f t="shared" si="34"/>
        <v>0</v>
      </c>
      <c r="D1051" s="123"/>
      <c r="E1051" s="125"/>
      <c r="F1051" s="125"/>
      <c r="G1051" s="125"/>
      <c r="H1051" s="126"/>
      <c r="I1051" s="127"/>
      <c r="J1051" s="118">
        <f>IF(ISERROR(VLOOKUP(H1051,#REF!,9,0)),0,VLOOKUP(H1051,#REF!,9,0)*I1051)/3600</f>
        <v>0</v>
      </c>
    </row>
    <row r="1052" spans="2:10" x14ac:dyDescent="0.3">
      <c r="B1052" s="121">
        <f t="shared" si="33"/>
        <v>0</v>
      </c>
      <c r="C1052" s="122">
        <f t="shared" si="34"/>
        <v>0</v>
      </c>
      <c r="D1052" s="123"/>
      <c r="E1052" s="124"/>
      <c r="F1052" s="125"/>
      <c r="G1052" s="125"/>
      <c r="H1052" s="126"/>
      <c r="I1052" s="127"/>
      <c r="J1052" s="118">
        <f>IF(ISERROR(VLOOKUP(H1052,#REF!,9,0)),0,VLOOKUP(H1052,#REF!,9,0)*I1052)/3600</f>
        <v>0</v>
      </c>
    </row>
    <row r="1053" spans="2:10" x14ac:dyDescent="0.3">
      <c r="B1053" s="121">
        <f t="shared" si="33"/>
        <v>0</v>
      </c>
      <c r="C1053" s="122">
        <f t="shared" si="34"/>
        <v>0</v>
      </c>
      <c r="D1053" s="123"/>
      <c r="E1053" s="125"/>
      <c r="F1053" s="125"/>
      <c r="G1053" s="125"/>
      <c r="H1053" s="126"/>
      <c r="I1053" s="127"/>
      <c r="J1053" s="118">
        <f>IF(ISERROR(VLOOKUP(H1053,#REF!,9,0)),0,VLOOKUP(H1053,#REF!,9,0)*I1053)/3600</f>
        <v>0</v>
      </c>
    </row>
    <row r="1054" spans="2:10" x14ac:dyDescent="0.3">
      <c r="B1054" s="121">
        <f t="shared" si="33"/>
        <v>0</v>
      </c>
      <c r="C1054" s="122">
        <f t="shared" si="34"/>
        <v>0</v>
      </c>
      <c r="D1054" s="123"/>
      <c r="E1054" s="124"/>
      <c r="F1054" s="125"/>
      <c r="G1054" s="125"/>
      <c r="H1054" s="126"/>
      <c r="I1054" s="127"/>
      <c r="J1054" s="118">
        <f>IF(ISERROR(VLOOKUP(H1054,#REF!,9,0)),0,VLOOKUP(H1054,#REF!,9,0)*I1054)/3600</f>
        <v>0</v>
      </c>
    </row>
    <row r="1055" spans="2:10" x14ac:dyDescent="0.3">
      <c r="B1055" s="121">
        <f t="shared" si="33"/>
        <v>0</v>
      </c>
      <c r="C1055" s="122">
        <f t="shared" si="34"/>
        <v>0</v>
      </c>
      <c r="D1055" s="123"/>
      <c r="E1055" s="125"/>
      <c r="F1055" s="125"/>
      <c r="G1055" s="125"/>
      <c r="H1055" s="126"/>
      <c r="I1055" s="127"/>
      <c r="J1055" s="118">
        <f>IF(ISERROR(VLOOKUP(H1055,#REF!,9,0)),0,VLOOKUP(H1055,#REF!,9,0)*I1055)/3600</f>
        <v>0</v>
      </c>
    </row>
    <row r="1056" spans="2:10" x14ac:dyDescent="0.3">
      <c r="B1056" s="121">
        <f t="shared" si="33"/>
        <v>0</v>
      </c>
      <c r="C1056" s="122">
        <f t="shared" si="34"/>
        <v>0</v>
      </c>
      <c r="D1056" s="123"/>
      <c r="E1056" s="124"/>
      <c r="F1056" s="125"/>
      <c r="G1056" s="125"/>
      <c r="H1056" s="126"/>
      <c r="I1056" s="127"/>
      <c r="J1056" s="118">
        <f>IF(ISERROR(VLOOKUP(H1056,#REF!,9,0)),0,VLOOKUP(H1056,#REF!,9,0)*I1056)/3600</f>
        <v>0</v>
      </c>
    </row>
    <row r="1057" spans="2:10" x14ac:dyDescent="0.3">
      <c r="B1057" s="121">
        <f t="shared" si="33"/>
        <v>0</v>
      </c>
      <c r="C1057" s="122">
        <f t="shared" si="34"/>
        <v>0</v>
      </c>
      <c r="D1057" s="123"/>
      <c r="E1057" s="125"/>
      <c r="F1057" s="125"/>
      <c r="G1057" s="125"/>
      <c r="H1057" s="126"/>
      <c r="I1057" s="127"/>
      <c r="J1057" s="118">
        <f>IF(ISERROR(VLOOKUP(H1057,#REF!,9,0)),0,VLOOKUP(H1057,#REF!,9,0)*I1057)/3600</f>
        <v>0</v>
      </c>
    </row>
    <row r="1058" spans="2:10" x14ac:dyDescent="0.3">
      <c r="B1058" s="121">
        <f t="shared" si="33"/>
        <v>0</v>
      </c>
      <c r="C1058" s="122">
        <f t="shared" si="34"/>
        <v>0</v>
      </c>
      <c r="D1058" s="123"/>
      <c r="E1058" s="124"/>
      <c r="F1058" s="125"/>
      <c r="G1058" s="125"/>
      <c r="H1058" s="126"/>
      <c r="I1058" s="127"/>
      <c r="J1058" s="118">
        <f>IF(ISERROR(VLOOKUP(H1058,#REF!,9,0)),0,VLOOKUP(H1058,#REF!,9,0)*I1058)/3600</f>
        <v>0</v>
      </c>
    </row>
    <row r="1059" spans="2:10" x14ac:dyDescent="0.3">
      <c r="B1059" s="121">
        <f t="shared" si="33"/>
        <v>0</v>
      </c>
      <c r="C1059" s="122">
        <f t="shared" si="34"/>
        <v>0</v>
      </c>
      <c r="D1059" s="123"/>
      <c r="E1059" s="125"/>
      <c r="F1059" s="125"/>
      <c r="G1059" s="125"/>
      <c r="H1059" s="126"/>
      <c r="I1059" s="127"/>
      <c r="J1059" s="118">
        <f>IF(ISERROR(VLOOKUP(H1059,#REF!,9,0)),0,VLOOKUP(H1059,#REF!,9,0)*I1059)/3600</f>
        <v>0</v>
      </c>
    </row>
    <row r="1060" spans="2:10" x14ac:dyDescent="0.3">
      <c r="B1060" s="121">
        <f t="shared" si="33"/>
        <v>0</v>
      </c>
      <c r="C1060" s="122">
        <f t="shared" si="34"/>
        <v>0</v>
      </c>
      <c r="D1060" s="123"/>
      <c r="E1060" s="124"/>
      <c r="F1060" s="125"/>
      <c r="G1060" s="125"/>
      <c r="H1060" s="126"/>
      <c r="I1060" s="127"/>
      <c r="J1060" s="118">
        <f>IF(ISERROR(VLOOKUP(H1060,#REF!,9,0)),0,VLOOKUP(H1060,#REF!,9,0)*I1060)/3600</f>
        <v>0</v>
      </c>
    </row>
    <row r="1061" spans="2:10" x14ac:dyDescent="0.3">
      <c r="B1061" s="121">
        <f t="shared" si="33"/>
        <v>0</v>
      </c>
      <c r="C1061" s="122">
        <f t="shared" si="34"/>
        <v>0</v>
      </c>
      <c r="D1061" s="123"/>
      <c r="E1061" s="125"/>
      <c r="F1061" s="125"/>
      <c r="G1061" s="125"/>
      <c r="H1061" s="126"/>
      <c r="I1061" s="127"/>
      <c r="J1061" s="118">
        <f>IF(ISERROR(VLOOKUP(H1061,#REF!,9,0)),0,VLOOKUP(H1061,#REF!,9,0)*I1061)/3600</f>
        <v>0</v>
      </c>
    </row>
    <row r="1062" spans="2:10" x14ac:dyDescent="0.3">
      <c r="B1062" s="121">
        <f t="shared" si="33"/>
        <v>0</v>
      </c>
      <c r="C1062" s="122">
        <f t="shared" si="34"/>
        <v>0</v>
      </c>
      <c r="D1062" s="123"/>
      <c r="E1062" s="124"/>
      <c r="F1062" s="125"/>
      <c r="G1062" s="125"/>
      <c r="H1062" s="126"/>
      <c r="I1062" s="127"/>
      <c r="J1062" s="118">
        <f>IF(ISERROR(VLOOKUP(H1062,#REF!,9,0)),0,VLOOKUP(H1062,#REF!,9,0)*I1062)/3600</f>
        <v>0</v>
      </c>
    </row>
    <row r="1063" spans="2:10" x14ac:dyDescent="0.3">
      <c r="B1063" s="121">
        <f t="shared" si="33"/>
        <v>0</v>
      </c>
      <c r="C1063" s="122">
        <f t="shared" si="34"/>
        <v>0</v>
      </c>
      <c r="D1063" s="123"/>
      <c r="E1063" s="125"/>
      <c r="F1063" s="125"/>
      <c r="G1063" s="125"/>
      <c r="H1063" s="126"/>
      <c r="I1063" s="127"/>
      <c r="J1063" s="118">
        <f>IF(ISERROR(VLOOKUP(H1063,#REF!,9,0)),0,VLOOKUP(H1063,#REF!,9,0)*I1063)/3600</f>
        <v>0</v>
      </c>
    </row>
    <row r="1064" spans="2:10" x14ac:dyDescent="0.3">
      <c r="B1064" s="121">
        <f t="shared" si="33"/>
        <v>0</v>
      </c>
      <c r="C1064" s="122">
        <f t="shared" si="34"/>
        <v>0</v>
      </c>
      <c r="D1064" s="123"/>
      <c r="E1064" s="124"/>
      <c r="F1064" s="125"/>
      <c r="G1064" s="125"/>
      <c r="H1064" s="126"/>
      <c r="I1064" s="127"/>
      <c r="J1064" s="118">
        <f>IF(ISERROR(VLOOKUP(H1064,#REF!,9,0)),0,VLOOKUP(H1064,#REF!,9,0)*I1064)/3600</f>
        <v>0</v>
      </c>
    </row>
    <row r="1065" spans="2:10" x14ac:dyDescent="0.3">
      <c r="B1065" s="121">
        <f t="shared" si="33"/>
        <v>0</v>
      </c>
      <c r="C1065" s="122">
        <f t="shared" si="34"/>
        <v>0</v>
      </c>
      <c r="D1065" s="123"/>
      <c r="E1065" s="125"/>
      <c r="F1065" s="125"/>
      <c r="G1065" s="125"/>
      <c r="H1065" s="126"/>
      <c r="I1065" s="127"/>
      <c r="J1065" s="118">
        <f>IF(ISERROR(VLOOKUP(H1065,#REF!,9,0)),0,VLOOKUP(H1065,#REF!,9,0)*I1065)/3600</f>
        <v>0</v>
      </c>
    </row>
    <row r="1066" spans="2:10" x14ac:dyDescent="0.3">
      <c r="B1066" s="121">
        <f t="shared" si="33"/>
        <v>0</v>
      </c>
      <c r="C1066" s="122">
        <f t="shared" si="34"/>
        <v>0</v>
      </c>
      <c r="D1066" s="123"/>
      <c r="E1066" s="124"/>
      <c r="F1066" s="125"/>
      <c r="G1066" s="125"/>
      <c r="H1066" s="126"/>
      <c r="I1066" s="127"/>
      <c r="J1066" s="118">
        <f>IF(ISERROR(VLOOKUP(H1066,#REF!,9,0)),0,VLOOKUP(H1066,#REF!,9,0)*I1066)/3600</f>
        <v>0</v>
      </c>
    </row>
    <row r="1067" spans="2:10" x14ac:dyDescent="0.3">
      <c r="B1067" s="121">
        <f t="shared" si="33"/>
        <v>0</v>
      </c>
      <c r="C1067" s="122">
        <f t="shared" si="34"/>
        <v>0</v>
      </c>
      <c r="D1067" s="123"/>
      <c r="E1067" s="125"/>
      <c r="F1067" s="125"/>
      <c r="G1067" s="125"/>
      <c r="H1067" s="126"/>
      <c r="I1067" s="127"/>
      <c r="J1067" s="118">
        <f>IF(ISERROR(VLOOKUP(H1067,#REF!,9,0)),0,VLOOKUP(H1067,#REF!,9,0)*I1067)/3600</f>
        <v>0</v>
      </c>
    </row>
    <row r="1068" spans="2:10" x14ac:dyDescent="0.3">
      <c r="B1068" s="121">
        <f t="shared" si="33"/>
        <v>0</v>
      </c>
      <c r="C1068" s="122">
        <f t="shared" si="34"/>
        <v>0</v>
      </c>
      <c r="D1068" s="123"/>
      <c r="E1068" s="124"/>
      <c r="F1068" s="125"/>
      <c r="G1068" s="125"/>
      <c r="H1068" s="126"/>
      <c r="I1068" s="127"/>
      <c r="J1068" s="118">
        <f>IF(ISERROR(VLOOKUP(H1068,#REF!,9,0)),0,VLOOKUP(H1068,#REF!,9,0)*I1068)/3600</f>
        <v>0</v>
      </c>
    </row>
    <row r="1069" spans="2:10" x14ac:dyDescent="0.3">
      <c r="B1069" s="121">
        <f t="shared" si="33"/>
        <v>0</v>
      </c>
      <c r="C1069" s="122">
        <f t="shared" si="34"/>
        <v>0</v>
      </c>
      <c r="D1069" s="123"/>
      <c r="E1069" s="125"/>
      <c r="F1069" s="125"/>
      <c r="G1069" s="125"/>
      <c r="H1069" s="126"/>
      <c r="I1069" s="127"/>
      <c r="J1069" s="118">
        <f>IF(ISERROR(VLOOKUP(H1069,#REF!,9,0)),0,VLOOKUP(H1069,#REF!,9,0)*I1069)/3600</f>
        <v>0</v>
      </c>
    </row>
    <row r="1070" spans="2:10" x14ac:dyDescent="0.3">
      <c r="B1070" s="121">
        <f t="shared" si="33"/>
        <v>0</v>
      </c>
      <c r="C1070" s="122">
        <f t="shared" si="34"/>
        <v>0</v>
      </c>
      <c r="D1070" s="123"/>
      <c r="E1070" s="124"/>
      <c r="F1070" s="125"/>
      <c r="G1070" s="125"/>
      <c r="H1070" s="126"/>
      <c r="I1070" s="127"/>
      <c r="J1070" s="118">
        <f>IF(ISERROR(VLOOKUP(H1070,#REF!,9,0)),0,VLOOKUP(H1070,#REF!,9,0)*I1070)/3600</f>
        <v>0</v>
      </c>
    </row>
    <row r="1071" spans="2:10" x14ac:dyDescent="0.3">
      <c r="B1071" s="121">
        <f t="shared" si="33"/>
        <v>0</v>
      </c>
      <c r="C1071" s="122">
        <f t="shared" si="34"/>
        <v>0</v>
      </c>
      <c r="D1071" s="123"/>
      <c r="E1071" s="125"/>
      <c r="F1071" s="125"/>
      <c r="G1071" s="125"/>
      <c r="H1071" s="126"/>
      <c r="I1071" s="127"/>
      <c r="J1071" s="118">
        <f>IF(ISERROR(VLOOKUP(H1071,#REF!,9,0)),0,VLOOKUP(H1071,#REF!,9,0)*I1071)/3600</f>
        <v>0</v>
      </c>
    </row>
    <row r="1072" spans="2:10" x14ac:dyDescent="0.3">
      <c r="B1072" s="121">
        <f t="shared" si="33"/>
        <v>0</v>
      </c>
      <c r="C1072" s="122">
        <f t="shared" si="34"/>
        <v>0</v>
      </c>
      <c r="D1072" s="123"/>
      <c r="E1072" s="124"/>
      <c r="F1072" s="125"/>
      <c r="G1072" s="125"/>
      <c r="H1072" s="126"/>
      <c r="I1072" s="127"/>
      <c r="J1072" s="118">
        <f>IF(ISERROR(VLOOKUP(H1072,#REF!,9,0)),0,VLOOKUP(H1072,#REF!,9,0)*I1072)/3600</f>
        <v>0</v>
      </c>
    </row>
    <row r="1073" spans="2:10" x14ac:dyDescent="0.3">
      <c r="B1073" s="121">
        <f t="shared" si="33"/>
        <v>0</v>
      </c>
      <c r="C1073" s="122">
        <f t="shared" si="34"/>
        <v>0</v>
      </c>
      <c r="D1073" s="123"/>
      <c r="E1073" s="125"/>
      <c r="F1073" s="125"/>
      <c r="G1073" s="125"/>
      <c r="H1073" s="126"/>
      <c r="I1073" s="127"/>
      <c r="J1073" s="118">
        <f>IF(ISERROR(VLOOKUP(H1073,#REF!,9,0)),0,VLOOKUP(H1073,#REF!,9,0)*I1073)/3600</f>
        <v>0</v>
      </c>
    </row>
    <row r="1074" spans="2:10" x14ac:dyDescent="0.3">
      <c r="B1074" s="121">
        <f t="shared" si="33"/>
        <v>0</v>
      </c>
      <c r="C1074" s="122">
        <f t="shared" si="34"/>
        <v>0</v>
      </c>
      <c r="D1074" s="123"/>
      <c r="E1074" s="124"/>
      <c r="F1074" s="125"/>
      <c r="G1074" s="125"/>
      <c r="H1074" s="126"/>
      <c r="I1074" s="127"/>
      <c r="J1074" s="118">
        <f>IF(ISERROR(VLOOKUP(H1074,#REF!,9,0)),0,VLOOKUP(H1074,#REF!,9,0)*I1074)/3600</f>
        <v>0</v>
      </c>
    </row>
    <row r="1075" spans="2:10" x14ac:dyDescent="0.3">
      <c r="B1075" s="121">
        <f t="shared" si="33"/>
        <v>0</v>
      </c>
      <c r="C1075" s="122">
        <f t="shared" si="34"/>
        <v>0</v>
      </c>
      <c r="D1075" s="123"/>
      <c r="E1075" s="125"/>
      <c r="F1075" s="125"/>
      <c r="G1075" s="125"/>
      <c r="H1075" s="126"/>
      <c r="I1075" s="127"/>
      <c r="J1075" s="118">
        <f>IF(ISERROR(VLOOKUP(H1075,#REF!,9,0)),0,VLOOKUP(H1075,#REF!,9,0)*I1075)/3600</f>
        <v>0</v>
      </c>
    </row>
    <row r="1076" spans="2:10" x14ac:dyDescent="0.3">
      <c r="B1076" s="121">
        <f t="shared" si="33"/>
        <v>0</v>
      </c>
      <c r="C1076" s="122">
        <f t="shared" si="34"/>
        <v>0</v>
      </c>
      <c r="D1076" s="123"/>
      <c r="E1076" s="124"/>
      <c r="F1076" s="125"/>
      <c r="G1076" s="125"/>
      <c r="H1076" s="126"/>
      <c r="I1076" s="127"/>
      <c r="J1076" s="118">
        <f>IF(ISERROR(VLOOKUP(H1076,#REF!,9,0)),0,VLOOKUP(H1076,#REF!,9,0)*I1076)/3600</f>
        <v>0</v>
      </c>
    </row>
    <row r="1077" spans="2:10" x14ac:dyDescent="0.3">
      <c r="B1077" s="121">
        <f t="shared" si="33"/>
        <v>0</v>
      </c>
      <c r="C1077" s="122">
        <f t="shared" si="34"/>
        <v>0</v>
      </c>
      <c r="D1077" s="123"/>
      <c r="E1077" s="125"/>
      <c r="F1077" s="125"/>
      <c r="G1077" s="125"/>
      <c r="H1077" s="126"/>
      <c r="I1077" s="127"/>
      <c r="J1077" s="118">
        <f>IF(ISERROR(VLOOKUP(H1077,#REF!,9,0)),0,VLOOKUP(H1077,#REF!,9,0)*I1077)/3600</f>
        <v>0</v>
      </c>
    </row>
    <row r="1078" spans="2:10" x14ac:dyDescent="0.3">
      <c r="B1078" s="121">
        <f t="shared" si="33"/>
        <v>0</v>
      </c>
      <c r="C1078" s="122">
        <f t="shared" si="34"/>
        <v>0</v>
      </c>
      <c r="D1078" s="123"/>
      <c r="E1078" s="124"/>
      <c r="F1078" s="125"/>
      <c r="G1078" s="125"/>
      <c r="H1078" s="126"/>
      <c r="I1078" s="127"/>
      <c r="J1078" s="118">
        <f>IF(ISERROR(VLOOKUP(H1078,#REF!,9,0)),0,VLOOKUP(H1078,#REF!,9,0)*I1078)/3600</f>
        <v>0</v>
      </c>
    </row>
    <row r="1079" spans="2:10" x14ac:dyDescent="0.3">
      <c r="B1079" s="121">
        <f t="shared" si="33"/>
        <v>0</v>
      </c>
      <c r="C1079" s="122">
        <f t="shared" si="34"/>
        <v>0</v>
      </c>
      <c r="D1079" s="123"/>
      <c r="E1079" s="125"/>
      <c r="F1079" s="125"/>
      <c r="G1079" s="125"/>
      <c r="H1079" s="126"/>
      <c r="I1079" s="127"/>
      <c r="J1079" s="118">
        <f>IF(ISERROR(VLOOKUP(H1079,#REF!,9,0)),0,VLOOKUP(H1079,#REF!,9,0)*I1079)/3600</f>
        <v>0</v>
      </c>
    </row>
    <row r="1080" spans="2:10" x14ac:dyDescent="0.3">
      <c r="B1080" s="121">
        <f t="shared" si="33"/>
        <v>0</v>
      </c>
      <c r="C1080" s="122">
        <f t="shared" si="34"/>
        <v>0</v>
      </c>
      <c r="D1080" s="123"/>
      <c r="E1080" s="124"/>
      <c r="F1080" s="125"/>
      <c r="G1080" s="125"/>
      <c r="H1080" s="126"/>
      <c r="I1080" s="127"/>
      <c r="J1080" s="118">
        <f>IF(ISERROR(VLOOKUP(H1080,#REF!,9,0)),0,VLOOKUP(H1080,#REF!,9,0)*I1080)/3600</f>
        <v>0</v>
      </c>
    </row>
    <row r="1081" spans="2:10" x14ac:dyDescent="0.3">
      <c r="B1081" s="121">
        <f t="shared" si="33"/>
        <v>0</v>
      </c>
      <c r="C1081" s="122">
        <f t="shared" si="34"/>
        <v>0</v>
      </c>
      <c r="D1081" s="123"/>
      <c r="E1081" s="125"/>
      <c r="F1081" s="125"/>
      <c r="G1081" s="125"/>
      <c r="H1081" s="126"/>
      <c r="I1081" s="127"/>
      <c r="J1081" s="118">
        <f>IF(ISERROR(VLOOKUP(H1081,#REF!,9,0)),0,VLOOKUP(H1081,#REF!,9,0)*I1081)/3600</f>
        <v>0</v>
      </c>
    </row>
    <row r="1082" spans="2:10" x14ac:dyDescent="0.3">
      <c r="B1082" s="121">
        <f t="shared" si="33"/>
        <v>0</v>
      </c>
      <c r="C1082" s="122">
        <f t="shared" si="34"/>
        <v>0</v>
      </c>
      <c r="D1082" s="123"/>
      <c r="E1082" s="124"/>
      <c r="F1082" s="125"/>
      <c r="G1082" s="125"/>
      <c r="H1082" s="126"/>
      <c r="I1082" s="127"/>
      <c r="J1082" s="118">
        <f>IF(ISERROR(VLOOKUP(H1082,#REF!,9,0)),0,VLOOKUP(H1082,#REF!,9,0)*I1082)/3600</f>
        <v>0</v>
      </c>
    </row>
    <row r="1083" spans="2:10" x14ac:dyDescent="0.3">
      <c r="B1083" s="121">
        <f t="shared" si="33"/>
        <v>0</v>
      </c>
      <c r="C1083" s="122">
        <f t="shared" si="34"/>
        <v>0</v>
      </c>
      <c r="D1083" s="123"/>
      <c r="E1083" s="125"/>
      <c r="F1083" s="125"/>
      <c r="G1083" s="125"/>
      <c r="H1083" s="126"/>
      <c r="I1083" s="127"/>
      <c r="J1083" s="118">
        <f>IF(ISERROR(VLOOKUP(H1083,#REF!,9,0)),0,VLOOKUP(H1083,#REF!,9,0)*I1083)/3600</f>
        <v>0</v>
      </c>
    </row>
    <row r="1084" spans="2:10" x14ac:dyDescent="0.3">
      <c r="B1084" s="121">
        <f t="shared" si="33"/>
        <v>0</v>
      </c>
      <c r="C1084" s="122">
        <f t="shared" si="34"/>
        <v>0</v>
      </c>
      <c r="D1084" s="123"/>
      <c r="E1084" s="124"/>
      <c r="F1084" s="125"/>
      <c r="G1084" s="125"/>
      <c r="H1084" s="126"/>
      <c r="I1084" s="127"/>
      <c r="J1084" s="118">
        <f>IF(ISERROR(VLOOKUP(H1084,#REF!,9,0)),0,VLOOKUP(H1084,#REF!,9,0)*I1084)/3600</f>
        <v>0</v>
      </c>
    </row>
    <row r="1085" spans="2:10" x14ac:dyDescent="0.3">
      <c r="B1085" s="121">
        <f t="shared" si="33"/>
        <v>0</v>
      </c>
      <c r="C1085" s="122">
        <f t="shared" si="34"/>
        <v>0</v>
      </c>
      <c r="D1085" s="123"/>
      <c r="E1085" s="125"/>
      <c r="F1085" s="125"/>
      <c r="G1085" s="125"/>
      <c r="H1085" s="126"/>
      <c r="I1085" s="127"/>
      <c r="J1085" s="118">
        <f>IF(ISERROR(VLOOKUP(H1085,#REF!,9,0)),0,VLOOKUP(H1085,#REF!,9,0)*I1085)/3600</f>
        <v>0</v>
      </c>
    </row>
    <row r="1086" spans="2:10" x14ac:dyDescent="0.3">
      <c r="B1086" s="121">
        <f t="shared" si="33"/>
        <v>0</v>
      </c>
      <c r="C1086" s="122">
        <f t="shared" si="34"/>
        <v>0</v>
      </c>
      <c r="D1086" s="123"/>
      <c r="E1086" s="124"/>
      <c r="F1086" s="125"/>
      <c r="G1086" s="125"/>
      <c r="H1086" s="126"/>
      <c r="I1086" s="127"/>
      <c r="J1086" s="118">
        <f>IF(ISERROR(VLOOKUP(H1086,#REF!,9,0)),0,VLOOKUP(H1086,#REF!,9,0)*I1086)/3600</f>
        <v>0</v>
      </c>
    </row>
    <row r="1087" spans="2:10" x14ac:dyDescent="0.3">
      <c r="B1087" s="121">
        <f t="shared" si="33"/>
        <v>0</v>
      </c>
      <c r="C1087" s="122">
        <f t="shared" si="34"/>
        <v>0</v>
      </c>
      <c r="D1087" s="123"/>
      <c r="E1087" s="125"/>
      <c r="F1087" s="125"/>
      <c r="G1087" s="125"/>
      <c r="H1087" s="126"/>
      <c r="I1087" s="127"/>
      <c r="J1087" s="118">
        <f>IF(ISERROR(VLOOKUP(H1087,#REF!,9,0)),0,VLOOKUP(H1087,#REF!,9,0)*I1087)/3600</f>
        <v>0</v>
      </c>
    </row>
    <row r="1088" spans="2:10" x14ac:dyDescent="0.3">
      <c r="B1088" s="121">
        <f t="shared" si="33"/>
        <v>0</v>
      </c>
      <c r="C1088" s="122">
        <f t="shared" si="34"/>
        <v>0</v>
      </c>
      <c r="D1088" s="123"/>
      <c r="E1088" s="124"/>
      <c r="F1088" s="125"/>
      <c r="G1088" s="125"/>
      <c r="H1088" s="126"/>
      <c r="I1088" s="127"/>
      <c r="J1088" s="118">
        <f>IF(ISERROR(VLOOKUP(H1088,#REF!,9,0)),0,VLOOKUP(H1088,#REF!,9,0)*I1088)/3600</f>
        <v>0</v>
      </c>
    </row>
    <row r="1089" spans="2:10" x14ac:dyDescent="0.3">
      <c r="B1089" s="121">
        <f t="shared" si="33"/>
        <v>0</v>
      </c>
      <c r="C1089" s="122">
        <f t="shared" si="34"/>
        <v>0</v>
      </c>
      <c r="D1089" s="123"/>
      <c r="E1089" s="125"/>
      <c r="F1089" s="125"/>
      <c r="G1089" s="125"/>
      <c r="H1089" s="126"/>
      <c r="I1089" s="127"/>
      <c r="J1089" s="118">
        <f>IF(ISERROR(VLOOKUP(H1089,#REF!,9,0)),0,VLOOKUP(H1089,#REF!,9,0)*I1089)/3600</f>
        <v>0</v>
      </c>
    </row>
    <row r="1090" spans="2:10" x14ac:dyDescent="0.3">
      <c r="B1090" s="121">
        <f t="shared" si="33"/>
        <v>0</v>
      </c>
      <c r="C1090" s="122">
        <f t="shared" si="34"/>
        <v>0</v>
      </c>
      <c r="D1090" s="123"/>
      <c r="E1090" s="124"/>
      <c r="F1090" s="125"/>
      <c r="G1090" s="125"/>
      <c r="H1090" s="126"/>
      <c r="I1090" s="127"/>
      <c r="J1090" s="118">
        <f>IF(ISERROR(VLOOKUP(H1090,#REF!,9,0)),0,VLOOKUP(H1090,#REF!,9,0)*I1090)/3600</f>
        <v>0</v>
      </c>
    </row>
    <row r="1091" spans="2:10" x14ac:dyDescent="0.3">
      <c r="B1091" s="121">
        <f t="shared" si="33"/>
        <v>0</v>
      </c>
      <c r="C1091" s="122">
        <f t="shared" si="34"/>
        <v>0</v>
      </c>
      <c r="D1091" s="123"/>
      <c r="E1091" s="125"/>
      <c r="F1091" s="125"/>
      <c r="G1091" s="125"/>
      <c r="H1091" s="126"/>
      <c r="I1091" s="127"/>
      <c r="J1091" s="118">
        <f>IF(ISERROR(VLOOKUP(H1091,#REF!,9,0)),0,VLOOKUP(H1091,#REF!,9,0)*I1091)/3600</f>
        <v>0</v>
      </c>
    </row>
    <row r="1092" spans="2:10" x14ac:dyDescent="0.3">
      <c r="B1092" s="121">
        <f t="shared" si="33"/>
        <v>0</v>
      </c>
      <c r="C1092" s="122">
        <f t="shared" si="34"/>
        <v>0</v>
      </c>
      <c r="D1092" s="123"/>
      <c r="E1092" s="124"/>
      <c r="F1092" s="125"/>
      <c r="G1092" s="125"/>
      <c r="H1092" s="126"/>
      <c r="I1092" s="127"/>
      <c r="J1092" s="118">
        <f>IF(ISERROR(VLOOKUP(H1092,#REF!,9,0)),0,VLOOKUP(H1092,#REF!,9,0)*I1092)/3600</f>
        <v>0</v>
      </c>
    </row>
    <row r="1093" spans="2:10" x14ac:dyDescent="0.3">
      <c r="B1093" s="121">
        <f t="shared" si="33"/>
        <v>0</v>
      </c>
      <c r="C1093" s="122">
        <f t="shared" si="34"/>
        <v>0</v>
      </c>
      <c r="D1093" s="123"/>
      <c r="E1093" s="125"/>
      <c r="F1093" s="125"/>
      <c r="G1093" s="125"/>
      <c r="H1093" s="126"/>
      <c r="I1093" s="127"/>
      <c r="J1093" s="118">
        <f>IF(ISERROR(VLOOKUP(H1093,#REF!,9,0)),0,VLOOKUP(H1093,#REF!,9,0)*I1093)/3600</f>
        <v>0</v>
      </c>
    </row>
    <row r="1094" spans="2:10" x14ac:dyDescent="0.3">
      <c r="B1094" s="121">
        <f t="shared" ref="B1094:B1157" si="35">IF(D1094&gt;0,YEAR(D1094),0)</f>
        <v>0</v>
      </c>
      <c r="C1094" s="122">
        <f t="shared" ref="C1094:C1157" si="36">IF(D1094&gt;0,MONTH(D1094),0)</f>
        <v>0</v>
      </c>
      <c r="D1094" s="123"/>
      <c r="E1094" s="124"/>
      <c r="F1094" s="125"/>
      <c r="G1094" s="125"/>
      <c r="H1094" s="126"/>
      <c r="I1094" s="127"/>
      <c r="J1094" s="118">
        <f>IF(ISERROR(VLOOKUP(H1094,#REF!,9,0)),0,VLOOKUP(H1094,#REF!,9,0)*I1094)/3600</f>
        <v>0</v>
      </c>
    </row>
    <row r="1095" spans="2:10" x14ac:dyDescent="0.3">
      <c r="B1095" s="121">
        <f t="shared" si="35"/>
        <v>0</v>
      </c>
      <c r="C1095" s="122">
        <f t="shared" si="36"/>
        <v>0</v>
      </c>
      <c r="D1095" s="123"/>
      <c r="E1095" s="125"/>
      <c r="F1095" s="125"/>
      <c r="G1095" s="125"/>
      <c r="H1095" s="126"/>
      <c r="I1095" s="127"/>
      <c r="J1095" s="118">
        <f>IF(ISERROR(VLOOKUP(H1095,#REF!,9,0)),0,VLOOKUP(H1095,#REF!,9,0)*I1095)/3600</f>
        <v>0</v>
      </c>
    </row>
    <row r="1096" spans="2:10" x14ac:dyDescent="0.3">
      <c r="B1096" s="121">
        <f t="shared" si="35"/>
        <v>0</v>
      </c>
      <c r="C1096" s="122">
        <f t="shared" si="36"/>
        <v>0</v>
      </c>
      <c r="D1096" s="123"/>
      <c r="E1096" s="124"/>
      <c r="F1096" s="125"/>
      <c r="G1096" s="125"/>
      <c r="H1096" s="126"/>
      <c r="I1096" s="127"/>
      <c r="J1096" s="118">
        <f>IF(ISERROR(VLOOKUP(H1096,#REF!,9,0)),0,VLOOKUP(H1096,#REF!,9,0)*I1096)/3600</f>
        <v>0</v>
      </c>
    </row>
    <row r="1097" spans="2:10" x14ac:dyDescent="0.3">
      <c r="B1097" s="121">
        <f t="shared" si="35"/>
        <v>0</v>
      </c>
      <c r="C1097" s="122">
        <f t="shared" si="36"/>
        <v>0</v>
      </c>
      <c r="D1097" s="123"/>
      <c r="E1097" s="125"/>
      <c r="F1097" s="125"/>
      <c r="G1097" s="125"/>
      <c r="H1097" s="126"/>
      <c r="I1097" s="127"/>
      <c r="J1097" s="118">
        <f>IF(ISERROR(VLOOKUP(H1097,#REF!,9,0)),0,VLOOKUP(H1097,#REF!,9,0)*I1097)/3600</f>
        <v>0</v>
      </c>
    </row>
    <row r="1098" spans="2:10" x14ac:dyDescent="0.3">
      <c r="B1098" s="121">
        <f t="shared" si="35"/>
        <v>0</v>
      </c>
      <c r="C1098" s="122">
        <f t="shared" si="36"/>
        <v>0</v>
      </c>
      <c r="D1098" s="123"/>
      <c r="E1098" s="124"/>
      <c r="F1098" s="125"/>
      <c r="G1098" s="125"/>
      <c r="H1098" s="126"/>
      <c r="I1098" s="127"/>
      <c r="J1098" s="118">
        <f>IF(ISERROR(VLOOKUP(H1098,#REF!,9,0)),0,VLOOKUP(H1098,#REF!,9,0)*I1098)/3600</f>
        <v>0</v>
      </c>
    </row>
    <row r="1099" spans="2:10" x14ac:dyDescent="0.3">
      <c r="B1099" s="121">
        <f t="shared" si="35"/>
        <v>0</v>
      </c>
      <c r="C1099" s="122">
        <f t="shared" si="36"/>
        <v>0</v>
      </c>
      <c r="D1099" s="123"/>
      <c r="E1099" s="125"/>
      <c r="F1099" s="125"/>
      <c r="G1099" s="125"/>
      <c r="H1099" s="126"/>
      <c r="I1099" s="127"/>
      <c r="J1099" s="118">
        <f>IF(ISERROR(VLOOKUP(H1099,#REF!,9,0)),0,VLOOKUP(H1099,#REF!,9,0)*I1099)/3600</f>
        <v>0</v>
      </c>
    </row>
    <row r="1100" spans="2:10" x14ac:dyDescent="0.3">
      <c r="B1100" s="121">
        <f t="shared" si="35"/>
        <v>0</v>
      </c>
      <c r="C1100" s="122">
        <f t="shared" si="36"/>
        <v>0</v>
      </c>
      <c r="D1100" s="123"/>
      <c r="E1100" s="124"/>
      <c r="F1100" s="125"/>
      <c r="G1100" s="125"/>
      <c r="H1100" s="126"/>
      <c r="I1100" s="127"/>
      <c r="J1100" s="118">
        <f>IF(ISERROR(VLOOKUP(H1100,#REF!,9,0)),0,VLOOKUP(H1100,#REF!,9,0)*I1100)/3600</f>
        <v>0</v>
      </c>
    </row>
    <row r="1101" spans="2:10" x14ac:dyDescent="0.3">
      <c r="B1101" s="121">
        <f t="shared" si="35"/>
        <v>0</v>
      </c>
      <c r="C1101" s="122">
        <f t="shared" si="36"/>
        <v>0</v>
      </c>
      <c r="D1101" s="123"/>
      <c r="E1101" s="125"/>
      <c r="F1101" s="125"/>
      <c r="G1101" s="125"/>
      <c r="H1101" s="126"/>
      <c r="I1101" s="127"/>
      <c r="J1101" s="118">
        <f>IF(ISERROR(VLOOKUP(H1101,#REF!,9,0)),0,VLOOKUP(H1101,#REF!,9,0)*I1101)/3600</f>
        <v>0</v>
      </c>
    </row>
    <row r="1102" spans="2:10" x14ac:dyDescent="0.3">
      <c r="B1102" s="121">
        <f t="shared" si="35"/>
        <v>0</v>
      </c>
      <c r="C1102" s="122">
        <f t="shared" si="36"/>
        <v>0</v>
      </c>
      <c r="D1102" s="123"/>
      <c r="E1102" s="124"/>
      <c r="F1102" s="125"/>
      <c r="G1102" s="125"/>
      <c r="H1102" s="126"/>
      <c r="I1102" s="127"/>
      <c r="J1102" s="118">
        <f>IF(ISERROR(VLOOKUP(H1102,#REF!,9,0)),0,VLOOKUP(H1102,#REF!,9,0)*I1102)/3600</f>
        <v>0</v>
      </c>
    </row>
    <row r="1103" spans="2:10" x14ac:dyDescent="0.3">
      <c r="B1103" s="121">
        <f t="shared" si="35"/>
        <v>0</v>
      </c>
      <c r="C1103" s="122">
        <f t="shared" si="36"/>
        <v>0</v>
      </c>
      <c r="D1103" s="123"/>
      <c r="E1103" s="125"/>
      <c r="F1103" s="125"/>
      <c r="G1103" s="125"/>
      <c r="H1103" s="126"/>
      <c r="I1103" s="127"/>
      <c r="J1103" s="118">
        <f>IF(ISERROR(VLOOKUP(H1103,#REF!,9,0)),0,VLOOKUP(H1103,#REF!,9,0)*I1103)/3600</f>
        <v>0</v>
      </c>
    </row>
    <row r="1104" spans="2:10" x14ac:dyDescent="0.3">
      <c r="B1104" s="121">
        <f t="shared" si="35"/>
        <v>0</v>
      </c>
      <c r="C1104" s="122">
        <f t="shared" si="36"/>
        <v>0</v>
      </c>
      <c r="D1104" s="123"/>
      <c r="E1104" s="124"/>
      <c r="F1104" s="125"/>
      <c r="G1104" s="125"/>
      <c r="H1104" s="126"/>
      <c r="I1104" s="127"/>
      <c r="J1104" s="118">
        <f>IF(ISERROR(VLOOKUP(H1104,#REF!,9,0)),0,VLOOKUP(H1104,#REF!,9,0)*I1104)/3600</f>
        <v>0</v>
      </c>
    </row>
    <row r="1105" spans="2:10" x14ac:dyDescent="0.3">
      <c r="B1105" s="121">
        <f t="shared" si="35"/>
        <v>0</v>
      </c>
      <c r="C1105" s="122">
        <f t="shared" si="36"/>
        <v>0</v>
      </c>
      <c r="D1105" s="123"/>
      <c r="E1105" s="125"/>
      <c r="F1105" s="125"/>
      <c r="G1105" s="125"/>
      <c r="H1105" s="126"/>
      <c r="I1105" s="127"/>
      <c r="J1105" s="118">
        <f>IF(ISERROR(VLOOKUP(H1105,#REF!,9,0)),0,VLOOKUP(H1105,#REF!,9,0)*I1105)/3600</f>
        <v>0</v>
      </c>
    </row>
    <row r="1106" spans="2:10" x14ac:dyDescent="0.3">
      <c r="B1106" s="121">
        <f t="shared" si="35"/>
        <v>0</v>
      </c>
      <c r="C1106" s="122">
        <f t="shared" si="36"/>
        <v>0</v>
      </c>
      <c r="D1106" s="123"/>
      <c r="E1106" s="124"/>
      <c r="F1106" s="125"/>
      <c r="G1106" s="125"/>
      <c r="H1106" s="126"/>
      <c r="I1106" s="127"/>
      <c r="J1106" s="118">
        <f>IF(ISERROR(VLOOKUP(H1106,#REF!,9,0)),0,VLOOKUP(H1106,#REF!,9,0)*I1106)/3600</f>
        <v>0</v>
      </c>
    </row>
    <row r="1107" spans="2:10" x14ac:dyDescent="0.3">
      <c r="B1107" s="121">
        <f t="shared" si="35"/>
        <v>0</v>
      </c>
      <c r="C1107" s="122">
        <f t="shared" si="36"/>
        <v>0</v>
      </c>
      <c r="D1107" s="123"/>
      <c r="E1107" s="125"/>
      <c r="F1107" s="125"/>
      <c r="G1107" s="125"/>
      <c r="H1107" s="126"/>
      <c r="I1107" s="127"/>
      <c r="J1107" s="118">
        <f>IF(ISERROR(VLOOKUP(H1107,#REF!,9,0)),0,VLOOKUP(H1107,#REF!,9,0)*I1107)/3600</f>
        <v>0</v>
      </c>
    </row>
    <row r="1108" spans="2:10" x14ac:dyDescent="0.3">
      <c r="B1108" s="121">
        <f t="shared" si="35"/>
        <v>0</v>
      </c>
      <c r="C1108" s="122">
        <f t="shared" si="36"/>
        <v>0</v>
      </c>
      <c r="D1108" s="123"/>
      <c r="E1108" s="124"/>
      <c r="F1108" s="125"/>
      <c r="G1108" s="125"/>
      <c r="H1108" s="126"/>
      <c r="I1108" s="127"/>
      <c r="J1108" s="118">
        <f>IF(ISERROR(VLOOKUP(H1108,#REF!,9,0)),0,VLOOKUP(H1108,#REF!,9,0)*I1108)/3600</f>
        <v>0</v>
      </c>
    </row>
    <row r="1109" spans="2:10" x14ac:dyDescent="0.3">
      <c r="B1109" s="121">
        <f t="shared" si="35"/>
        <v>0</v>
      </c>
      <c r="C1109" s="122">
        <f t="shared" si="36"/>
        <v>0</v>
      </c>
      <c r="D1109" s="123"/>
      <c r="E1109" s="125"/>
      <c r="F1109" s="125"/>
      <c r="G1109" s="125"/>
      <c r="H1109" s="126"/>
      <c r="I1109" s="127"/>
      <c r="J1109" s="118">
        <f>IF(ISERROR(VLOOKUP(H1109,#REF!,9,0)),0,VLOOKUP(H1109,#REF!,9,0)*I1109)/3600</f>
        <v>0</v>
      </c>
    </row>
    <row r="1110" spans="2:10" x14ac:dyDescent="0.3">
      <c r="B1110" s="121">
        <f t="shared" si="35"/>
        <v>0</v>
      </c>
      <c r="C1110" s="122">
        <f t="shared" si="36"/>
        <v>0</v>
      </c>
      <c r="D1110" s="123"/>
      <c r="E1110" s="124"/>
      <c r="F1110" s="125"/>
      <c r="G1110" s="125"/>
      <c r="H1110" s="126"/>
      <c r="I1110" s="127"/>
      <c r="J1110" s="118">
        <f>IF(ISERROR(VLOOKUP(H1110,#REF!,9,0)),0,VLOOKUP(H1110,#REF!,9,0)*I1110)/3600</f>
        <v>0</v>
      </c>
    </row>
    <row r="1111" spans="2:10" x14ac:dyDescent="0.3">
      <c r="B1111" s="121">
        <f t="shared" si="35"/>
        <v>0</v>
      </c>
      <c r="C1111" s="122">
        <f t="shared" si="36"/>
        <v>0</v>
      </c>
      <c r="D1111" s="123"/>
      <c r="E1111" s="125"/>
      <c r="F1111" s="125"/>
      <c r="G1111" s="125"/>
      <c r="H1111" s="126"/>
      <c r="I1111" s="127"/>
      <c r="J1111" s="118">
        <f>IF(ISERROR(VLOOKUP(H1111,#REF!,9,0)),0,VLOOKUP(H1111,#REF!,9,0)*I1111)/3600</f>
        <v>0</v>
      </c>
    </row>
    <row r="1112" spans="2:10" x14ac:dyDescent="0.3">
      <c r="B1112" s="121">
        <f t="shared" si="35"/>
        <v>0</v>
      </c>
      <c r="C1112" s="122">
        <f t="shared" si="36"/>
        <v>0</v>
      </c>
      <c r="D1112" s="123"/>
      <c r="E1112" s="124"/>
      <c r="F1112" s="125"/>
      <c r="G1112" s="125"/>
      <c r="H1112" s="126"/>
      <c r="I1112" s="127"/>
      <c r="J1112" s="118">
        <f>IF(ISERROR(VLOOKUP(H1112,#REF!,9,0)),0,VLOOKUP(H1112,#REF!,9,0)*I1112)/3600</f>
        <v>0</v>
      </c>
    </row>
    <row r="1113" spans="2:10" x14ac:dyDescent="0.3">
      <c r="B1113" s="121">
        <f t="shared" si="35"/>
        <v>0</v>
      </c>
      <c r="C1113" s="122">
        <f t="shared" si="36"/>
        <v>0</v>
      </c>
      <c r="D1113" s="123"/>
      <c r="E1113" s="125"/>
      <c r="F1113" s="125"/>
      <c r="G1113" s="125"/>
      <c r="H1113" s="126"/>
      <c r="I1113" s="127"/>
      <c r="J1113" s="118">
        <f>IF(ISERROR(VLOOKUP(H1113,#REF!,9,0)),0,VLOOKUP(H1113,#REF!,9,0)*I1113)/3600</f>
        <v>0</v>
      </c>
    </row>
    <row r="1114" spans="2:10" x14ac:dyDescent="0.3">
      <c r="B1114" s="121">
        <f t="shared" si="35"/>
        <v>0</v>
      </c>
      <c r="C1114" s="122">
        <f t="shared" si="36"/>
        <v>0</v>
      </c>
      <c r="D1114" s="123"/>
      <c r="E1114" s="124"/>
      <c r="F1114" s="125"/>
      <c r="G1114" s="125"/>
      <c r="H1114" s="126"/>
      <c r="I1114" s="127"/>
      <c r="J1114" s="118">
        <f>IF(ISERROR(VLOOKUP(H1114,#REF!,9,0)),0,VLOOKUP(H1114,#REF!,9,0)*I1114)/3600</f>
        <v>0</v>
      </c>
    </row>
    <row r="1115" spans="2:10" x14ac:dyDescent="0.3">
      <c r="B1115" s="121">
        <f t="shared" si="35"/>
        <v>0</v>
      </c>
      <c r="C1115" s="122">
        <f t="shared" si="36"/>
        <v>0</v>
      </c>
      <c r="D1115" s="123"/>
      <c r="E1115" s="125"/>
      <c r="F1115" s="125"/>
      <c r="G1115" s="125"/>
      <c r="H1115" s="126"/>
      <c r="I1115" s="127"/>
      <c r="J1115" s="118">
        <f>IF(ISERROR(VLOOKUP(H1115,#REF!,9,0)),0,VLOOKUP(H1115,#REF!,9,0)*I1115)/3600</f>
        <v>0</v>
      </c>
    </row>
    <row r="1116" spans="2:10" x14ac:dyDescent="0.3">
      <c r="B1116" s="121">
        <f t="shared" si="35"/>
        <v>0</v>
      </c>
      <c r="C1116" s="122">
        <f t="shared" si="36"/>
        <v>0</v>
      </c>
      <c r="D1116" s="123"/>
      <c r="E1116" s="124"/>
      <c r="F1116" s="125"/>
      <c r="G1116" s="125"/>
      <c r="H1116" s="126"/>
      <c r="I1116" s="127"/>
      <c r="J1116" s="118">
        <f>IF(ISERROR(VLOOKUP(H1116,#REF!,9,0)),0,VLOOKUP(H1116,#REF!,9,0)*I1116)/3600</f>
        <v>0</v>
      </c>
    </row>
    <row r="1117" spans="2:10" x14ac:dyDescent="0.3">
      <c r="B1117" s="121">
        <f t="shared" si="35"/>
        <v>0</v>
      </c>
      <c r="C1117" s="122">
        <f t="shared" si="36"/>
        <v>0</v>
      </c>
      <c r="D1117" s="123"/>
      <c r="E1117" s="125"/>
      <c r="F1117" s="125"/>
      <c r="G1117" s="125"/>
      <c r="H1117" s="126"/>
      <c r="I1117" s="127"/>
      <c r="J1117" s="118">
        <f>IF(ISERROR(VLOOKUP(H1117,#REF!,9,0)),0,VLOOKUP(H1117,#REF!,9,0)*I1117)/3600</f>
        <v>0</v>
      </c>
    </row>
    <row r="1118" spans="2:10" x14ac:dyDescent="0.3">
      <c r="B1118" s="121">
        <f t="shared" si="35"/>
        <v>0</v>
      </c>
      <c r="C1118" s="122">
        <f t="shared" si="36"/>
        <v>0</v>
      </c>
      <c r="D1118" s="123"/>
      <c r="E1118" s="124"/>
      <c r="F1118" s="125"/>
      <c r="G1118" s="125"/>
      <c r="H1118" s="126"/>
      <c r="I1118" s="127"/>
      <c r="J1118" s="118">
        <f>IF(ISERROR(VLOOKUP(H1118,#REF!,9,0)),0,VLOOKUP(H1118,#REF!,9,0)*I1118)/3600</f>
        <v>0</v>
      </c>
    </row>
    <row r="1119" spans="2:10" x14ac:dyDescent="0.3">
      <c r="B1119" s="121">
        <f t="shared" si="35"/>
        <v>0</v>
      </c>
      <c r="C1119" s="122">
        <f t="shared" si="36"/>
        <v>0</v>
      </c>
      <c r="D1119" s="123"/>
      <c r="E1119" s="125"/>
      <c r="F1119" s="125"/>
      <c r="G1119" s="125"/>
      <c r="H1119" s="126"/>
      <c r="I1119" s="127"/>
      <c r="J1119" s="118">
        <f>IF(ISERROR(VLOOKUP(H1119,#REF!,9,0)),0,VLOOKUP(H1119,#REF!,9,0)*I1119)/3600</f>
        <v>0</v>
      </c>
    </row>
    <row r="1120" spans="2:10" x14ac:dyDescent="0.3">
      <c r="B1120" s="121">
        <f t="shared" si="35"/>
        <v>0</v>
      </c>
      <c r="C1120" s="122">
        <f t="shared" si="36"/>
        <v>0</v>
      </c>
      <c r="D1120" s="123"/>
      <c r="E1120" s="124"/>
      <c r="F1120" s="125"/>
      <c r="G1120" s="125"/>
      <c r="H1120" s="126"/>
      <c r="I1120" s="127"/>
      <c r="J1120" s="118">
        <f>IF(ISERROR(VLOOKUP(H1120,#REF!,9,0)),0,VLOOKUP(H1120,#REF!,9,0)*I1120)/3600</f>
        <v>0</v>
      </c>
    </row>
    <row r="1121" spans="2:10" x14ac:dyDescent="0.3">
      <c r="B1121" s="121">
        <f t="shared" si="35"/>
        <v>0</v>
      </c>
      <c r="C1121" s="122">
        <f t="shared" si="36"/>
        <v>0</v>
      </c>
      <c r="D1121" s="123"/>
      <c r="E1121" s="125"/>
      <c r="F1121" s="125"/>
      <c r="G1121" s="125"/>
      <c r="H1121" s="126"/>
      <c r="I1121" s="127"/>
      <c r="J1121" s="118">
        <f>IF(ISERROR(VLOOKUP(H1121,#REF!,9,0)),0,VLOOKUP(H1121,#REF!,9,0)*I1121)/3600</f>
        <v>0</v>
      </c>
    </row>
    <row r="1122" spans="2:10" x14ac:dyDescent="0.3">
      <c r="B1122" s="121">
        <f t="shared" si="35"/>
        <v>0</v>
      </c>
      <c r="C1122" s="122">
        <f t="shared" si="36"/>
        <v>0</v>
      </c>
      <c r="D1122" s="123"/>
      <c r="E1122" s="124"/>
      <c r="F1122" s="125"/>
      <c r="G1122" s="125"/>
      <c r="H1122" s="126"/>
      <c r="I1122" s="127"/>
      <c r="J1122" s="118">
        <f>IF(ISERROR(VLOOKUP(H1122,#REF!,9,0)),0,VLOOKUP(H1122,#REF!,9,0)*I1122)/3600</f>
        <v>0</v>
      </c>
    </row>
    <row r="1123" spans="2:10" x14ac:dyDescent="0.3">
      <c r="B1123" s="121">
        <f t="shared" si="35"/>
        <v>0</v>
      </c>
      <c r="C1123" s="122">
        <f t="shared" si="36"/>
        <v>0</v>
      </c>
      <c r="D1123" s="123"/>
      <c r="E1123" s="125"/>
      <c r="F1123" s="125"/>
      <c r="G1123" s="125"/>
      <c r="H1123" s="126"/>
      <c r="I1123" s="127"/>
      <c r="J1123" s="118">
        <f>IF(ISERROR(VLOOKUP(H1123,#REF!,9,0)),0,VLOOKUP(H1123,#REF!,9,0)*I1123)/3600</f>
        <v>0</v>
      </c>
    </row>
    <row r="1124" spans="2:10" x14ac:dyDescent="0.3">
      <c r="B1124" s="121">
        <f t="shared" si="35"/>
        <v>0</v>
      </c>
      <c r="C1124" s="122">
        <f t="shared" si="36"/>
        <v>0</v>
      </c>
      <c r="D1124" s="123"/>
      <c r="E1124" s="124"/>
      <c r="F1124" s="125"/>
      <c r="G1124" s="125"/>
      <c r="H1124" s="126"/>
      <c r="I1124" s="127"/>
      <c r="J1124" s="118">
        <f>IF(ISERROR(VLOOKUP(H1124,#REF!,9,0)),0,VLOOKUP(H1124,#REF!,9,0)*I1124)/3600</f>
        <v>0</v>
      </c>
    </row>
    <row r="1125" spans="2:10" x14ac:dyDescent="0.3">
      <c r="B1125" s="121">
        <f t="shared" si="35"/>
        <v>0</v>
      </c>
      <c r="C1125" s="122">
        <f t="shared" si="36"/>
        <v>0</v>
      </c>
      <c r="D1125" s="123"/>
      <c r="E1125" s="125"/>
      <c r="F1125" s="125"/>
      <c r="G1125" s="125"/>
      <c r="H1125" s="126"/>
      <c r="I1125" s="127"/>
      <c r="J1125" s="118">
        <f>IF(ISERROR(VLOOKUP(H1125,#REF!,9,0)),0,VLOOKUP(H1125,#REF!,9,0)*I1125)/3600</f>
        <v>0</v>
      </c>
    </row>
    <row r="1126" spans="2:10" x14ac:dyDescent="0.3">
      <c r="B1126" s="121">
        <f t="shared" si="35"/>
        <v>0</v>
      </c>
      <c r="C1126" s="122">
        <f t="shared" si="36"/>
        <v>0</v>
      </c>
      <c r="D1126" s="123"/>
      <c r="E1126" s="124"/>
      <c r="F1126" s="125"/>
      <c r="G1126" s="125"/>
      <c r="H1126" s="126"/>
      <c r="I1126" s="127"/>
      <c r="J1126" s="118">
        <f>IF(ISERROR(VLOOKUP(H1126,#REF!,9,0)),0,VLOOKUP(H1126,#REF!,9,0)*I1126)/3600</f>
        <v>0</v>
      </c>
    </row>
    <row r="1127" spans="2:10" x14ac:dyDescent="0.3">
      <c r="B1127" s="121">
        <f t="shared" si="35"/>
        <v>0</v>
      </c>
      <c r="C1127" s="122">
        <f t="shared" si="36"/>
        <v>0</v>
      </c>
      <c r="D1127" s="123"/>
      <c r="E1127" s="125"/>
      <c r="F1127" s="125"/>
      <c r="G1127" s="125"/>
      <c r="H1127" s="126"/>
      <c r="I1127" s="127"/>
      <c r="J1127" s="118">
        <f>IF(ISERROR(VLOOKUP(H1127,#REF!,9,0)),0,VLOOKUP(H1127,#REF!,9,0)*I1127)/3600</f>
        <v>0</v>
      </c>
    </row>
    <row r="1128" spans="2:10" x14ac:dyDescent="0.3">
      <c r="B1128" s="121">
        <f t="shared" si="35"/>
        <v>0</v>
      </c>
      <c r="C1128" s="122">
        <f t="shared" si="36"/>
        <v>0</v>
      </c>
      <c r="D1128" s="123"/>
      <c r="E1128" s="124"/>
      <c r="F1128" s="125"/>
      <c r="G1128" s="125"/>
      <c r="H1128" s="126"/>
      <c r="I1128" s="127"/>
      <c r="J1128" s="118">
        <f>IF(ISERROR(VLOOKUP(H1128,#REF!,9,0)),0,VLOOKUP(H1128,#REF!,9,0)*I1128)/3600</f>
        <v>0</v>
      </c>
    </row>
    <row r="1129" spans="2:10" x14ac:dyDescent="0.3">
      <c r="B1129" s="121">
        <f t="shared" si="35"/>
        <v>0</v>
      </c>
      <c r="C1129" s="122">
        <f t="shared" si="36"/>
        <v>0</v>
      </c>
      <c r="D1129" s="123"/>
      <c r="E1129" s="125"/>
      <c r="F1129" s="125"/>
      <c r="G1129" s="125"/>
      <c r="H1129" s="126"/>
      <c r="I1129" s="127"/>
      <c r="J1129" s="118">
        <f>IF(ISERROR(VLOOKUP(H1129,#REF!,9,0)),0,VLOOKUP(H1129,#REF!,9,0)*I1129)/3600</f>
        <v>0</v>
      </c>
    </row>
    <row r="1130" spans="2:10" x14ac:dyDescent="0.3">
      <c r="B1130" s="121">
        <f t="shared" si="35"/>
        <v>0</v>
      </c>
      <c r="C1130" s="122">
        <f t="shared" si="36"/>
        <v>0</v>
      </c>
      <c r="D1130" s="123"/>
      <c r="E1130" s="124"/>
      <c r="F1130" s="125"/>
      <c r="G1130" s="125"/>
      <c r="H1130" s="126"/>
      <c r="I1130" s="127"/>
      <c r="J1130" s="118">
        <f>IF(ISERROR(VLOOKUP(H1130,#REF!,9,0)),0,VLOOKUP(H1130,#REF!,9,0)*I1130)/3600</f>
        <v>0</v>
      </c>
    </row>
    <row r="1131" spans="2:10" x14ac:dyDescent="0.3">
      <c r="B1131" s="121">
        <f t="shared" si="35"/>
        <v>0</v>
      </c>
      <c r="C1131" s="122">
        <f t="shared" si="36"/>
        <v>0</v>
      </c>
      <c r="D1131" s="123"/>
      <c r="E1131" s="125"/>
      <c r="F1131" s="125"/>
      <c r="G1131" s="125"/>
      <c r="H1131" s="126"/>
      <c r="I1131" s="127"/>
      <c r="J1131" s="118">
        <f>IF(ISERROR(VLOOKUP(H1131,#REF!,9,0)),0,VLOOKUP(H1131,#REF!,9,0)*I1131)/3600</f>
        <v>0</v>
      </c>
    </row>
    <row r="1132" spans="2:10" x14ac:dyDescent="0.3">
      <c r="B1132" s="121">
        <f t="shared" si="35"/>
        <v>0</v>
      </c>
      <c r="C1132" s="122">
        <f t="shared" si="36"/>
        <v>0</v>
      </c>
      <c r="D1132" s="123"/>
      <c r="E1132" s="124"/>
      <c r="F1132" s="125"/>
      <c r="G1132" s="125"/>
      <c r="H1132" s="126"/>
      <c r="I1132" s="127"/>
      <c r="J1132" s="118">
        <f>IF(ISERROR(VLOOKUP(H1132,#REF!,9,0)),0,VLOOKUP(H1132,#REF!,9,0)*I1132)/3600</f>
        <v>0</v>
      </c>
    </row>
    <row r="1133" spans="2:10" x14ac:dyDescent="0.3">
      <c r="B1133" s="121">
        <f t="shared" si="35"/>
        <v>0</v>
      </c>
      <c r="C1133" s="122">
        <f t="shared" si="36"/>
        <v>0</v>
      </c>
      <c r="D1133" s="123"/>
      <c r="E1133" s="125"/>
      <c r="F1133" s="125"/>
      <c r="G1133" s="125"/>
      <c r="H1133" s="126"/>
      <c r="I1133" s="127"/>
      <c r="J1133" s="118">
        <f>IF(ISERROR(VLOOKUP(H1133,#REF!,9,0)),0,VLOOKUP(H1133,#REF!,9,0)*I1133)/3600</f>
        <v>0</v>
      </c>
    </row>
    <row r="1134" spans="2:10" x14ac:dyDescent="0.3">
      <c r="B1134" s="121">
        <f t="shared" si="35"/>
        <v>0</v>
      </c>
      <c r="C1134" s="122">
        <f t="shared" si="36"/>
        <v>0</v>
      </c>
      <c r="D1134" s="123"/>
      <c r="E1134" s="124"/>
      <c r="F1134" s="125"/>
      <c r="G1134" s="125"/>
      <c r="H1134" s="126"/>
      <c r="I1134" s="127"/>
      <c r="J1134" s="118">
        <f>IF(ISERROR(VLOOKUP(H1134,#REF!,9,0)),0,VLOOKUP(H1134,#REF!,9,0)*I1134)/3600</f>
        <v>0</v>
      </c>
    </row>
    <row r="1135" spans="2:10" x14ac:dyDescent="0.3">
      <c r="B1135" s="121">
        <f t="shared" si="35"/>
        <v>0</v>
      </c>
      <c r="C1135" s="122">
        <f t="shared" si="36"/>
        <v>0</v>
      </c>
      <c r="D1135" s="123"/>
      <c r="E1135" s="125"/>
      <c r="F1135" s="125"/>
      <c r="G1135" s="125"/>
      <c r="H1135" s="126"/>
      <c r="I1135" s="127"/>
      <c r="J1135" s="118">
        <f>IF(ISERROR(VLOOKUP(H1135,#REF!,9,0)),0,VLOOKUP(H1135,#REF!,9,0)*I1135)/3600</f>
        <v>0</v>
      </c>
    </row>
    <row r="1136" spans="2:10" x14ac:dyDescent="0.3">
      <c r="B1136" s="121">
        <f t="shared" si="35"/>
        <v>0</v>
      </c>
      <c r="C1136" s="122">
        <f t="shared" si="36"/>
        <v>0</v>
      </c>
      <c r="D1136" s="123"/>
      <c r="E1136" s="124"/>
      <c r="F1136" s="125"/>
      <c r="G1136" s="125"/>
      <c r="H1136" s="126"/>
      <c r="I1136" s="127"/>
      <c r="J1136" s="118">
        <f>IF(ISERROR(VLOOKUP(H1136,#REF!,9,0)),0,VLOOKUP(H1136,#REF!,9,0)*I1136)/3600</f>
        <v>0</v>
      </c>
    </row>
    <row r="1137" spans="2:10" x14ac:dyDescent="0.3">
      <c r="B1137" s="121">
        <f t="shared" si="35"/>
        <v>0</v>
      </c>
      <c r="C1137" s="122">
        <f t="shared" si="36"/>
        <v>0</v>
      </c>
      <c r="D1137" s="123"/>
      <c r="E1137" s="125"/>
      <c r="F1137" s="125"/>
      <c r="G1137" s="125"/>
      <c r="H1137" s="126"/>
      <c r="I1137" s="127"/>
      <c r="J1137" s="118">
        <f>IF(ISERROR(VLOOKUP(H1137,#REF!,9,0)),0,VLOOKUP(H1137,#REF!,9,0)*I1137)/3600</f>
        <v>0</v>
      </c>
    </row>
    <row r="1138" spans="2:10" x14ac:dyDescent="0.3">
      <c r="B1138" s="121">
        <f t="shared" si="35"/>
        <v>0</v>
      </c>
      <c r="C1138" s="122">
        <f t="shared" si="36"/>
        <v>0</v>
      </c>
      <c r="D1138" s="123"/>
      <c r="E1138" s="124"/>
      <c r="F1138" s="125"/>
      <c r="G1138" s="125"/>
      <c r="H1138" s="126"/>
      <c r="I1138" s="127"/>
      <c r="J1138" s="118">
        <f>IF(ISERROR(VLOOKUP(H1138,#REF!,9,0)),0,VLOOKUP(H1138,#REF!,9,0)*I1138)/3600</f>
        <v>0</v>
      </c>
    </row>
    <row r="1139" spans="2:10" x14ac:dyDescent="0.3">
      <c r="B1139" s="121">
        <f t="shared" si="35"/>
        <v>0</v>
      </c>
      <c r="C1139" s="122">
        <f t="shared" si="36"/>
        <v>0</v>
      </c>
      <c r="D1139" s="123"/>
      <c r="E1139" s="125"/>
      <c r="F1139" s="125"/>
      <c r="G1139" s="125"/>
      <c r="H1139" s="126"/>
      <c r="I1139" s="127"/>
      <c r="J1139" s="118">
        <f>IF(ISERROR(VLOOKUP(H1139,#REF!,9,0)),0,VLOOKUP(H1139,#REF!,9,0)*I1139)/3600</f>
        <v>0</v>
      </c>
    </row>
    <row r="1140" spans="2:10" x14ac:dyDescent="0.3">
      <c r="B1140" s="121">
        <f t="shared" si="35"/>
        <v>0</v>
      </c>
      <c r="C1140" s="122">
        <f t="shared" si="36"/>
        <v>0</v>
      </c>
      <c r="D1140" s="123"/>
      <c r="E1140" s="124"/>
      <c r="F1140" s="125"/>
      <c r="G1140" s="125"/>
      <c r="H1140" s="126"/>
      <c r="I1140" s="127"/>
      <c r="J1140" s="118">
        <f>IF(ISERROR(VLOOKUP(H1140,#REF!,9,0)),0,VLOOKUP(H1140,#REF!,9,0)*I1140)/3600</f>
        <v>0</v>
      </c>
    </row>
    <row r="1141" spans="2:10" x14ac:dyDescent="0.3">
      <c r="B1141" s="121">
        <f t="shared" si="35"/>
        <v>0</v>
      </c>
      <c r="C1141" s="122">
        <f t="shared" si="36"/>
        <v>0</v>
      </c>
      <c r="D1141" s="123"/>
      <c r="E1141" s="125"/>
      <c r="F1141" s="125"/>
      <c r="G1141" s="125"/>
      <c r="H1141" s="126"/>
      <c r="I1141" s="127"/>
      <c r="J1141" s="118">
        <f>IF(ISERROR(VLOOKUP(H1141,#REF!,9,0)),0,VLOOKUP(H1141,#REF!,9,0)*I1141)/3600</f>
        <v>0</v>
      </c>
    </row>
    <row r="1142" spans="2:10" x14ac:dyDescent="0.3">
      <c r="B1142" s="121">
        <f t="shared" si="35"/>
        <v>0</v>
      </c>
      <c r="C1142" s="122">
        <f t="shared" si="36"/>
        <v>0</v>
      </c>
      <c r="D1142" s="123"/>
      <c r="E1142" s="124"/>
      <c r="F1142" s="125"/>
      <c r="G1142" s="125"/>
      <c r="H1142" s="126"/>
      <c r="I1142" s="127"/>
      <c r="J1142" s="118">
        <f>IF(ISERROR(VLOOKUP(H1142,#REF!,9,0)),0,VLOOKUP(H1142,#REF!,9,0)*I1142)/3600</f>
        <v>0</v>
      </c>
    </row>
    <row r="1143" spans="2:10" x14ac:dyDescent="0.3">
      <c r="B1143" s="121">
        <f t="shared" si="35"/>
        <v>0</v>
      </c>
      <c r="C1143" s="122">
        <f t="shared" si="36"/>
        <v>0</v>
      </c>
      <c r="D1143" s="123"/>
      <c r="E1143" s="125"/>
      <c r="F1143" s="125"/>
      <c r="G1143" s="125"/>
      <c r="H1143" s="126"/>
      <c r="I1143" s="127"/>
      <c r="J1143" s="118">
        <f>IF(ISERROR(VLOOKUP(H1143,#REF!,9,0)),0,VLOOKUP(H1143,#REF!,9,0)*I1143)/3600</f>
        <v>0</v>
      </c>
    </row>
    <row r="1144" spans="2:10" x14ac:dyDescent="0.3">
      <c r="B1144" s="121">
        <f t="shared" si="35"/>
        <v>0</v>
      </c>
      <c r="C1144" s="122">
        <f t="shared" si="36"/>
        <v>0</v>
      </c>
      <c r="D1144" s="123"/>
      <c r="E1144" s="124"/>
      <c r="F1144" s="125"/>
      <c r="G1144" s="125"/>
      <c r="H1144" s="126"/>
      <c r="I1144" s="127"/>
      <c r="J1144" s="118">
        <f>IF(ISERROR(VLOOKUP(H1144,#REF!,9,0)),0,VLOOKUP(H1144,#REF!,9,0)*I1144)/3600</f>
        <v>0</v>
      </c>
    </row>
    <row r="1145" spans="2:10" x14ac:dyDescent="0.3">
      <c r="B1145" s="121">
        <f t="shared" si="35"/>
        <v>0</v>
      </c>
      <c r="C1145" s="122">
        <f t="shared" si="36"/>
        <v>0</v>
      </c>
      <c r="D1145" s="123"/>
      <c r="E1145" s="125"/>
      <c r="F1145" s="125"/>
      <c r="G1145" s="125"/>
      <c r="H1145" s="126"/>
      <c r="I1145" s="127"/>
      <c r="J1145" s="118">
        <f>IF(ISERROR(VLOOKUP(H1145,#REF!,9,0)),0,VLOOKUP(H1145,#REF!,9,0)*I1145)/3600</f>
        <v>0</v>
      </c>
    </row>
    <row r="1146" spans="2:10" x14ac:dyDescent="0.3">
      <c r="B1146" s="121">
        <f t="shared" si="35"/>
        <v>0</v>
      </c>
      <c r="C1146" s="122">
        <f t="shared" si="36"/>
        <v>0</v>
      </c>
      <c r="D1146" s="123"/>
      <c r="E1146" s="124"/>
      <c r="F1146" s="125"/>
      <c r="G1146" s="125"/>
      <c r="H1146" s="126"/>
      <c r="I1146" s="127"/>
      <c r="J1146" s="118">
        <f>IF(ISERROR(VLOOKUP(H1146,#REF!,9,0)),0,VLOOKUP(H1146,#REF!,9,0)*I1146)/3600</f>
        <v>0</v>
      </c>
    </row>
    <row r="1147" spans="2:10" x14ac:dyDescent="0.3">
      <c r="B1147" s="121">
        <f t="shared" si="35"/>
        <v>0</v>
      </c>
      <c r="C1147" s="122">
        <f t="shared" si="36"/>
        <v>0</v>
      </c>
      <c r="D1147" s="123"/>
      <c r="E1147" s="125"/>
      <c r="F1147" s="125"/>
      <c r="G1147" s="125"/>
      <c r="H1147" s="126"/>
      <c r="I1147" s="127"/>
      <c r="J1147" s="118">
        <f>IF(ISERROR(VLOOKUP(H1147,#REF!,9,0)),0,VLOOKUP(H1147,#REF!,9,0)*I1147)/3600</f>
        <v>0</v>
      </c>
    </row>
    <row r="1148" spans="2:10" x14ac:dyDescent="0.3">
      <c r="B1148" s="121">
        <f t="shared" si="35"/>
        <v>0</v>
      </c>
      <c r="C1148" s="122">
        <f t="shared" si="36"/>
        <v>0</v>
      </c>
      <c r="D1148" s="123"/>
      <c r="E1148" s="124"/>
      <c r="F1148" s="125"/>
      <c r="G1148" s="125"/>
      <c r="H1148" s="126"/>
      <c r="I1148" s="127"/>
      <c r="J1148" s="118">
        <f>IF(ISERROR(VLOOKUP(H1148,#REF!,9,0)),0,VLOOKUP(H1148,#REF!,9,0)*I1148)/3600</f>
        <v>0</v>
      </c>
    </row>
    <row r="1149" spans="2:10" x14ac:dyDescent="0.3">
      <c r="B1149" s="121">
        <f t="shared" si="35"/>
        <v>0</v>
      </c>
      <c r="C1149" s="122">
        <f t="shared" si="36"/>
        <v>0</v>
      </c>
      <c r="D1149" s="123"/>
      <c r="E1149" s="125"/>
      <c r="F1149" s="125"/>
      <c r="G1149" s="125"/>
      <c r="H1149" s="126"/>
      <c r="I1149" s="127"/>
      <c r="J1149" s="118">
        <f>IF(ISERROR(VLOOKUP(H1149,#REF!,9,0)),0,VLOOKUP(H1149,#REF!,9,0)*I1149)/3600</f>
        <v>0</v>
      </c>
    </row>
    <row r="1150" spans="2:10" x14ac:dyDescent="0.3">
      <c r="B1150" s="121">
        <f t="shared" si="35"/>
        <v>0</v>
      </c>
      <c r="C1150" s="122">
        <f t="shared" si="36"/>
        <v>0</v>
      </c>
      <c r="D1150" s="123"/>
      <c r="E1150" s="124"/>
      <c r="F1150" s="125"/>
      <c r="G1150" s="125"/>
      <c r="H1150" s="126"/>
      <c r="I1150" s="127"/>
      <c r="J1150" s="118">
        <f>IF(ISERROR(VLOOKUP(H1150,#REF!,9,0)),0,VLOOKUP(H1150,#REF!,9,0)*I1150)/3600</f>
        <v>0</v>
      </c>
    </row>
    <row r="1151" spans="2:10" x14ac:dyDescent="0.3">
      <c r="B1151" s="121">
        <f t="shared" si="35"/>
        <v>0</v>
      </c>
      <c r="C1151" s="122">
        <f t="shared" si="36"/>
        <v>0</v>
      </c>
      <c r="D1151" s="123"/>
      <c r="E1151" s="125"/>
      <c r="F1151" s="125"/>
      <c r="G1151" s="125"/>
      <c r="H1151" s="126"/>
      <c r="I1151" s="127"/>
      <c r="J1151" s="118">
        <f>IF(ISERROR(VLOOKUP(H1151,#REF!,9,0)),0,VLOOKUP(H1151,#REF!,9,0)*I1151)/3600</f>
        <v>0</v>
      </c>
    </row>
    <row r="1152" spans="2:10" x14ac:dyDescent="0.3">
      <c r="B1152" s="121">
        <f t="shared" si="35"/>
        <v>0</v>
      </c>
      <c r="C1152" s="122">
        <f t="shared" si="36"/>
        <v>0</v>
      </c>
      <c r="D1152" s="123"/>
      <c r="E1152" s="124"/>
      <c r="F1152" s="125"/>
      <c r="G1152" s="125"/>
      <c r="H1152" s="126"/>
      <c r="I1152" s="127"/>
      <c r="J1152" s="118">
        <f>IF(ISERROR(VLOOKUP(H1152,#REF!,9,0)),0,VLOOKUP(H1152,#REF!,9,0)*I1152)/3600</f>
        <v>0</v>
      </c>
    </row>
    <row r="1153" spans="2:10" x14ac:dyDescent="0.3">
      <c r="B1153" s="121">
        <f t="shared" si="35"/>
        <v>0</v>
      </c>
      <c r="C1153" s="122">
        <f t="shared" si="36"/>
        <v>0</v>
      </c>
      <c r="D1153" s="123"/>
      <c r="E1153" s="125"/>
      <c r="F1153" s="125"/>
      <c r="G1153" s="125"/>
      <c r="H1153" s="126"/>
      <c r="I1153" s="127"/>
      <c r="J1153" s="118">
        <f>IF(ISERROR(VLOOKUP(H1153,#REF!,9,0)),0,VLOOKUP(H1153,#REF!,9,0)*I1153)/3600</f>
        <v>0</v>
      </c>
    </row>
    <row r="1154" spans="2:10" x14ac:dyDescent="0.3">
      <c r="B1154" s="121">
        <f t="shared" si="35"/>
        <v>0</v>
      </c>
      <c r="C1154" s="122">
        <f t="shared" si="36"/>
        <v>0</v>
      </c>
      <c r="D1154" s="123"/>
      <c r="E1154" s="124"/>
      <c r="F1154" s="125"/>
      <c r="G1154" s="125"/>
      <c r="H1154" s="126"/>
      <c r="I1154" s="127"/>
      <c r="J1154" s="118">
        <f>IF(ISERROR(VLOOKUP(H1154,#REF!,9,0)),0,VLOOKUP(H1154,#REF!,9,0)*I1154)/3600</f>
        <v>0</v>
      </c>
    </row>
    <row r="1155" spans="2:10" x14ac:dyDescent="0.3">
      <c r="B1155" s="121">
        <f t="shared" si="35"/>
        <v>0</v>
      </c>
      <c r="C1155" s="122">
        <f t="shared" si="36"/>
        <v>0</v>
      </c>
      <c r="D1155" s="123"/>
      <c r="E1155" s="125"/>
      <c r="F1155" s="125"/>
      <c r="G1155" s="125"/>
      <c r="H1155" s="126"/>
      <c r="I1155" s="127"/>
      <c r="J1155" s="118">
        <f>IF(ISERROR(VLOOKUP(H1155,#REF!,9,0)),0,VLOOKUP(H1155,#REF!,9,0)*I1155)/3600</f>
        <v>0</v>
      </c>
    </row>
    <row r="1156" spans="2:10" x14ac:dyDescent="0.3">
      <c r="B1156" s="121">
        <f t="shared" si="35"/>
        <v>0</v>
      </c>
      <c r="C1156" s="122">
        <f t="shared" si="36"/>
        <v>0</v>
      </c>
      <c r="D1156" s="123"/>
      <c r="E1156" s="124"/>
      <c r="F1156" s="125"/>
      <c r="G1156" s="125"/>
      <c r="H1156" s="126"/>
      <c r="I1156" s="127"/>
      <c r="J1156" s="118">
        <f>IF(ISERROR(VLOOKUP(H1156,#REF!,9,0)),0,VLOOKUP(H1156,#REF!,9,0)*I1156)/3600</f>
        <v>0</v>
      </c>
    </row>
    <row r="1157" spans="2:10" x14ac:dyDescent="0.3">
      <c r="B1157" s="121">
        <f t="shared" si="35"/>
        <v>0</v>
      </c>
      <c r="C1157" s="122">
        <f t="shared" si="36"/>
        <v>0</v>
      </c>
      <c r="D1157" s="123"/>
      <c r="E1157" s="125"/>
      <c r="F1157" s="125"/>
      <c r="G1157" s="125"/>
      <c r="H1157" s="126"/>
      <c r="I1157" s="127"/>
      <c r="J1157" s="118">
        <f>IF(ISERROR(VLOOKUP(H1157,#REF!,9,0)),0,VLOOKUP(H1157,#REF!,9,0)*I1157)/3600</f>
        <v>0</v>
      </c>
    </row>
    <row r="1158" spans="2:10" x14ac:dyDescent="0.3">
      <c r="B1158" s="121">
        <f t="shared" ref="B1158:B1221" si="37">IF(D1158&gt;0,YEAR(D1158),0)</f>
        <v>0</v>
      </c>
      <c r="C1158" s="122">
        <f t="shared" ref="C1158:C1221" si="38">IF(D1158&gt;0,MONTH(D1158),0)</f>
        <v>0</v>
      </c>
      <c r="D1158" s="123"/>
      <c r="E1158" s="124"/>
      <c r="F1158" s="125"/>
      <c r="G1158" s="125"/>
      <c r="H1158" s="126"/>
      <c r="I1158" s="127"/>
      <c r="J1158" s="118">
        <f>IF(ISERROR(VLOOKUP(H1158,#REF!,9,0)),0,VLOOKUP(H1158,#REF!,9,0)*I1158)/3600</f>
        <v>0</v>
      </c>
    </row>
    <row r="1159" spans="2:10" x14ac:dyDescent="0.3">
      <c r="B1159" s="121">
        <f t="shared" si="37"/>
        <v>0</v>
      </c>
      <c r="C1159" s="122">
        <f t="shared" si="38"/>
        <v>0</v>
      </c>
      <c r="D1159" s="123"/>
      <c r="E1159" s="125"/>
      <c r="F1159" s="125"/>
      <c r="G1159" s="125"/>
      <c r="H1159" s="126"/>
      <c r="I1159" s="127"/>
      <c r="J1159" s="118">
        <f>IF(ISERROR(VLOOKUP(H1159,#REF!,9,0)),0,VLOOKUP(H1159,#REF!,9,0)*I1159)/3600</f>
        <v>0</v>
      </c>
    </row>
    <row r="1160" spans="2:10" x14ac:dyDescent="0.3">
      <c r="B1160" s="121">
        <f t="shared" si="37"/>
        <v>0</v>
      </c>
      <c r="C1160" s="122">
        <f t="shared" si="38"/>
        <v>0</v>
      </c>
      <c r="D1160" s="123"/>
      <c r="E1160" s="124"/>
      <c r="F1160" s="125"/>
      <c r="G1160" s="125"/>
      <c r="H1160" s="126"/>
      <c r="I1160" s="127"/>
      <c r="J1160" s="118">
        <f>IF(ISERROR(VLOOKUP(H1160,#REF!,9,0)),0,VLOOKUP(H1160,#REF!,9,0)*I1160)/3600</f>
        <v>0</v>
      </c>
    </row>
    <row r="1161" spans="2:10" x14ac:dyDescent="0.3">
      <c r="B1161" s="121">
        <f t="shared" si="37"/>
        <v>0</v>
      </c>
      <c r="C1161" s="122">
        <f t="shared" si="38"/>
        <v>0</v>
      </c>
      <c r="D1161" s="123"/>
      <c r="E1161" s="125"/>
      <c r="F1161" s="125"/>
      <c r="G1161" s="125"/>
      <c r="H1161" s="126"/>
      <c r="I1161" s="127"/>
      <c r="J1161" s="118">
        <f>IF(ISERROR(VLOOKUP(H1161,#REF!,9,0)),0,VLOOKUP(H1161,#REF!,9,0)*I1161)/3600</f>
        <v>0</v>
      </c>
    </row>
    <row r="1162" spans="2:10" x14ac:dyDescent="0.3">
      <c r="B1162" s="121">
        <f t="shared" si="37"/>
        <v>0</v>
      </c>
      <c r="C1162" s="122">
        <f t="shared" si="38"/>
        <v>0</v>
      </c>
      <c r="D1162" s="123"/>
      <c r="E1162" s="124"/>
      <c r="F1162" s="125"/>
      <c r="G1162" s="125"/>
      <c r="H1162" s="126"/>
      <c r="I1162" s="127"/>
      <c r="J1162" s="118">
        <f>IF(ISERROR(VLOOKUP(H1162,#REF!,9,0)),0,VLOOKUP(H1162,#REF!,9,0)*I1162)/3600</f>
        <v>0</v>
      </c>
    </row>
    <row r="1163" spans="2:10" x14ac:dyDescent="0.3">
      <c r="B1163" s="121">
        <f t="shared" si="37"/>
        <v>0</v>
      </c>
      <c r="C1163" s="122">
        <f t="shared" si="38"/>
        <v>0</v>
      </c>
      <c r="D1163" s="123"/>
      <c r="E1163" s="125"/>
      <c r="F1163" s="125"/>
      <c r="G1163" s="125"/>
      <c r="H1163" s="126"/>
      <c r="I1163" s="127"/>
      <c r="J1163" s="118">
        <f>IF(ISERROR(VLOOKUP(H1163,#REF!,9,0)),0,VLOOKUP(H1163,#REF!,9,0)*I1163)/3600</f>
        <v>0</v>
      </c>
    </row>
    <row r="1164" spans="2:10" x14ac:dyDescent="0.3">
      <c r="B1164" s="121">
        <f t="shared" si="37"/>
        <v>0</v>
      </c>
      <c r="C1164" s="122">
        <f t="shared" si="38"/>
        <v>0</v>
      </c>
      <c r="D1164" s="123"/>
      <c r="E1164" s="124"/>
      <c r="F1164" s="125"/>
      <c r="G1164" s="125"/>
      <c r="H1164" s="126"/>
      <c r="I1164" s="127"/>
      <c r="J1164" s="118">
        <f>IF(ISERROR(VLOOKUP(H1164,#REF!,9,0)),0,VLOOKUP(H1164,#REF!,9,0)*I1164)/3600</f>
        <v>0</v>
      </c>
    </row>
    <row r="1165" spans="2:10" x14ac:dyDescent="0.3">
      <c r="B1165" s="121">
        <f t="shared" si="37"/>
        <v>0</v>
      </c>
      <c r="C1165" s="122">
        <f t="shared" si="38"/>
        <v>0</v>
      </c>
      <c r="D1165" s="123"/>
      <c r="E1165" s="125"/>
      <c r="F1165" s="125"/>
      <c r="G1165" s="125"/>
      <c r="H1165" s="126"/>
      <c r="I1165" s="127"/>
      <c r="J1165" s="118">
        <f>IF(ISERROR(VLOOKUP(H1165,#REF!,9,0)),0,VLOOKUP(H1165,#REF!,9,0)*I1165)/3600</f>
        <v>0</v>
      </c>
    </row>
    <row r="1166" spans="2:10" x14ac:dyDescent="0.3">
      <c r="B1166" s="121">
        <f t="shared" si="37"/>
        <v>0</v>
      </c>
      <c r="C1166" s="122">
        <f t="shared" si="38"/>
        <v>0</v>
      </c>
      <c r="D1166" s="123"/>
      <c r="E1166" s="124"/>
      <c r="F1166" s="125"/>
      <c r="G1166" s="125"/>
      <c r="H1166" s="126"/>
      <c r="I1166" s="127"/>
      <c r="J1166" s="118">
        <f>IF(ISERROR(VLOOKUP(H1166,#REF!,9,0)),0,VLOOKUP(H1166,#REF!,9,0)*I1166)/3600</f>
        <v>0</v>
      </c>
    </row>
    <row r="1167" spans="2:10" x14ac:dyDescent="0.3">
      <c r="B1167" s="121">
        <f t="shared" si="37"/>
        <v>0</v>
      </c>
      <c r="C1167" s="122">
        <f t="shared" si="38"/>
        <v>0</v>
      </c>
      <c r="D1167" s="123"/>
      <c r="E1167" s="125"/>
      <c r="F1167" s="125"/>
      <c r="G1167" s="125"/>
      <c r="H1167" s="126"/>
      <c r="I1167" s="127"/>
      <c r="J1167" s="118">
        <f>IF(ISERROR(VLOOKUP(H1167,#REF!,9,0)),0,VLOOKUP(H1167,#REF!,9,0)*I1167)/3600</f>
        <v>0</v>
      </c>
    </row>
    <row r="1168" spans="2:10" x14ac:dyDescent="0.3">
      <c r="B1168" s="121">
        <f t="shared" si="37"/>
        <v>0</v>
      </c>
      <c r="C1168" s="122">
        <f t="shared" si="38"/>
        <v>0</v>
      </c>
      <c r="D1168" s="123"/>
      <c r="E1168" s="124"/>
      <c r="F1168" s="125"/>
      <c r="G1168" s="125"/>
      <c r="H1168" s="126"/>
      <c r="I1168" s="127"/>
      <c r="J1168" s="118">
        <f>IF(ISERROR(VLOOKUP(H1168,#REF!,9,0)),0,VLOOKUP(H1168,#REF!,9,0)*I1168)/3600</f>
        <v>0</v>
      </c>
    </row>
    <row r="1169" spans="2:10" x14ac:dyDescent="0.3">
      <c r="B1169" s="121">
        <f t="shared" si="37"/>
        <v>0</v>
      </c>
      <c r="C1169" s="122">
        <f t="shared" si="38"/>
        <v>0</v>
      </c>
      <c r="D1169" s="123"/>
      <c r="E1169" s="125"/>
      <c r="F1169" s="125"/>
      <c r="G1169" s="125"/>
      <c r="H1169" s="126"/>
      <c r="I1169" s="127"/>
      <c r="J1169" s="118">
        <f>IF(ISERROR(VLOOKUP(H1169,#REF!,9,0)),0,VLOOKUP(H1169,#REF!,9,0)*I1169)/3600</f>
        <v>0</v>
      </c>
    </row>
    <row r="1170" spans="2:10" x14ac:dyDescent="0.3">
      <c r="B1170" s="121">
        <f t="shared" si="37"/>
        <v>0</v>
      </c>
      <c r="C1170" s="122">
        <f t="shared" si="38"/>
        <v>0</v>
      </c>
      <c r="D1170" s="123"/>
      <c r="E1170" s="124"/>
      <c r="F1170" s="125"/>
      <c r="G1170" s="125"/>
      <c r="H1170" s="126"/>
      <c r="I1170" s="127"/>
      <c r="J1170" s="118">
        <f>IF(ISERROR(VLOOKUP(H1170,#REF!,9,0)),0,VLOOKUP(H1170,#REF!,9,0)*I1170)/3600</f>
        <v>0</v>
      </c>
    </row>
    <row r="1171" spans="2:10" x14ac:dyDescent="0.3">
      <c r="B1171" s="121">
        <f t="shared" si="37"/>
        <v>0</v>
      </c>
      <c r="C1171" s="122">
        <f t="shared" si="38"/>
        <v>0</v>
      </c>
      <c r="D1171" s="123"/>
      <c r="E1171" s="125"/>
      <c r="F1171" s="125"/>
      <c r="G1171" s="125"/>
      <c r="H1171" s="126"/>
      <c r="I1171" s="127"/>
      <c r="J1171" s="118">
        <f>IF(ISERROR(VLOOKUP(H1171,#REF!,9,0)),0,VLOOKUP(H1171,#REF!,9,0)*I1171)/3600</f>
        <v>0</v>
      </c>
    </row>
    <row r="1172" spans="2:10" x14ac:dyDescent="0.3">
      <c r="B1172" s="121">
        <f t="shared" si="37"/>
        <v>0</v>
      </c>
      <c r="C1172" s="122">
        <f t="shared" si="38"/>
        <v>0</v>
      </c>
      <c r="D1172" s="123"/>
      <c r="E1172" s="124"/>
      <c r="F1172" s="125"/>
      <c r="G1172" s="125"/>
      <c r="H1172" s="126"/>
      <c r="I1172" s="127"/>
      <c r="J1172" s="118">
        <f>IF(ISERROR(VLOOKUP(H1172,#REF!,9,0)),0,VLOOKUP(H1172,#REF!,9,0)*I1172)/3600</f>
        <v>0</v>
      </c>
    </row>
    <row r="1173" spans="2:10" x14ac:dyDescent="0.3">
      <c r="B1173" s="121">
        <f t="shared" si="37"/>
        <v>0</v>
      </c>
      <c r="C1173" s="122">
        <f t="shared" si="38"/>
        <v>0</v>
      </c>
      <c r="D1173" s="123"/>
      <c r="E1173" s="125"/>
      <c r="F1173" s="125"/>
      <c r="G1173" s="125"/>
      <c r="H1173" s="126"/>
      <c r="I1173" s="127"/>
      <c r="J1173" s="118">
        <f>IF(ISERROR(VLOOKUP(H1173,#REF!,9,0)),0,VLOOKUP(H1173,#REF!,9,0)*I1173)/3600</f>
        <v>0</v>
      </c>
    </row>
    <row r="1174" spans="2:10" x14ac:dyDescent="0.3">
      <c r="B1174" s="121">
        <f t="shared" si="37"/>
        <v>0</v>
      </c>
      <c r="C1174" s="122">
        <f t="shared" si="38"/>
        <v>0</v>
      </c>
      <c r="D1174" s="123"/>
      <c r="E1174" s="124"/>
      <c r="F1174" s="125"/>
      <c r="G1174" s="125"/>
      <c r="H1174" s="126"/>
      <c r="I1174" s="127"/>
      <c r="J1174" s="118">
        <f>IF(ISERROR(VLOOKUP(H1174,#REF!,9,0)),0,VLOOKUP(H1174,#REF!,9,0)*I1174)/3600</f>
        <v>0</v>
      </c>
    </row>
    <row r="1175" spans="2:10" x14ac:dyDescent="0.3">
      <c r="B1175" s="121">
        <f t="shared" si="37"/>
        <v>0</v>
      </c>
      <c r="C1175" s="122">
        <f t="shared" si="38"/>
        <v>0</v>
      </c>
      <c r="D1175" s="123"/>
      <c r="E1175" s="125"/>
      <c r="F1175" s="125"/>
      <c r="G1175" s="125"/>
      <c r="H1175" s="126"/>
      <c r="I1175" s="127"/>
      <c r="J1175" s="118">
        <f>IF(ISERROR(VLOOKUP(H1175,#REF!,9,0)),0,VLOOKUP(H1175,#REF!,9,0)*I1175)/3600</f>
        <v>0</v>
      </c>
    </row>
    <row r="1176" spans="2:10" x14ac:dyDescent="0.3">
      <c r="B1176" s="121">
        <f t="shared" si="37"/>
        <v>0</v>
      </c>
      <c r="C1176" s="122">
        <f t="shared" si="38"/>
        <v>0</v>
      </c>
      <c r="D1176" s="123"/>
      <c r="E1176" s="124"/>
      <c r="F1176" s="125"/>
      <c r="G1176" s="125"/>
      <c r="H1176" s="126"/>
      <c r="I1176" s="127"/>
      <c r="J1176" s="118">
        <f>IF(ISERROR(VLOOKUP(H1176,#REF!,9,0)),0,VLOOKUP(H1176,#REF!,9,0)*I1176)/3600</f>
        <v>0</v>
      </c>
    </row>
    <row r="1177" spans="2:10" x14ac:dyDescent="0.3">
      <c r="B1177" s="121">
        <f t="shared" si="37"/>
        <v>0</v>
      </c>
      <c r="C1177" s="122">
        <f t="shared" si="38"/>
        <v>0</v>
      </c>
      <c r="D1177" s="123"/>
      <c r="E1177" s="125"/>
      <c r="F1177" s="125"/>
      <c r="G1177" s="125"/>
      <c r="H1177" s="126"/>
      <c r="I1177" s="127"/>
      <c r="J1177" s="118">
        <f>IF(ISERROR(VLOOKUP(H1177,#REF!,9,0)),0,VLOOKUP(H1177,#REF!,9,0)*I1177)/3600</f>
        <v>0</v>
      </c>
    </row>
    <row r="1178" spans="2:10" x14ac:dyDescent="0.3">
      <c r="B1178" s="121">
        <f t="shared" si="37"/>
        <v>0</v>
      </c>
      <c r="C1178" s="122">
        <f t="shared" si="38"/>
        <v>0</v>
      </c>
      <c r="D1178" s="123"/>
      <c r="E1178" s="124"/>
      <c r="F1178" s="125"/>
      <c r="G1178" s="125"/>
      <c r="H1178" s="126"/>
      <c r="I1178" s="127"/>
      <c r="J1178" s="118">
        <f>IF(ISERROR(VLOOKUP(H1178,#REF!,9,0)),0,VLOOKUP(H1178,#REF!,9,0)*I1178)/3600</f>
        <v>0</v>
      </c>
    </row>
    <row r="1179" spans="2:10" x14ac:dyDescent="0.3">
      <c r="B1179" s="121">
        <f t="shared" si="37"/>
        <v>0</v>
      </c>
      <c r="C1179" s="122">
        <f t="shared" si="38"/>
        <v>0</v>
      </c>
      <c r="D1179" s="123"/>
      <c r="E1179" s="125"/>
      <c r="F1179" s="125"/>
      <c r="G1179" s="125"/>
      <c r="H1179" s="126"/>
      <c r="I1179" s="127"/>
      <c r="J1179" s="118">
        <f>IF(ISERROR(VLOOKUP(H1179,#REF!,9,0)),0,VLOOKUP(H1179,#REF!,9,0)*I1179)/3600</f>
        <v>0</v>
      </c>
    </row>
    <row r="1180" spans="2:10" x14ac:dyDescent="0.3">
      <c r="B1180" s="121">
        <f t="shared" si="37"/>
        <v>0</v>
      </c>
      <c r="C1180" s="122">
        <f t="shared" si="38"/>
        <v>0</v>
      </c>
      <c r="D1180" s="123"/>
      <c r="E1180" s="124"/>
      <c r="F1180" s="125"/>
      <c r="G1180" s="125"/>
      <c r="H1180" s="126"/>
      <c r="I1180" s="127"/>
      <c r="J1180" s="118">
        <f>IF(ISERROR(VLOOKUP(H1180,#REF!,9,0)),0,VLOOKUP(H1180,#REF!,9,0)*I1180)/3600</f>
        <v>0</v>
      </c>
    </row>
    <row r="1181" spans="2:10" x14ac:dyDescent="0.3">
      <c r="B1181" s="121">
        <f t="shared" si="37"/>
        <v>0</v>
      </c>
      <c r="C1181" s="122">
        <f t="shared" si="38"/>
        <v>0</v>
      </c>
      <c r="D1181" s="123"/>
      <c r="E1181" s="125"/>
      <c r="F1181" s="125"/>
      <c r="G1181" s="125"/>
      <c r="H1181" s="126"/>
      <c r="I1181" s="127"/>
      <c r="J1181" s="118">
        <f>IF(ISERROR(VLOOKUP(H1181,#REF!,9,0)),0,VLOOKUP(H1181,#REF!,9,0)*I1181)/3600</f>
        <v>0</v>
      </c>
    </row>
    <row r="1182" spans="2:10" x14ac:dyDescent="0.3">
      <c r="B1182" s="121">
        <f t="shared" si="37"/>
        <v>0</v>
      </c>
      <c r="C1182" s="122">
        <f t="shared" si="38"/>
        <v>0</v>
      </c>
      <c r="D1182" s="123"/>
      <c r="E1182" s="124"/>
      <c r="F1182" s="125"/>
      <c r="G1182" s="125"/>
      <c r="H1182" s="126"/>
      <c r="I1182" s="127"/>
      <c r="J1182" s="118">
        <f>IF(ISERROR(VLOOKUP(H1182,#REF!,9,0)),0,VLOOKUP(H1182,#REF!,9,0)*I1182)/3600</f>
        <v>0</v>
      </c>
    </row>
    <row r="1183" spans="2:10" x14ac:dyDescent="0.3">
      <c r="B1183" s="121">
        <f t="shared" si="37"/>
        <v>0</v>
      </c>
      <c r="C1183" s="122">
        <f t="shared" si="38"/>
        <v>0</v>
      </c>
      <c r="D1183" s="123"/>
      <c r="E1183" s="125"/>
      <c r="F1183" s="125"/>
      <c r="G1183" s="125"/>
      <c r="H1183" s="126"/>
      <c r="I1183" s="127"/>
      <c r="J1183" s="118">
        <f>IF(ISERROR(VLOOKUP(H1183,#REF!,9,0)),0,VLOOKUP(H1183,#REF!,9,0)*I1183)/3600</f>
        <v>0</v>
      </c>
    </row>
    <row r="1184" spans="2:10" x14ac:dyDescent="0.3">
      <c r="B1184" s="121">
        <f t="shared" si="37"/>
        <v>0</v>
      </c>
      <c r="C1184" s="122">
        <f t="shared" si="38"/>
        <v>0</v>
      </c>
      <c r="D1184" s="123"/>
      <c r="E1184" s="124"/>
      <c r="F1184" s="125"/>
      <c r="G1184" s="125"/>
      <c r="H1184" s="126"/>
      <c r="I1184" s="127"/>
      <c r="J1184" s="118">
        <f>IF(ISERROR(VLOOKUP(H1184,#REF!,9,0)),0,VLOOKUP(H1184,#REF!,9,0)*I1184)/3600</f>
        <v>0</v>
      </c>
    </row>
    <row r="1185" spans="2:10" x14ac:dyDescent="0.3">
      <c r="B1185" s="121">
        <f t="shared" si="37"/>
        <v>0</v>
      </c>
      <c r="C1185" s="122">
        <f t="shared" si="38"/>
        <v>0</v>
      </c>
      <c r="D1185" s="123"/>
      <c r="E1185" s="125"/>
      <c r="F1185" s="125"/>
      <c r="G1185" s="125"/>
      <c r="H1185" s="126"/>
      <c r="I1185" s="127"/>
      <c r="J1185" s="118">
        <f>IF(ISERROR(VLOOKUP(H1185,#REF!,9,0)),0,VLOOKUP(H1185,#REF!,9,0)*I1185)/3600</f>
        <v>0</v>
      </c>
    </row>
    <row r="1186" spans="2:10" x14ac:dyDescent="0.3">
      <c r="B1186" s="121">
        <f t="shared" si="37"/>
        <v>0</v>
      </c>
      <c r="C1186" s="122">
        <f t="shared" si="38"/>
        <v>0</v>
      </c>
      <c r="D1186" s="123"/>
      <c r="E1186" s="124"/>
      <c r="F1186" s="125"/>
      <c r="G1186" s="125"/>
      <c r="H1186" s="126"/>
      <c r="I1186" s="127"/>
      <c r="J1186" s="118">
        <f>IF(ISERROR(VLOOKUP(H1186,#REF!,9,0)),0,VLOOKUP(H1186,#REF!,9,0)*I1186)/3600</f>
        <v>0</v>
      </c>
    </row>
    <row r="1187" spans="2:10" x14ac:dyDescent="0.3">
      <c r="B1187" s="121">
        <f t="shared" si="37"/>
        <v>0</v>
      </c>
      <c r="C1187" s="122">
        <f t="shared" si="38"/>
        <v>0</v>
      </c>
      <c r="D1187" s="123"/>
      <c r="E1187" s="125"/>
      <c r="F1187" s="125"/>
      <c r="G1187" s="125"/>
      <c r="H1187" s="126"/>
      <c r="I1187" s="127"/>
      <c r="J1187" s="118">
        <f>IF(ISERROR(VLOOKUP(H1187,#REF!,9,0)),0,VLOOKUP(H1187,#REF!,9,0)*I1187)/3600</f>
        <v>0</v>
      </c>
    </row>
    <row r="1188" spans="2:10" x14ac:dyDescent="0.3">
      <c r="B1188" s="121">
        <f t="shared" si="37"/>
        <v>0</v>
      </c>
      <c r="C1188" s="122">
        <f t="shared" si="38"/>
        <v>0</v>
      </c>
      <c r="D1188" s="123"/>
      <c r="E1188" s="124"/>
      <c r="F1188" s="125"/>
      <c r="G1188" s="125"/>
      <c r="H1188" s="126"/>
      <c r="I1188" s="127"/>
      <c r="J1188" s="118">
        <f>IF(ISERROR(VLOOKUP(H1188,#REF!,9,0)),0,VLOOKUP(H1188,#REF!,9,0)*I1188)/3600</f>
        <v>0</v>
      </c>
    </row>
    <row r="1189" spans="2:10" x14ac:dyDescent="0.3">
      <c r="B1189" s="121">
        <f t="shared" si="37"/>
        <v>0</v>
      </c>
      <c r="C1189" s="122">
        <f t="shared" si="38"/>
        <v>0</v>
      </c>
      <c r="D1189" s="123"/>
      <c r="E1189" s="125"/>
      <c r="F1189" s="125"/>
      <c r="G1189" s="125"/>
      <c r="H1189" s="126"/>
      <c r="I1189" s="127"/>
      <c r="J1189" s="118">
        <f>IF(ISERROR(VLOOKUP(H1189,#REF!,9,0)),0,VLOOKUP(H1189,#REF!,9,0)*I1189)/3600</f>
        <v>0</v>
      </c>
    </row>
    <row r="1190" spans="2:10" x14ac:dyDescent="0.3">
      <c r="B1190" s="121">
        <f t="shared" si="37"/>
        <v>0</v>
      </c>
      <c r="C1190" s="122">
        <f t="shared" si="38"/>
        <v>0</v>
      </c>
      <c r="D1190" s="123"/>
      <c r="E1190" s="124"/>
      <c r="F1190" s="125"/>
      <c r="G1190" s="125"/>
      <c r="H1190" s="126"/>
      <c r="I1190" s="127"/>
      <c r="J1190" s="118">
        <f>IF(ISERROR(VLOOKUP(H1190,#REF!,9,0)),0,VLOOKUP(H1190,#REF!,9,0)*I1190)/3600</f>
        <v>0</v>
      </c>
    </row>
    <row r="1191" spans="2:10" x14ac:dyDescent="0.3">
      <c r="B1191" s="121">
        <f t="shared" si="37"/>
        <v>0</v>
      </c>
      <c r="C1191" s="122">
        <f t="shared" si="38"/>
        <v>0</v>
      </c>
      <c r="D1191" s="123"/>
      <c r="E1191" s="125"/>
      <c r="F1191" s="125"/>
      <c r="G1191" s="125"/>
      <c r="H1191" s="126"/>
      <c r="I1191" s="127"/>
      <c r="J1191" s="118">
        <f>IF(ISERROR(VLOOKUP(H1191,#REF!,9,0)),0,VLOOKUP(H1191,#REF!,9,0)*I1191)/3600</f>
        <v>0</v>
      </c>
    </row>
    <row r="1192" spans="2:10" x14ac:dyDescent="0.3">
      <c r="B1192" s="121">
        <f t="shared" si="37"/>
        <v>0</v>
      </c>
      <c r="C1192" s="122">
        <f t="shared" si="38"/>
        <v>0</v>
      </c>
      <c r="D1192" s="123"/>
      <c r="E1192" s="124"/>
      <c r="F1192" s="125"/>
      <c r="G1192" s="125"/>
      <c r="H1192" s="126"/>
      <c r="I1192" s="127"/>
      <c r="J1192" s="118">
        <f>IF(ISERROR(VLOOKUP(H1192,#REF!,9,0)),0,VLOOKUP(H1192,#REF!,9,0)*I1192)/3600</f>
        <v>0</v>
      </c>
    </row>
    <row r="1193" spans="2:10" x14ac:dyDescent="0.3">
      <c r="B1193" s="121">
        <f t="shared" si="37"/>
        <v>0</v>
      </c>
      <c r="C1193" s="122">
        <f t="shared" si="38"/>
        <v>0</v>
      </c>
      <c r="D1193" s="123"/>
      <c r="E1193" s="125"/>
      <c r="F1193" s="125"/>
      <c r="G1193" s="125"/>
      <c r="H1193" s="126"/>
      <c r="I1193" s="127"/>
      <c r="J1193" s="118">
        <f>IF(ISERROR(VLOOKUP(H1193,#REF!,9,0)),0,VLOOKUP(H1193,#REF!,9,0)*I1193)/3600</f>
        <v>0</v>
      </c>
    </row>
    <row r="1194" spans="2:10" x14ac:dyDescent="0.3">
      <c r="B1194" s="121">
        <f t="shared" si="37"/>
        <v>0</v>
      </c>
      <c r="C1194" s="122">
        <f t="shared" si="38"/>
        <v>0</v>
      </c>
      <c r="D1194" s="123"/>
      <c r="E1194" s="124"/>
      <c r="F1194" s="125"/>
      <c r="G1194" s="125"/>
      <c r="H1194" s="126"/>
      <c r="I1194" s="127"/>
      <c r="J1194" s="118">
        <f>IF(ISERROR(VLOOKUP(H1194,#REF!,9,0)),0,VLOOKUP(H1194,#REF!,9,0)*I1194)/3600</f>
        <v>0</v>
      </c>
    </row>
    <row r="1195" spans="2:10" x14ac:dyDescent="0.3">
      <c r="B1195" s="121">
        <f t="shared" si="37"/>
        <v>0</v>
      </c>
      <c r="C1195" s="122">
        <f t="shared" si="38"/>
        <v>0</v>
      </c>
      <c r="D1195" s="123"/>
      <c r="E1195" s="125"/>
      <c r="F1195" s="125"/>
      <c r="G1195" s="125"/>
      <c r="H1195" s="126"/>
      <c r="I1195" s="127"/>
      <c r="J1195" s="118">
        <f>IF(ISERROR(VLOOKUP(H1195,#REF!,9,0)),0,VLOOKUP(H1195,#REF!,9,0)*I1195)/3600</f>
        <v>0</v>
      </c>
    </row>
    <row r="1196" spans="2:10" x14ac:dyDescent="0.3">
      <c r="B1196" s="121">
        <f t="shared" si="37"/>
        <v>0</v>
      </c>
      <c r="C1196" s="122">
        <f t="shared" si="38"/>
        <v>0</v>
      </c>
      <c r="D1196" s="123"/>
      <c r="E1196" s="124"/>
      <c r="F1196" s="125"/>
      <c r="G1196" s="125"/>
      <c r="H1196" s="126"/>
      <c r="I1196" s="127"/>
      <c r="J1196" s="118">
        <f>IF(ISERROR(VLOOKUP(H1196,#REF!,9,0)),0,VLOOKUP(H1196,#REF!,9,0)*I1196)/3600</f>
        <v>0</v>
      </c>
    </row>
    <row r="1197" spans="2:10" x14ac:dyDescent="0.3">
      <c r="B1197" s="121">
        <f t="shared" si="37"/>
        <v>0</v>
      </c>
      <c r="C1197" s="122">
        <f t="shared" si="38"/>
        <v>0</v>
      </c>
      <c r="D1197" s="123"/>
      <c r="E1197" s="125"/>
      <c r="F1197" s="125"/>
      <c r="G1197" s="125"/>
      <c r="H1197" s="126"/>
      <c r="I1197" s="127"/>
      <c r="J1197" s="118">
        <f>IF(ISERROR(VLOOKUP(H1197,#REF!,9,0)),0,VLOOKUP(H1197,#REF!,9,0)*I1197)/3600</f>
        <v>0</v>
      </c>
    </row>
    <row r="1198" spans="2:10" x14ac:dyDescent="0.3">
      <c r="B1198" s="121">
        <f t="shared" si="37"/>
        <v>0</v>
      </c>
      <c r="C1198" s="122">
        <f t="shared" si="38"/>
        <v>0</v>
      </c>
      <c r="D1198" s="123"/>
      <c r="E1198" s="124"/>
      <c r="F1198" s="125"/>
      <c r="G1198" s="125"/>
      <c r="H1198" s="126"/>
      <c r="I1198" s="127"/>
      <c r="J1198" s="118">
        <f>IF(ISERROR(VLOOKUP(H1198,#REF!,9,0)),0,VLOOKUP(H1198,#REF!,9,0)*I1198)/3600</f>
        <v>0</v>
      </c>
    </row>
    <row r="1199" spans="2:10" x14ac:dyDescent="0.3">
      <c r="B1199" s="121">
        <f t="shared" si="37"/>
        <v>0</v>
      </c>
      <c r="C1199" s="122">
        <f t="shared" si="38"/>
        <v>0</v>
      </c>
      <c r="D1199" s="123"/>
      <c r="E1199" s="125"/>
      <c r="F1199" s="125"/>
      <c r="G1199" s="125"/>
      <c r="H1199" s="126"/>
      <c r="I1199" s="127"/>
      <c r="J1199" s="118">
        <f>IF(ISERROR(VLOOKUP(H1199,#REF!,9,0)),0,VLOOKUP(H1199,#REF!,9,0)*I1199)/3600</f>
        <v>0</v>
      </c>
    </row>
    <row r="1200" spans="2:10" x14ac:dyDescent="0.3">
      <c r="B1200" s="121">
        <f t="shared" si="37"/>
        <v>0</v>
      </c>
      <c r="C1200" s="122">
        <f t="shared" si="38"/>
        <v>0</v>
      </c>
      <c r="D1200" s="123"/>
      <c r="E1200" s="124"/>
      <c r="F1200" s="125"/>
      <c r="G1200" s="125"/>
      <c r="H1200" s="126"/>
      <c r="I1200" s="127"/>
      <c r="J1200" s="118">
        <f>IF(ISERROR(VLOOKUP(H1200,#REF!,9,0)),0,VLOOKUP(H1200,#REF!,9,0)*I1200)/3600</f>
        <v>0</v>
      </c>
    </row>
    <row r="1201" spans="2:10" x14ac:dyDescent="0.3">
      <c r="B1201" s="121">
        <f t="shared" si="37"/>
        <v>0</v>
      </c>
      <c r="C1201" s="122">
        <f t="shared" si="38"/>
        <v>0</v>
      </c>
      <c r="D1201" s="123"/>
      <c r="E1201" s="125"/>
      <c r="F1201" s="125"/>
      <c r="G1201" s="125"/>
      <c r="H1201" s="126"/>
      <c r="I1201" s="127"/>
      <c r="J1201" s="118">
        <f>IF(ISERROR(VLOOKUP(H1201,#REF!,9,0)),0,VLOOKUP(H1201,#REF!,9,0)*I1201)/3600</f>
        <v>0</v>
      </c>
    </row>
    <row r="1202" spans="2:10" x14ac:dyDescent="0.3">
      <c r="B1202" s="121">
        <f t="shared" si="37"/>
        <v>0</v>
      </c>
      <c r="C1202" s="122">
        <f t="shared" si="38"/>
        <v>0</v>
      </c>
      <c r="D1202" s="123"/>
      <c r="E1202" s="124"/>
      <c r="F1202" s="125"/>
      <c r="G1202" s="125"/>
      <c r="H1202" s="126"/>
      <c r="I1202" s="127"/>
      <c r="J1202" s="118">
        <f>IF(ISERROR(VLOOKUP(H1202,#REF!,9,0)),0,VLOOKUP(H1202,#REF!,9,0)*I1202)/3600</f>
        <v>0</v>
      </c>
    </row>
    <row r="1203" spans="2:10" x14ac:dyDescent="0.3">
      <c r="B1203" s="121">
        <f t="shared" si="37"/>
        <v>0</v>
      </c>
      <c r="C1203" s="122">
        <f t="shared" si="38"/>
        <v>0</v>
      </c>
      <c r="D1203" s="123"/>
      <c r="E1203" s="125"/>
      <c r="F1203" s="125"/>
      <c r="G1203" s="125"/>
      <c r="H1203" s="126"/>
      <c r="I1203" s="127"/>
      <c r="J1203" s="118">
        <f>IF(ISERROR(VLOOKUP(H1203,#REF!,9,0)),0,VLOOKUP(H1203,#REF!,9,0)*I1203)/3600</f>
        <v>0</v>
      </c>
    </row>
    <row r="1204" spans="2:10" x14ac:dyDescent="0.3">
      <c r="B1204" s="121">
        <f t="shared" si="37"/>
        <v>0</v>
      </c>
      <c r="C1204" s="122">
        <f t="shared" si="38"/>
        <v>0</v>
      </c>
      <c r="D1204" s="123"/>
      <c r="E1204" s="124"/>
      <c r="F1204" s="125"/>
      <c r="G1204" s="125"/>
      <c r="H1204" s="126"/>
      <c r="I1204" s="127"/>
      <c r="J1204" s="118">
        <f>IF(ISERROR(VLOOKUP(H1204,#REF!,9,0)),0,VLOOKUP(H1204,#REF!,9,0)*I1204)/3600</f>
        <v>0</v>
      </c>
    </row>
    <row r="1205" spans="2:10" x14ac:dyDescent="0.3">
      <c r="B1205" s="121">
        <f t="shared" si="37"/>
        <v>0</v>
      </c>
      <c r="C1205" s="122">
        <f t="shared" si="38"/>
        <v>0</v>
      </c>
      <c r="D1205" s="123"/>
      <c r="E1205" s="125"/>
      <c r="F1205" s="125"/>
      <c r="G1205" s="125"/>
      <c r="H1205" s="126"/>
      <c r="I1205" s="127"/>
      <c r="J1205" s="118">
        <f>IF(ISERROR(VLOOKUP(H1205,#REF!,9,0)),0,VLOOKUP(H1205,#REF!,9,0)*I1205)/3600</f>
        <v>0</v>
      </c>
    </row>
    <row r="1206" spans="2:10" x14ac:dyDescent="0.3">
      <c r="B1206" s="121">
        <f t="shared" si="37"/>
        <v>0</v>
      </c>
      <c r="C1206" s="122">
        <f t="shared" si="38"/>
        <v>0</v>
      </c>
      <c r="D1206" s="123"/>
      <c r="E1206" s="124"/>
      <c r="F1206" s="125"/>
      <c r="G1206" s="125"/>
      <c r="H1206" s="126"/>
      <c r="I1206" s="127"/>
      <c r="J1206" s="118">
        <f>IF(ISERROR(VLOOKUP(H1206,#REF!,9,0)),0,VLOOKUP(H1206,#REF!,9,0)*I1206)/3600</f>
        <v>0</v>
      </c>
    </row>
    <row r="1207" spans="2:10" x14ac:dyDescent="0.3">
      <c r="B1207" s="121">
        <f t="shared" si="37"/>
        <v>0</v>
      </c>
      <c r="C1207" s="122">
        <f t="shared" si="38"/>
        <v>0</v>
      </c>
      <c r="D1207" s="123"/>
      <c r="E1207" s="125"/>
      <c r="F1207" s="125"/>
      <c r="G1207" s="125"/>
      <c r="H1207" s="126"/>
      <c r="I1207" s="127"/>
      <c r="J1207" s="118">
        <f>IF(ISERROR(VLOOKUP(H1207,#REF!,9,0)),0,VLOOKUP(H1207,#REF!,9,0)*I1207)/3600</f>
        <v>0</v>
      </c>
    </row>
    <row r="1208" spans="2:10" x14ac:dyDescent="0.3">
      <c r="B1208" s="121">
        <f t="shared" si="37"/>
        <v>0</v>
      </c>
      <c r="C1208" s="122">
        <f t="shared" si="38"/>
        <v>0</v>
      </c>
      <c r="D1208" s="123"/>
      <c r="E1208" s="124"/>
      <c r="F1208" s="125"/>
      <c r="G1208" s="125"/>
      <c r="H1208" s="126"/>
      <c r="I1208" s="127"/>
      <c r="J1208" s="118">
        <f>IF(ISERROR(VLOOKUP(H1208,#REF!,9,0)),0,VLOOKUP(H1208,#REF!,9,0)*I1208)/3600</f>
        <v>0</v>
      </c>
    </row>
    <row r="1209" spans="2:10" x14ac:dyDescent="0.3">
      <c r="B1209" s="121">
        <f t="shared" si="37"/>
        <v>0</v>
      </c>
      <c r="C1209" s="122">
        <f t="shared" si="38"/>
        <v>0</v>
      </c>
      <c r="D1209" s="123"/>
      <c r="E1209" s="125"/>
      <c r="F1209" s="125"/>
      <c r="G1209" s="125"/>
      <c r="H1209" s="126"/>
      <c r="I1209" s="127"/>
      <c r="J1209" s="118">
        <f>IF(ISERROR(VLOOKUP(H1209,#REF!,9,0)),0,VLOOKUP(H1209,#REF!,9,0)*I1209)/3600</f>
        <v>0</v>
      </c>
    </row>
    <row r="1210" spans="2:10" x14ac:dyDescent="0.3">
      <c r="B1210" s="121">
        <f t="shared" si="37"/>
        <v>0</v>
      </c>
      <c r="C1210" s="122">
        <f t="shared" si="38"/>
        <v>0</v>
      </c>
      <c r="D1210" s="123"/>
      <c r="E1210" s="124"/>
      <c r="F1210" s="125"/>
      <c r="G1210" s="125"/>
      <c r="H1210" s="126"/>
      <c r="I1210" s="127"/>
      <c r="J1210" s="118">
        <f>IF(ISERROR(VLOOKUP(H1210,#REF!,9,0)),0,VLOOKUP(H1210,#REF!,9,0)*I1210)/3600</f>
        <v>0</v>
      </c>
    </row>
    <row r="1211" spans="2:10" x14ac:dyDescent="0.3">
      <c r="B1211" s="121">
        <f t="shared" si="37"/>
        <v>0</v>
      </c>
      <c r="C1211" s="122">
        <f t="shared" si="38"/>
        <v>0</v>
      </c>
      <c r="D1211" s="123"/>
      <c r="E1211" s="125"/>
      <c r="F1211" s="125"/>
      <c r="G1211" s="125"/>
      <c r="H1211" s="126"/>
      <c r="I1211" s="127"/>
      <c r="J1211" s="118">
        <f>IF(ISERROR(VLOOKUP(H1211,#REF!,9,0)),0,VLOOKUP(H1211,#REF!,9,0)*I1211)/3600</f>
        <v>0</v>
      </c>
    </row>
    <row r="1212" spans="2:10" x14ac:dyDescent="0.3">
      <c r="B1212" s="121">
        <f t="shared" si="37"/>
        <v>0</v>
      </c>
      <c r="C1212" s="122">
        <f t="shared" si="38"/>
        <v>0</v>
      </c>
      <c r="D1212" s="123"/>
      <c r="E1212" s="124"/>
      <c r="F1212" s="125"/>
      <c r="G1212" s="125"/>
      <c r="H1212" s="126"/>
      <c r="I1212" s="127"/>
      <c r="J1212" s="118">
        <f>IF(ISERROR(VLOOKUP(H1212,#REF!,9,0)),0,VLOOKUP(H1212,#REF!,9,0)*I1212)/3600</f>
        <v>0</v>
      </c>
    </row>
    <row r="1213" spans="2:10" x14ac:dyDescent="0.3">
      <c r="B1213" s="121">
        <f t="shared" si="37"/>
        <v>0</v>
      </c>
      <c r="C1213" s="122">
        <f t="shared" si="38"/>
        <v>0</v>
      </c>
      <c r="D1213" s="123"/>
      <c r="E1213" s="125"/>
      <c r="F1213" s="125"/>
      <c r="G1213" s="125"/>
      <c r="H1213" s="126"/>
      <c r="I1213" s="127"/>
      <c r="J1213" s="118">
        <f>IF(ISERROR(VLOOKUP(H1213,#REF!,9,0)),0,VLOOKUP(H1213,#REF!,9,0)*I1213)/3600</f>
        <v>0</v>
      </c>
    </row>
    <row r="1214" spans="2:10" x14ac:dyDescent="0.3">
      <c r="B1214" s="121">
        <f t="shared" si="37"/>
        <v>0</v>
      </c>
      <c r="C1214" s="122">
        <f t="shared" si="38"/>
        <v>0</v>
      </c>
      <c r="D1214" s="123"/>
      <c r="E1214" s="124"/>
      <c r="F1214" s="125"/>
      <c r="G1214" s="125"/>
      <c r="H1214" s="126"/>
      <c r="I1214" s="127"/>
      <c r="J1214" s="118">
        <f>IF(ISERROR(VLOOKUP(H1214,#REF!,9,0)),0,VLOOKUP(H1214,#REF!,9,0)*I1214)/3600</f>
        <v>0</v>
      </c>
    </row>
    <row r="1215" spans="2:10" x14ac:dyDescent="0.3">
      <c r="B1215" s="121">
        <f t="shared" si="37"/>
        <v>0</v>
      </c>
      <c r="C1215" s="122">
        <f t="shared" si="38"/>
        <v>0</v>
      </c>
      <c r="D1215" s="123"/>
      <c r="E1215" s="125"/>
      <c r="F1215" s="125"/>
      <c r="G1215" s="125"/>
      <c r="H1215" s="126"/>
      <c r="I1215" s="127"/>
      <c r="J1215" s="118">
        <f>IF(ISERROR(VLOOKUP(H1215,#REF!,9,0)),0,VLOOKUP(H1215,#REF!,9,0)*I1215)/3600</f>
        <v>0</v>
      </c>
    </row>
    <row r="1216" spans="2:10" x14ac:dyDescent="0.3">
      <c r="B1216" s="121">
        <f t="shared" si="37"/>
        <v>0</v>
      </c>
      <c r="C1216" s="122">
        <f t="shared" si="38"/>
        <v>0</v>
      </c>
      <c r="D1216" s="123"/>
      <c r="E1216" s="124"/>
      <c r="F1216" s="125"/>
      <c r="G1216" s="125"/>
      <c r="H1216" s="126"/>
      <c r="I1216" s="127"/>
      <c r="J1216" s="118">
        <f>IF(ISERROR(VLOOKUP(H1216,#REF!,9,0)),0,VLOOKUP(H1216,#REF!,9,0)*I1216)/3600</f>
        <v>0</v>
      </c>
    </row>
    <row r="1217" spans="2:10" x14ac:dyDescent="0.3">
      <c r="B1217" s="121">
        <f t="shared" si="37"/>
        <v>0</v>
      </c>
      <c r="C1217" s="122">
        <f t="shared" si="38"/>
        <v>0</v>
      </c>
      <c r="D1217" s="123"/>
      <c r="E1217" s="125"/>
      <c r="F1217" s="125"/>
      <c r="G1217" s="125"/>
      <c r="H1217" s="126"/>
      <c r="I1217" s="127"/>
      <c r="J1217" s="118">
        <f>IF(ISERROR(VLOOKUP(H1217,#REF!,9,0)),0,VLOOKUP(H1217,#REF!,9,0)*I1217)/3600</f>
        <v>0</v>
      </c>
    </row>
    <row r="1218" spans="2:10" x14ac:dyDescent="0.3">
      <c r="B1218" s="121">
        <f t="shared" si="37"/>
        <v>0</v>
      </c>
      <c r="C1218" s="122">
        <f t="shared" si="38"/>
        <v>0</v>
      </c>
      <c r="D1218" s="123"/>
      <c r="E1218" s="124"/>
      <c r="F1218" s="125"/>
      <c r="G1218" s="125"/>
      <c r="H1218" s="126"/>
      <c r="I1218" s="127"/>
      <c r="J1218" s="118">
        <f>IF(ISERROR(VLOOKUP(H1218,#REF!,9,0)),0,VLOOKUP(H1218,#REF!,9,0)*I1218)/3600</f>
        <v>0</v>
      </c>
    </row>
    <row r="1219" spans="2:10" x14ac:dyDescent="0.3">
      <c r="B1219" s="121">
        <f t="shared" si="37"/>
        <v>0</v>
      </c>
      <c r="C1219" s="122">
        <f t="shared" si="38"/>
        <v>0</v>
      </c>
      <c r="D1219" s="123"/>
      <c r="E1219" s="125"/>
      <c r="F1219" s="125"/>
      <c r="G1219" s="125"/>
      <c r="H1219" s="126"/>
      <c r="I1219" s="127"/>
      <c r="J1219" s="118">
        <f>IF(ISERROR(VLOOKUP(H1219,#REF!,9,0)),0,VLOOKUP(H1219,#REF!,9,0)*I1219)/3600</f>
        <v>0</v>
      </c>
    </row>
    <row r="1220" spans="2:10" x14ac:dyDescent="0.3">
      <c r="B1220" s="121">
        <f t="shared" si="37"/>
        <v>0</v>
      </c>
      <c r="C1220" s="122">
        <f t="shared" si="38"/>
        <v>0</v>
      </c>
      <c r="D1220" s="123"/>
      <c r="E1220" s="124"/>
      <c r="F1220" s="125"/>
      <c r="G1220" s="125"/>
      <c r="H1220" s="126"/>
      <c r="I1220" s="127"/>
      <c r="J1220" s="118">
        <f>IF(ISERROR(VLOOKUP(H1220,#REF!,9,0)),0,VLOOKUP(H1220,#REF!,9,0)*I1220)/3600</f>
        <v>0</v>
      </c>
    </row>
    <row r="1221" spans="2:10" x14ac:dyDescent="0.3">
      <c r="B1221" s="121">
        <f t="shared" si="37"/>
        <v>0</v>
      </c>
      <c r="C1221" s="122">
        <f t="shared" si="38"/>
        <v>0</v>
      </c>
      <c r="D1221" s="123"/>
      <c r="E1221" s="125"/>
      <c r="F1221" s="125"/>
      <c r="G1221" s="125"/>
      <c r="H1221" s="126"/>
      <c r="I1221" s="127"/>
      <c r="J1221" s="118">
        <f>IF(ISERROR(VLOOKUP(H1221,#REF!,9,0)),0,VLOOKUP(H1221,#REF!,9,0)*I1221)/3600</f>
        <v>0</v>
      </c>
    </row>
    <row r="1222" spans="2:10" x14ac:dyDescent="0.3">
      <c r="B1222" s="121">
        <f t="shared" ref="B1222:B1285" si="39">IF(D1222&gt;0,YEAR(D1222),0)</f>
        <v>0</v>
      </c>
      <c r="C1222" s="122">
        <f t="shared" ref="C1222:C1285" si="40">IF(D1222&gt;0,MONTH(D1222),0)</f>
        <v>0</v>
      </c>
      <c r="D1222" s="123"/>
      <c r="E1222" s="124"/>
      <c r="F1222" s="125"/>
      <c r="G1222" s="125"/>
      <c r="H1222" s="126"/>
      <c r="I1222" s="127"/>
      <c r="J1222" s="118">
        <f>IF(ISERROR(VLOOKUP(H1222,#REF!,9,0)),0,VLOOKUP(H1222,#REF!,9,0)*I1222)/3600</f>
        <v>0</v>
      </c>
    </row>
    <row r="1223" spans="2:10" x14ac:dyDescent="0.3">
      <c r="B1223" s="121">
        <f t="shared" si="39"/>
        <v>0</v>
      </c>
      <c r="C1223" s="122">
        <f t="shared" si="40"/>
        <v>0</v>
      </c>
      <c r="D1223" s="123"/>
      <c r="E1223" s="125"/>
      <c r="F1223" s="125"/>
      <c r="G1223" s="125"/>
      <c r="H1223" s="126"/>
      <c r="I1223" s="127"/>
      <c r="J1223" s="118">
        <f>IF(ISERROR(VLOOKUP(H1223,#REF!,9,0)),0,VLOOKUP(H1223,#REF!,9,0)*I1223)/3600</f>
        <v>0</v>
      </c>
    </row>
    <row r="1224" spans="2:10" x14ac:dyDescent="0.3">
      <c r="B1224" s="121">
        <f t="shared" si="39"/>
        <v>0</v>
      </c>
      <c r="C1224" s="122">
        <f t="shared" si="40"/>
        <v>0</v>
      </c>
      <c r="D1224" s="123"/>
      <c r="E1224" s="124"/>
      <c r="F1224" s="125"/>
      <c r="G1224" s="125"/>
      <c r="H1224" s="126"/>
      <c r="I1224" s="127"/>
      <c r="J1224" s="118">
        <f>IF(ISERROR(VLOOKUP(H1224,#REF!,9,0)),0,VLOOKUP(H1224,#REF!,9,0)*I1224)/3600</f>
        <v>0</v>
      </c>
    </row>
    <row r="1225" spans="2:10" x14ac:dyDescent="0.3">
      <c r="B1225" s="121">
        <f t="shared" si="39"/>
        <v>0</v>
      </c>
      <c r="C1225" s="122">
        <f t="shared" si="40"/>
        <v>0</v>
      </c>
      <c r="D1225" s="123"/>
      <c r="E1225" s="125"/>
      <c r="F1225" s="125"/>
      <c r="G1225" s="125"/>
      <c r="H1225" s="126"/>
      <c r="I1225" s="127"/>
      <c r="J1225" s="118">
        <f>IF(ISERROR(VLOOKUP(H1225,#REF!,9,0)),0,VLOOKUP(H1225,#REF!,9,0)*I1225)/3600</f>
        <v>0</v>
      </c>
    </row>
    <row r="1226" spans="2:10" x14ac:dyDescent="0.3">
      <c r="B1226" s="121">
        <f t="shared" si="39"/>
        <v>0</v>
      </c>
      <c r="C1226" s="122">
        <f t="shared" si="40"/>
        <v>0</v>
      </c>
      <c r="D1226" s="123"/>
      <c r="E1226" s="124"/>
      <c r="F1226" s="125"/>
      <c r="G1226" s="125"/>
      <c r="H1226" s="126"/>
      <c r="I1226" s="127"/>
      <c r="J1226" s="118">
        <f>IF(ISERROR(VLOOKUP(H1226,#REF!,9,0)),0,VLOOKUP(H1226,#REF!,9,0)*I1226)/3600</f>
        <v>0</v>
      </c>
    </row>
    <row r="1227" spans="2:10" x14ac:dyDescent="0.3">
      <c r="B1227" s="121">
        <f t="shared" si="39"/>
        <v>0</v>
      </c>
      <c r="C1227" s="122">
        <f t="shared" si="40"/>
        <v>0</v>
      </c>
      <c r="D1227" s="123"/>
      <c r="E1227" s="125"/>
      <c r="F1227" s="125"/>
      <c r="G1227" s="125"/>
      <c r="H1227" s="126"/>
      <c r="I1227" s="127"/>
      <c r="J1227" s="118">
        <f>IF(ISERROR(VLOOKUP(H1227,#REF!,9,0)),0,VLOOKUP(H1227,#REF!,9,0)*I1227)/3600</f>
        <v>0</v>
      </c>
    </row>
    <row r="1228" spans="2:10" x14ac:dyDescent="0.3">
      <c r="B1228" s="121">
        <f t="shared" si="39"/>
        <v>0</v>
      </c>
      <c r="C1228" s="122">
        <f t="shared" si="40"/>
        <v>0</v>
      </c>
      <c r="D1228" s="123"/>
      <c r="E1228" s="124"/>
      <c r="F1228" s="125"/>
      <c r="G1228" s="125"/>
      <c r="H1228" s="126"/>
      <c r="I1228" s="127"/>
      <c r="J1228" s="118">
        <f>IF(ISERROR(VLOOKUP(H1228,#REF!,9,0)),0,VLOOKUP(H1228,#REF!,9,0)*I1228)/3600</f>
        <v>0</v>
      </c>
    </row>
    <row r="1229" spans="2:10" x14ac:dyDescent="0.3">
      <c r="B1229" s="121">
        <f t="shared" si="39"/>
        <v>0</v>
      </c>
      <c r="C1229" s="122">
        <f t="shared" si="40"/>
        <v>0</v>
      </c>
      <c r="D1229" s="123"/>
      <c r="E1229" s="125"/>
      <c r="F1229" s="125"/>
      <c r="G1229" s="125"/>
      <c r="H1229" s="126"/>
      <c r="I1229" s="127"/>
      <c r="J1229" s="118">
        <f>IF(ISERROR(VLOOKUP(H1229,#REF!,9,0)),0,VLOOKUP(H1229,#REF!,9,0)*I1229)/3600</f>
        <v>0</v>
      </c>
    </row>
    <row r="1230" spans="2:10" x14ac:dyDescent="0.3">
      <c r="B1230" s="121">
        <f t="shared" si="39"/>
        <v>0</v>
      </c>
      <c r="C1230" s="122">
        <f t="shared" si="40"/>
        <v>0</v>
      </c>
      <c r="D1230" s="123"/>
      <c r="E1230" s="124"/>
      <c r="F1230" s="125"/>
      <c r="G1230" s="125"/>
      <c r="H1230" s="126"/>
      <c r="I1230" s="127"/>
      <c r="J1230" s="118">
        <f>IF(ISERROR(VLOOKUP(H1230,#REF!,9,0)),0,VLOOKUP(H1230,#REF!,9,0)*I1230)/3600</f>
        <v>0</v>
      </c>
    </row>
    <row r="1231" spans="2:10" x14ac:dyDescent="0.3">
      <c r="B1231" s="121">
        <f t="shared" si="39"/>
        <v>0</v>
      </c>
      <c r="C1231" s="122">
        <f t="shared" si="40"/>
        <v>0</v>
      </c>
      <c r="D1231" s="123"/>
      <c r="E1231" s="125"/>
      <c r="F1231" s="125"/>
      <c r="G1231" s="125"/>
      <c r="H1231" s="126"/>
      <c r="I1231" s="127"/>
      <c r="J1231" s="118">
        <f>IF(ISERROR(VLOOKUP(H1231,#REF!,9,0)),0,VLOOKUP(H1231,#REF!,9,0)*I1231)/3600</f>
        <v>0</v>
      </c>
    </row>
    <row r="1232" spans="2:10" x14ac:dyDescent="0.3">
      <c r="B1232" s="121">
        <f t="shared" si="39"/>
        <v>0</v>
      </c>
      <c r="C1232" s="122">
        <f t="shared" si="40"/>
        <v>0</v>
      </c>
      <c r="D1232" s="123"/>
      <c r="E1232" s="124"/>
      <c r="F1232" s="125"/>
      <c r="G1232" s="125"/>
      <c r="H1232" s="126"/>
      <c r="I1232" s="127"/>
      <c r="J1232" s="118">
        <f>IF(ISERROR(VLOOKUP(H1232,#REF!,9,0)),0,VLOOKUP(H1232,#REF!,9,0)*I1232)/3600</f>
        <v>0</v>
      </c>
    </row>
    <row r="1233" spans="2:10" x14ac:dyDescent="0.3">
      <c r="B1233" s="121">
        <f t="shared" si="39"/>
        <v>0</v>
      </c>
      <c r="C1233" s="122">
        <f t="shared" si="40"/>
        <v>0</v>
      </c>
      <c r="D1233" s="123"/>
      <c r="E1233" s="125"/>
      <c r="F1233" s="125"/>
      <c r="G1233" s="125"/>
      <c r="H1233" s="126"/>
      <c r="I1233" s="127"/>
      <c r="J1233" s="118">
        <f>IF(ISERROR(VLOOKUP(H1233,#REF!,9,0)),0,VLOOKUP(H1233,#REF!,9,0)*I1233)/3600</f>
        <v>0</v>
      </c>
    </row>
    <row r="1234" spans="2:10" x14ac:dyDescent="0.3">
      <c r="B1234" s="121">
        <f t="shared" si="39"/>
        <v>0</v>
      </c>
      <c r="C1234" s="122">
        <f t="shared" si="40"/>
        <v>0</v>
      </c>
      <c r="D1234" s="123"/>
      <c r="E1234" s="124"/>
      <c r="F1234" s="125"/>
      <c r="G1234" s="125"/>
      <c r="H1234" s="126"/>
      <c r="I1234" s="127"/>
      <c r="J1234" s="118">
        <f>IF(ISERROR(VLOOKUP(H1234,#REF!,9,0)),0,VLOOKUP(H1234,#REF!,9,0)*I1234)/3600</f>
        <v>0</v>
      </c>
    </row>
    <row r="1235" spans="2:10" x14ac:dyDescent="0.3">
      <c r="B1235" s="121">
        <f t="shared" si="39"/>
        <v>0</v>
      </c>
      <c r="C1235" s="122">
        <f t="shared" si="40"/>
        <v>0</v>
      </c>
      <c r="D1235" s="123"/>
      <c r="E1235" s="125"/>
      <c r="F1235" s="125"/>
      <c r="G1235" s="125"/>
      <c r="H1235" s="126"/>
      <c r="I1235" s="127"/>
      <c r="J1235" s="118">
        <f>IF(ISERROR(VLOOKUP(H1235,#REF!,9,0)),0,VLOOKUP(H1235,#REF!,9,0)*I1235)/3600</f>
        <v>0</v>
      </c>
    </row>
    <row r="1236" spans="2:10" x14ac:dyDescent="0.3">
      <c r="B1236" s="121">
        <f t="shared" si="39"/>
        <v>0</v>
      </c>
      <c r="C1236" s="122">
        <f t="shared" si="40"/>
        <v>0</v>
      </c>
      <c r="D1236" s="123"/>
      <c r="E1236" s="124"/>
      <c r="F1236" s="125"/>
      <c r="G1236" s="125"/>
      <c r="H1236" s="126"/>
      <c r="I1236" s="127"/>
      <c r="J1236" s="118">
        <f>IF(ISERROR(VLOOKUP(H1236,#REF!,9,0)),0,VLOOKUP(H1236,#REF!,9,0)*I1236)/3600</f>
        <v>0</v>
      </c>
    </row>
    <row r="1237" spans="2:10" x14ac:dyDescent="0.3">
      <c r="B1237" s="121">
        <f t="shared" si="39"/>
        <v>0</v>
      </c>
      <c r="C1237" s="122">
        <f t="shared" si="40"/>
        <v>0</v>
      </c>
      <c r="D1237" s="123"/>
      <c r="E1237" s="125"/>
      <c r="F1237" s="125"/>
      <c r="G1237" s="125"/>
      <c r="H1237" s="126"/>
      <c r="I1237" s="127"/>
      <c r="J1237" s="118">
        <f>IF(ISERROR(VLOOKUP(H1237,#REF!,9,0)),0,VLOOKUP(H1237,#REF!,9,0)*I1237)/3600</f>
        <v>0</v>
      </c>
    </row>
    <row r="1238" spans="2:10" x14ac:dyDescent="0.3">
      <c r="B1238" s="121">
        <f t="shared" si="39"/>
        <v>0</v>
      </c>
      <c r="C1238" s="122">
        <f t="shared" si="40"/>
        <v>0</v>
      </c>
      <c r="D1238" s="123"/>
      <c r="E1238" s="124"/>
      <c r="F1238" s="125"/>
      <c r="G1238" s="125"/>
      <c r="H1238" s="126"/>
      <c r="I1238" s="127"/>
      <c r="J1238" s="118">
        <f>IF(ISERROR(VLOOKUP(H1238,#REF!,9,0)),0,VLOOKUP(H1238,#REF!,9,0)*I1238)/3600</f>
        <v>0</v>
      </c>
    </row>
    <row r="1239" spans="2:10" x14ac:dyDescent="0.3">
      <c r="B1239" s="121">
        <f t="shared" si="39"/>
        <v>0</v>
      </c>
      <c r="C1239" s="122">
        <f t="shared" si="40"/>
        <v>0</v>
      </c>
      <c r="D1239" s="123"/>
      <c r="E1239" s="125"/>
      <c r="F1239" s="125"/>
      <c r="G1239" s="125"/>
      <c r="H1239" s="126"/>
      <c r="I1239" s="127"/>
      <c r="J1239" s="118">
        <f>IF(ISERROR(VLOOKUP(H1239,#REF!,9,0)),0,VLOOKUP(H1239,#REF!,9,0)*I1239)/3600</f>
        <v>0</v>
      </c>
    </row>
    <row r="1240" spans="2:10" x14ac:dyDescent="0.3">
      <c r="B1240" s="121">
        <f t="shared" si="39"/>
        <v>0</v>
      </c>
      <c r="C1240" s="122">
        <f t="shared" si="40"/>
        <v>0</v>
      </c>
      <c r="D1240" s="123"/>
      <c r="E1240" s="124"/>
      <c r="F1240" s="125"/>
      <c r="G1240" s="125"/>
      <c r="H1240" s="126"/>
      <c r="I1240" s="127"/>
      <c r="J1240" s="118">
        <f>IF(ISERROR(VLOOKUP(H1240,#REF!,9,0)),0,VLOOKUP(H1240,#REF!,9,0)*I1240)/3600</f>
        <v>0</v>
      </c>
    </row>
    <row r="1241" spans="2:10" x14ac:dyDescent="0.3">
      <c r="B1241" s="121">
        <f t="shared" si="39"/>
        <v>0</v>
      </c>
      <c r="C1241" s="122">
        <f t="shared" si="40"/>
        <v>0</v>
      </c>
      <c r="D1241" s="123"/>
      <c r="E1241" s="125"/>
      <c r="F1241" s="125"/>
      <c r="G1241" s="125"/>
      <c r="H1241" s="126"/>
      <c r="I1241" s="127"/>
      <c r="J1241" s="118">
        <f>IF(ISERROR(VLOOKUP(H1241,#REF!,9,0)),0,VLOOKUP(H1241,#REF!,9,0)*I1241)/3600</f>
        <v>0</v>
      </c>
    </row>
    <row r="1242" spans="2:10" x14ac:dyDescent="0.3">
      <c r="B1242" s="121">
        <f t="shared" si="39"/>
        <v>0</v>
      </c>
      <c r="C1242" s="122">
        <f t="shared" si="40"/>
        <v>0</v>
      </c>
      <c r="D1242" s="123"/>
      <c r="E1242" s="124"/>
      <c r="F1242" s="125"/>
      <c r="G1242" s="125"/>
      <c r="H1242" s="126"/>
      <c r="I1242" s="127"/>
      <c r="J1242" s="118">
        <f>IF(ISERROR(VLOOKUP(H1242,#REF!,9,0)),0,VLOOKUP(H1242,#REF!,9,0)*I1242)/3600</f>
        <v>0</v>
      </c>
    </row>
    <row r="1243" spans="2:10" x14ac:dyDescent="0.3">
      <c r="B1243" s="121">
        <f t="shared" si="39"/>
        <v>0</v>
      </c>
      <c r="C1243" s="122">
        <f t="shared" si="40"/>
        <v>0</v>
      </c>
      <c r="D1243" s="123"/>
      <c r="E1243" s="125"/>
      <c r="F1243" s="125"/>
      <c r="G1243" s="125"/>
      <c r="H1243" s="126"/>
      <c r="I1243" s="127"/>
      <c r="J1243" s="118">
        <f>IF(ISERROR(VLOOKUP(H1243,#REF!,9,0)),0,VLOOKUP(H1243,#REF!,9,0)*I1243)/3600</f>
        <v>0</v>
      </c>
    </row>
    <row r="1244" spans="2:10" x14ac:dyDescent="0.3">
      <c r="B1244" s="121">
        <f t="shared" si="39"/>
        <v>0</v>
      </c>
      <c r="C1244" s="122">
        <f t="shared" si="40"/>
        <v>0</v>
      </c>
      <c r="D1244" s="123"/>
      <c r="E1244" s="124"/>
      <c r="F1244" s="125"/>
      <c r="G1244" s="125"/>
      <c r="H1244" s="126"/>
      <c r="I1244" s="127"/>
      <c r="J1244" s="118">
        <f>IF(ISERROR(VLOOKUP(H1244,#REF!,9,0)),0,VLOOKUP(H1244,#REF!,9,0)*I1244)/3600</f>
        <v>0</v>
      </c>
    </row>
    <row r="1245" spans="2:10" x14ac:dyDescent="0.3">
      <c r="B1245" s="121">
        <f t="shared" si="39"/>
        <v>0</v>
      </c>
      <c r="C1245" s="122">
        <f t="shared" si="40"/>
        <v>0</v>
      </c>
      <c r="D1245" s="123"/>
      <c r="E1245" s="125"/>
      <c r="F1245" s="125"/>
      <c r="G1245" s="125"/>
      <c r="H1245" s="126"/>
      <c r="I1245" s="127"/>
      <c r="J1245" s="118">
        <f>IF(ISERROR(VLOOKUP(H1245,#REF!,9,0)),0,VLOOKUP(H1245,#REF!,9,0)*I1245)/3600</f>
        <v>0</v>
      </c>
    </row>
    <row r="1246" spans="2:10" x14ac:dyDescent="0.3">
      <c r="B1246" s="121">
        <f t="shared" si="39"/>
        <v>0</v>
      </c>
      <c r="C1246" s="122">
        <f t="shared" si="40"/>
        <v>0</v>
      </c>
      <c r="D1246" s="123"/>
      <c r="E1246" s="124"/>
      <c r="F1246" s="125"/>
      <c r="G1246" s="125"/>
      <c r="H1246" s="126"/>
      <c r="I1246" s="127"/>
      <c r="J1246" s="118">
        <f>IF(ISERROR(VLOOKUP(H1246,#REF!,9,0)),0,VLOOKUP(H1246,#REF!,9,0)*I1246)/3600</f>
        <v>0</v>
      </c>
    </row>
    <row r="1247" spans="2:10" x14ac:dyDescent="0.3">
      <c r="B1247" s="121">
        <f t="shared" si="39"/>
        <v>0</v>
      </c>
      <c r="C1247" s="122">
        <f t="shared" si="40"/>
        <v>0</v>
      </c>
      <c r="D1247" s="123"/>
      <c r="E1247" s="125"/>
      <c r="F1247" s="125"/>
      <c r="G1247" s="125"/>
      <c r="H1247" s="126"/>
      <c r="I1247" s="127"/>
      <c r="J1247" s="118">
        <f>IF(ISERROR(VLOOKUP(H1247,#REF!,9,0)),0,VLOOKUP(H1247,#REF!,9,0)*I1247)/3600</f>
        <v>0</v>
      </c>
    </row>
    <row r="1248" spans="2:10" x14ac:dyDescent="0.3">
      <c r="B1248" s="121">
        <f t="shared" si="39"/>
        <v>0</v>
      </c>
      <c r="C1248" s="122">
        <f t="shared" si="40"/>
        <v>0</v>
      </c>
      <c r="D1248" s="123"/>
      <c r="E1248" s="124"/>
      <c r="F1248" s="125"/>
      <c r="G1248" s="125"/>
      <c r="H1248" s="126"/>
      <c r="I1248" s="127"/>
      <c r="J1248" s="118">
        <f>IF(ISERROR(VLOOKUP(H1248,#REF!,9,0)),0,VLOOKUP(H1248,#REF!,9,0)*I1248)/3600</f>
        <v>0</v>
      </c>
    </row>
    <row r="1249" spans="2:10" x14ac:dyDescent="0.3">
      <c r="B1249" s="121">
        <f t="shared" si="39"/>
        <v>0</v>
      </c>
      <c r="C1249" s="122">
        <f t="shared" si="40"/>
        <v>0</v>
      </c>
      <c r="D1249" s="123"/>
      <c r="E1249" s="125"/>
      <c r="F1249" s="125"/>
      <c r="G1249" s="125"/>
      <c r="H1249" s="126"/>
      <c r="I1249" s="127"/>
      <c r="J1249" s="118">
        <f>IF(ISERROR(VLOOKUP(H1249,#REF!,9,0)),0,VLOOKUP(H1249,#REF!,9,0)*I1249)/3600</f>
        <v>0</v>
      </c>
    </row>
    <row r="1250" spans="2:10" x14ac:dyDescent="0.3">
      <c r="B1250" s="121">
        <f t="shared" si="39"/>
        <v>0</v>
      </c>
      <c r="C1250" s="122">
        <f t="shared" si="40"/>
        <v>0</v>
      </c>
      <c r="D1250" s="123"/>
      <c r="E1250" s="124"/>
      <c r="F1250" s="125"/>
      <c r="G1250" s="125"/>
      <c r="H1250" s="126"/>
      <c r="I1250" s="127"/>
      <c r="J1250" s="118">
        <f>IF(ISERROR(VLOOKUP(H1250,#REF!,9,0)),0,VLOOKUP(H1250,#REF!,9,0)*I1250)/3600</f>
        <v>0</v>
      </c>
    </row>
    <row r="1251" spans="2:10" x14ac:dyDescent="0.3">
      <c r="B1251" s="121">
        <f t="shared" si="39"/>
        <v>0</v>
      </c>
      <c r="C1251" s="122">
        <f t="shared" si="40"/>
        <v>0</v>
      </c>
      <c r="D1251" s="123"/>
      <c r="E1251" s="125"/>
      <c r="F1251" s="125"/>
      <c r="G1251" s="125"/>
      <c r="H1251" s="126"/>
      <c r="I1251" s="127"/>
      <c r="J1251" s="118">
        <f>IF(ISERROR(VLOOKUP(H1251,#REF!,9,0)),0,VLOOKUP(H1251,#REF!,9,0)*I1251)/3600</f>
        <v>0</v>
      </c>
    </row>
    <row r="1252" spans="2:10" x14ac:dyDescent="0.3">
      <c r="B1252" s="121">
        <f t="shared" si="39"/>
        <v>0</v>
      </c>
      <c r="C1252" s="122">
        <f t="shared" si="40"/>
        <v>0</v>
      </c>
      <c r="D1252" s="123"/>
      <c r="E1252" s="124"/>
      <c r="F1252" s="125"/>
      <c r="G1252" s="125"/>
      <c r="H1252" s="126"/>
      <c r="I1252" s="127"/>
      <c r="J1252" s="118">
        <f>IF(ISERROR(VLOOKUP(H1252,#REF!,9,0)),0,VLOOKUP(H1252,#REF!,9,0)*I1252)/3600</f>
        <v>0</v>
      </c>
    </row>
    <row r="1253" spans="2:10" x14ac:dyDescent="0.3">
      <c r="B1253" s="121">
        <f t="shared" si="39"/>
        <v>0</v>
      </c>
      <c r="C1253" s="122">
        <f t="shared" si="40"/>
        <v>0</v>
      </c>
      <c r="D1253" s="123"/>
      <c r="E1253" s="125"/>
      <c r="F1253" s="125"/>
      <c r="G1253" s="125"/>
      <c r="H1253" s="126"/>
      <c r="I1253" s="127"/>
      <c r="J1253" s="118">
        <f>IF(ISERROR(VLOOKUP(H1253,#REF!,9,0)),0,VLOOKUP(H1253,#REF!,9,0)*I1253)/3600</f>
        <v>0</v>
      </c>
    </row>
    <row r="1254" spans="2:10" x14ac:dyDescent="0.3">
      <c r="B1254" s="121">
        <f t="shared" si="39"/>
        <v>0</v>
      </c>
      <c r="C1254" s="122">
        <f t="shared" si="40"/>
        <v>0</v>
      </c>
      <c r="D1254" s="123"/>
      <c r="E1254" s="124"/>
      <c r="F1254" s="125"/>
      <c r="G1254" s="125"/>
      <c r="H1254" s="126"/>
      <c r="I1254" s="127"/>
      <c r="J1254" s="118">
        <f>IF(ISERROR(VLOOKUP(H1254,#REF!,9,0)),0,VLOOKUP(H1254,#REF!,9,0)*I1254)/3600</f>
        <v>0</v>
      </c>
    </row>
    <row r="1255" spans="2:10" x14ac:dyDescent="0.3">
      <c r="B1255" s="121">
        <f t="shared" si="39"/>
        <v>0</v>
      </c>
      <c r="C1255" s="122">
        <f t="shared" si="40"/>
        <v>0</v>
      </c>
      <c r="D1255" s="123"/>
      <c r="E1255" s="125"/>
      <c r="F1255" s="125"/>
      <c r="G1255" s="125"/>
      <c r="H1255" s="126"/>
      <c r="I1255" s="127"/>
      <c r="J1255" s="118">
        <f>IF(ISERROR(VLOOKUP(H1255,#REF!,9,0)),0,VLOOKUP(H1255,#REF!,9,0)*I1255)/3600</f>
        <v>0</v>
      </c>
    </row>
    <row r="1256" spans="2:10" x14ac:dyDescent="0.3">
      <c r="B1256" s="121">
        <f t="shared" si="39"/>
        <v>0</v>
      </c>
      <c r="C1256" s="122">
        <f t="shared" si="40"/>
        <v>0</v>
      </c>
      <c r="D1256" s="123"/>
      <c r="E1256" s="124"/>
      <c r="F1256" s="125"/>
      <c r="G1256" s="125"/>
      <c r="H1256" s="126"/>
      <c r="I1256" s="127"/>
      <c r="J1256" s="118">
        <f>IF(ISERROR(VLOOKUP(H1256,#REF!,9,0)),0,VLOOKUP(H1256,#REF!,9,0)*I1256)/3600</f>
        <v>0</v>
      </c>
    </row>
    <row r="1257" spans="2:10" x14ac:dyDescent="0.3">
      <c r="B1257" s="121">
        <f t="shared" si="39"/>
        <v>0</v>
      </c>
      <c r="C1257" s="122">
        <f t="shared" si="40"/>
        <v>0</v>
      </c>
      <c r="D1257" s="123"/>
      <c r="E1257" s="125"/>
      <c r="F1257" s="125"/>
      <c r="G1257" s="125"/>
      <c r="H1257" s="126"/>
      <c r="I1257" s="127"/>
      <c r="J1257" s="118">
        <f>IF(ISERROR(VLOOKUP(H1257,#REF!,9,0)),0,VLOOKUP(H1257,#REF!,9,0)*I1257)/3600</f>
        <v>0</v>
      </c>
    </row>
    <row r="1258" spans="2:10" x14ac:dyDescent="0.3">
      <c r="B1258" s="121">
        <f t="shared" si="39"/>
        <v>0</v>
      </c>
      <c r="C1258" s="122">
        <f t="shared" si="40"/>
        <v>0</v>
      </c>
      <c r="D1258" s="123"/>
      <c r="E1258" s="124"/>
      <c r="F1258" s="125"/>
      <c r="G1258" s="125"/>
      <c r="H1258" s="126"/>
      <c r="I1258" s="127"/>
      <c r="J1258" s="118">
        <f>IF(ISERROR(VLOOKUP(H1258,#REF!,9,0)),0,VLOOKUP(H1258,#REF!,9,0)*I1258)/3600</f>
        <v>0</v>
      </c>
    </row>
    <row r="1259" spans="2:10" x14ac:dyDescent="0.3">
      <c r="B1259" s="121">
        <f t="shared" si="39"/>
        <v>0</v>
      </c>
      <c r="C1259" s="122">
        <f t="shared" si="40"/>
        <v>0</v>
      </c>
      <c r="D1259" s="123"/>
      <c r="E1259" s="125"/>
      <c r="F1259" s="125"/>
      <c r="G1259" s="125"/>
      <c r="H1259" s="126"/>
      <c r="I1259" s="127"/>
      <c r="J1259" s="118">
        <f>IF(ISERROR(VLOOKUP(H1259,#REF!,9,0)),0,VLOOKUP(H1259,#REF!,9,0)*I1259)/3600</f>
        <v>0</v>
      </c>
    </row>
    <row r="1260" spans="2:10" x14ac:dyDescent="0.3">
      <c r="B1260" s="121">
        <f t="shared" si="39"/>
        <v>0</v>
      </c>
      <c r="C1260" s="122">
        <f t="shared" si="40"/>
        <v>0</v>
      </c>
      <c r="D1260" s="123"/>
      <c r="E1260" s="124"/>
      <c r="F1260" s="125"/>
      <c r="G1260" s="125"/>
      <c r="H1260" s="126"/>
      <c r="I1260" s="127"/>
      <c r="J1260" s="118">
        <f>IF(ISERROR(VLOOKUP(H1260,#REF!,9,0)),0,VLOOKUP(H1260,#REF!,9,0)*I1260)/3600</f>
        <v>0</v>
      </c>
    </row>
    <row r="1261" spans="2:10" x14ac:dyDescent="0.3">
      <c r="B1261" s="121">
        <f t="shared" si="39"/>
        <v>0</v>
      </c>
      <c r="C1261" s="122">
        <f t="shared" si="40"/>
        <v>0</v>
      </c>
      <c r="D1261" s="123"/>
      <c r="E1261" s="125"/>
      <c r="F1261" s="125"/>
      <c r="G1261" s="125"/>
      <c r="H1261" s="126"/>
      <c r="I1261" s="127"/>
      <c r="J1261" s="118">
        <f>IF(ISERROR(VLOOKUP(H1261,#REF!,9,0)),0,VLOOKUP(H1261,#REF!,9,0)*I1261)/3600</f>
        <v>0</v>
      </c>
    </row>
    <row r="1262" spans="2:10" x14ac:dyDescent="0.3">
      <c r="B1262" s="121">
        <f t="shared" si="39"/>
        <v>0</v>
      </c>
      <c r="C1262" s="122">
        <f t="shared" si="40"/>
        <v>0</v>
      </c>
      <c r="D1262" s="123"/>
      <c r="E1262" s="124"/>
      <c r="F1262" s="125"/>
      <c r="G1262" s="125"/>
      <c r="H1262" s="126"/>
      <c r="I1262" s="127"/>
      <c r="J1262" s="118">
        <f>IF(ISERROR(VLOOKUP(H1262,#REF!,9,0)),0,VLOOKUP(H1262,#REF!,9,0)*I1262)/3600</f>
        <v>0</v>
      </c>
    </row>
    <row r="1263" spans="2:10" x14ac:dyDescent="0.3">
      <c r="B1263" s="121">
        <f t="shared" si="39"/>
        <v>0</v>
      </c>
      <c r="C1263" s="122">
        <f t="shared" si="40"/>
        <v>0</v>
      </c>
      <c r="D1263" s="123"/>
      <c r="E1263" s="125"/>
      <c r="F1263" s="125"/>
      <c r="G1263" s="125"/>
      <c r="H1263" s="126"/>
      <c r="I1263" s="127"/>
      <c r="J1263" s="118">
        <f>IF(ISERROR(VLOOKUP(H1263,#REF!,9,0)),0,VLOOKUP(H1263,#REF!,9,0)*I1263)/3600</f>
        <v>0</v>
      </c>
    </row>
    <row r="1264" spans="2:10" x14ac:dyDescent="0.3">
      <c r="B1264" s="121">
        <f t="shared" si="39"/>
        <v>0</v>
      </c>
      <c r="C1264" s="122">
        <f t="shared" si="40"/>
        <v>0</v>
      </c>
      <c r="D1264" s="123"/>
      <c r="E1264" s="124"/>
      <c r="F1264" s="125"/>
      <c r="G1264" s="125"/>
      <c r="H1264" s="126"/>
      <c r="I1264" s="127"/>
      <c r="J1264" s="118">
        <f>IF(ISERROR(VLOOKUP(H1264,#REF!,9,0)),0,VLOOKUP(H1264,#REF!,9,0)*I1264)/3600</f>
        <v>0</v>
      </c>
    </row>
    <row r="1265" spans="2:10" x14ac:dyDescent="0.3">
      <c r="B1265" s="121">
        <f t="shared" si="39"/>
        <v>0</v>
      </c>
      <c r="C1265" s="122">
        <f t="shared" si="40"/>
        <v>0</v>
      </c>
      <c r="D1265" s="123"/>
      <c r="E1265" s="125"/>
      <c r="F1265" s="125"/>
      <c r="G1265" s="125"/>
      <c r="H1265" s="126"/>
      <c r="I1265" s="127"/>
      <c r="J1265" s="118">
        <f>IF(ISERROR(VLOOKUP(H1265,#REF!,9,0)),0,VLOOKUP(H1265,#REF!,9,0)*I1265)/3600</f>
        <v>0</v>
      </c>
    </row>
    <row r="1266" spans="2:10" x14ac:dyDescent="0.3">
      <c r="B1266" s="121">
        <f t="shared" si="39"/>
        <v>0</v>
      </c>
      <c r="C1266" s="122">
        <f t="shared" si="40"/>
        <v>0</v>
      </c>
      <c r="D1266" s="123"/>
      <c r="E1266" s="124"/>
      <c r="F1266" s="125"/>
      <c r="G1266" s="125"/>
      <c r="H1266" s="126"/>
      <c r="I1266" s="127"/>
      <c r="J1266" s="118">
        <f>IF(ISERROR(VLOOKUP(H1266,#REF!,9,0)),0,VLOOKUP(H1266,#REF!,9,0)*I1266)/3600</f>
        <v>0</v>
      </c>
    </row>
    <row r="1267" spans="2:10" x14ac:dyDescent="0.3">
      <c r="B1267" s="121">
        <f t="shared" si="39"/>
        <v>0</v>
      </c>
      <c r="C1267" s="122">
        <f t="shared" si="40"/>
        <v>0</v>
      </c>
      <c r="D1267" s="123"/>
      <c r="E1267" s="125"/>
      <c r="F1267" s="125"/>
      <c r="G1267" s="125"/>
      <c r="H1267" s="126"/>
      <c r="I1267" s="127"/>
      <c r="J1267" s="118">
        <f>IF(ISERROR(VLOOKUP(H1267,#REF!,9,0)),0,VLOOKUP(H1267,#REF!,9,0)*I1267)/3600</f>
        <v>0</v>
      </c>
    </row>
    <row r="1268" spans="2:10" x14ac:dyDescent="0.3">
      <c r="B1268" s="121">
        <f t="shared" si="39"/>
        <v>0</v>
      </c>
      <c r="C1268" s="122">
        <f t="shared" si="40"/>
        <v>0</v>
      </c>
      <c r="D1268" s="123"/>
      <c r="E1268" s="124"/>
      <c r="F1268" s="125"/>
      <c r="G1268" s="125"/>
      <c r="H1268" s="126"/>
      <c r="I1268" s="127"/>
      <c r="J1268" s="118">
        <f>IF(ISERROR(VLOOKUP(H1268,#REF!,9,0)),0,VLOOKUP(H1268,#REF!,9,0)*I1268)/3600</f>
        <v>0</v>
      </c>
    </row>
    <row r="1269" spans="2:10" x14ac:dyDescent="0.3">
      <c r="B1269" s="121">
        <f t="shared" si="39"/>
        <v>0</v>
      </c>
      <c r="C1269" s="122">
        <f t="shared" si="40"/>
        <v>0</v>
      </c>
      <c r="D1269" s="123"/>
      <c r="E1269" s="125"/>
      <c r="F1269" s="125"/>
      <c r="G1269" s="125"/>
      <c r="H1269" s="126"/>
      <c r="I1269" s="127"/>
      <c r="J1269" s="118">
        <f>IF(ISERROR(VLOOKUP(H1269,#REF!,9,0)),0,VLOOKUP(H1269,#REF!,9,0)*I1269)/3600</f>
        <v>0</v>
      </c>
    </row>
    <row r="1270" spans="2:10" x14ac:dyDescent="0.3">
      <c r="B1270" s="121">
        <f t="shared" si="39"/>
        <v>0</v>
      </c>
      <c r="C1270" s="122">
        <f t="shared" si="40"/>
        <v>0</v>
      </c>
      <c r="D1270" s="123"/>
      <c r="E1270" s="124"/>
      <c r="F1270" s="125"/>
      <c r="G1270" s="125"/>
      <c r="H1270" s="126"/>
      <c r="I1270" s="127"/>
      <c r="J1270" s="118">
        <f>IF(ISERROR(VLOOKUP(H1270,#REF!,9,0)),0,VLOOKUP(H1270,#REF!,9,0)*I1270)/3600</f>
        <v>0</v>
      </c>
    </row>
    <row r="1271" spans="2:10" x14ac:dyDescent="0.3">
      <c r="B1271" s="121">
        <f t="shared" si="39"/>
        <v>0</v>
      </c>
      <c r="C1271" s="122">
        <f t="shared" si="40"/>
        <v>0</v>
      </c>
      <c r="D1271" s="123"/>
      <c r="E1271" s="125"/>
      <c r="F1271" s="125"/>
      <c r="G1271" s="125"/>
      <c r="H1271" s="126"/>
      <c r="I1271" s="127"/>
      <c r="J1271" s="118">
        <f>IF(ISERROR(VLOOKUP(H1271,#REF!,9,0)),0,VLOOKUP(H1271,#REF!,9,0)*I1271)/3600</f>
        <v>0</v>
      </c>
    </row>
    <row r="1272" spans="2:10" x14ac:dyDescent="0.3">
      <c r="B1272" s="121">
        <f t="shared" si="39"/>
        <v>0</v>
      </c>
      <c r="C1272" s="122">
        <f t="shared" si="40"/>
        <v>0</v>
      </c>
      <c r="D1272" s="123"/>
      <c r="E1272" s="124"/>
      <c r="F1272" s="125"/>
      <c r="G1272" s="125"/>
      <c r="H1272" s="126"/>
      <c r="I1272" s="127"/>
      <c r="J1272" s="118">
        <f>IF(ISERROR(VLOOKUP(H1272,#REF!,9,0)),0,VLOOKUP(H1272,#REF!,9,0)*I1272)/3600</f>
        <v>0</v>
      </c>
    </row>
    <row r="1273" spans="2:10" x14ac:dyDescent="0.3">
      <c r="B1273" s="121">
        <f t="shared" si="39"/>
        <v>0</v>
      </c>
      <c r="C1273" s="122">
        <f t="shared" si="40"/>
        <v>0</v>
      </c>
      <c r="D1273" s="123"/>
      <c r="E1273" s="125"/>
      <c r="F1273" s="125"/>
      <c r="G1273" s="125"/>
      <c r="H1273" s="126"/>
      <c r="I1273" s="127"/>
      <c r="J1273" s="118">
        <f>IF(ISERROR(VLOOKUP(H1273,#REF!,9,0)),0,VLOOKUP(H1273,#REF!,9,0)*I1273)/3600</f>
        <v>0</v>
      </c>
    </row>
    <row r="1274" spans="2:10" x14ac:dyDescent="0.3">
      <c r="B1274" s="121">
        <f t="shared" si="39"/>
        <v>0</v>
      </c>
      <c r="C1274" s="122">
        <f t="shared" si="40"/>
        <v>0</v>
      </c>
      <c r="D1274" s="123"/>
      <c r="E1274" s="124"/>
      <c r="F1274" s="125"/>
      <c r="G1274" s="125"/>
      <c r="H1274" s="126"/>
      <c r="I1274" s="127"/>
      <c r="J1274" s="118">
        <f>IF(ISERROR(VLOOKUP(H1274,#REF!,9,0)),0,VLOOKUP(H1274,#REF!,9,0)*I1274)/3600</f>
        <v>0</v>
      </c>
    </row>
    <row r="1275" spans="2:10" x14ac:dyDescent="0.3">
      <c r="B1275" s="121">
        <f t="shared" si="39"/>
        <v>0</v>
      </c>
      <c r="C1275" s="122">
        <f t="shared" si="40"/>
        <v>0</v>
      </c>
      <c r="D1275" s="123"/>
      <c r="E1275" s="125"/>
      <c r="F1275" s="125"/>
      <c r="G1275" s="125"/>
      <c r="H1275" s="126"/>
      <c r="I1275" s="127"/>
      <c r="J1275" s="118">
        <f>IF(ISERROR(VLOOKUP(H1275,#REF!,9,0)),0,VLOOKUP(H1275,#REF!,9,0)*I1275)/3600</f>
        <v>0</v>
      </c>
    </row>
    <row r="1276" spans="2:10" x14ac:dyDescent="0.3">
      <c r="B1276" s="121">
        <f t="shared" si="39"/>
        <v>0</v>
      </c>
      <c r="C1276" s="122">
        <f t="shared" si="40"/>
        <v>0</v>
      </c>
      <c r="D1276" s="123"/>
      <c r="E1276" s="124"/>
      <c r="F1276" s="125"/>
      <c r="G1276" s="125"/>
      <c r="H1276" s="126"/>
      <c r="I1276" s="127"/>
      <c r="J1276" s="118">
        <f>IF(ISERROR(VLOOKUP(H1276,#REF!,9,0)),0,VLOOKUP(H1276,#REF!,9,0)*I1276)/3600</f>
        <v>0</v>
      </c>
    </row>
    <row r="1277" spans="2:10" x14ac:dyDescent="0.3">
      <c r="B1277" s="121">
        <f t="shared" si="39"/>
        <v>0</v>
      </c>
      <c r="C1277" s="122">
        <f t="shared" si="40"/>
        <v>0</v>
      </c>
      <c r="D1277" s="123"/>
      <c r="E1277" s="125"/>
      <c r="F1277" s="125"/>
      <c r="G1277" s="125"/>
      <c r="H1277" s="126"/>
      <c r="I1277" s="127"/>
      <c r="J1277" s="118">
        <f>IF(ISERROR(VLOOKUP(H1277,#REF!,9,0)),0,VLOOKUP(H1277,#REF!,9,0)*I1277)/3600</f>
        <v>0</v>
      </c>
    </row>
    <row r="1278" spans="2:10" x14ac:dyDescent="0.3">
      <c r="B1278" s="121">
        <f t="shared" si="39"/>
        <v>0</v>
      </c>
      <c r="C1278" s="122">
        <f t="shared" si="40"/>
        <v>0</v>
      </c>
      <c r="D1278" s="123"/>
      <c r="E1278" s="124"/>
      <c r="F1278" s="125"/>
      <c r="G1278" s="125"/>
      <c r="H1278" s="126"/>
      <c r="I1278" s="127"/>
      <c r="J1278" s="118">
        <f>IF(ISERROR(VLOOKUP(H1278,#REF!,9,0)),0,VLOOKUP(H1278,#REF!,9,0)*I1278)/3600</f>
        <v>0</v>
      </c>
    </row>
    <row r="1279" spans="2:10" x14ac:dyDescent="0.3">
      <c r="B1279" s="121">
        <f t="shared" si="39"/>
        <v>0</v>
      </c>
      <c r="C1279" s="122">
        <f t="shared" si="40"/>
        <v>0</v>
      </c>
      <c r="D1279" s="123"/>
      <c r="E1279" s="125"/>
      <c r="F1279" s="125"/>
      <c r="G1279" s="125"/>
      <c r="H1279" s="126"/>
      <c r="I1279" s="127"/>
      <c r="J1279" s="118">
        <f>IF(ISERROR(VLOOKUP(H1279,#REF!,9,0)),0,VLOOKUP(H1279,#REF!,9,0)*I1279)/3600</f>
        <v>0</v>
      </c>
    </row>
    <row r="1280" spans="2:10" x14ac:dyDescent="0.3">
      <c r="B1280" s="121">
        <f t="shared" si="39"/>
        <v>0</v>
      </c>
      <c r="C1280" s="122">
        <f t="shared" si="40"/>
        <v>0</v>
      </c>
      <c r="D1280" s="123"/>
      <c r="E1280" s="124"/>
      <c r="F1280" s="125"/>
      <c r="G1280" s="125"/>
      <c r="H1280" s="126"/>
      <c r="I1280" s="127"/>
      <c r="J1280" s="118">
        <f>IF(ISERROR(VLOOKUP(H1280,#REF!,9,0)),0,VLOOKUP(H1280,#REF!,9,0)*I1280)/3600</f>
        <v>0</v>
      </c>
    </row>
    <row r="1281" spans="2:10" x14ac:dyDescent="0.3">
      <c r="B1281" s="121">
        <f t="shared" si="39"/>
        <v>0</v>
      </c>
      <c r="C1281" s="122">
        <f t="shared" si="40"/>
        <v>0</v>
      </c>
      <c r="D1281" s="123"/>
      <c r="E1281" s="125"/>
      <c r="F1281" s="125"/>
      <c r="G1281" s="125"/>
      <c r="H1281" s="126"/>
      <c r="I1281" s="127"/>
      <c r="J1281" s="118">
        <f>IF(ISERROR(VLOOKUP(H1281,#REF!,9,0)),0,VLOOKUP(H1281,#REF!,9,0)*I1281)/3600</f>
        <v>0</v>
      </c>
    </row>
    <row r="1282" spans="2:10" x14ac:dyDescent="0.3">
      <c r="B1282" s="121">
        <f t="shared" si="39"/>
        <v>0</v>
      </c>
      <c r="C1282" s="122">
        <f t="shared" si="40"/>
        <v>0</v>
      </c>
      <c r="D1282" s="123"/>
      <c r="E1282" s="124"/>
      <c r="F1282" s="125"/>
      <c r="G1282" s="125"/>
      <c r="H1282" s="126"/>
      <c r="I1282" s="127"/>
      <c r="J1282" s="118">
        <f>IF(ISERROR(VLOOKUP(H1282,#REF!,9,0)),0,VLOOKUP(H1282,#REF!,9,0)*I1282)/3600</f>
        <v>0</v>
      </c>
    </row>
    <row r="1283" spans="2:10" x14ac:dyDescent="0.3">
      <c r="B1283" s="121">
        <f t="shared" si="39"/>
        <v>0</v>
      </c>
      <c r="C1283" s="122">
        <f t="shared" si="40"/>
        <v>0</v>
      </c>
      <c r="D1283" s="123"/>
      <c r="E1283" s="125"/>
      <c r="F1283" s="125"/>
      <c r="G1283" s="125"/>
      <c r="H1283" s="126"/>
      <c r="I1283" s="127"/>
      <c r="J1283" s="118">
        <f>IF(ISERROR(VLOOKUP(H1283,#REF!,9,0)),0,VLOOKUP(H1283,#REF!,9,0)*I1283)/3600</f>
        <v>0</v>
      </c>
    </row>
    <row r="1284" spans="2:10" x14ac:dyDescent="0.3">
      <c r="B1284" s="121">
        <f t="shared" si="39"/>
        <v>0</v>
      </c>
      <c r="C1284" s="122">
        <f t="shared" si="40"/>
        <v>0</v>
      </c>
      <c r="D1284" s="123"/>
      <c r="E1284" s="124"/>
      <c r="F1284" s="125"/>
      <c r="G1284" s="125"/>
      <c r="H1284" s="126"/>
      <c r="I1284" s="127"/>
      <c r="J1284" s="118">
        <f>IF(ISERROR(VLOOKUP(H1284,#REF!,9,0)),0,VLOOKUP(H1284,#REF!,9,0)*I1284)/3600</f>
        <v>0</v>
      </c>
    </row>
    <row r="1285" spans="2:10" x14ac:dyDescent="0.3">
      <c r="B1285" s="121">
        <f t="shared" si="39"/>
        <v>0</v>
      </c>
      <c r="C1285" s="122">
        <f t="shared" si="40"/>
        <v>0</v>
      </c>
      <c r="D1285" s="123"/>
      <c r="E1285" s="125"/>
      <c r="F1285" s="125"/>
      <c r="G1285" s="125"/>
      <c r="H1285" s="126"/>
      <c r="I1285" s="127"/>
      <c r="J1285" s="118">
        <f>IF(ISERROR(VLOOKUP(H1285,#REF!,9,0)),0,VLOOKUP(H1285,#REF!,9,0)*I1285)/3600</f>
        <v>0</v>
      </c>
    </row>
    <row r="1286" spans="2:10" x14ac:dyDescent="0.3">
      <c r="B1286" s="121">
        <f t="shared" ref="B1286:B1325" si="41">IF(D1286&gt;0,YEAR(D1286),0)</f>
        <v>0</v>
      </c>
      <c r="C1286" s="122">
        <f t="shared" ref="C1286:C1325" si="42">IF(D1286&gt;0,MONTH(D1286),0)</f>
        <v>0</v>
      </c>
      <c r="D1286" s="123"/>
      <c r="E1286" s="124"/>
      <c r="F1286" s="125"/>
      <c r="G1286" s="125"/>
      <c r="H1286" s="126"/>
      <c r="I1286" s="127"/>
      <c r="J1286" s="118">
        <f>IF(ISERROR(VLOOKUP(H1286,#REF!,9,0)),0,VLOOKUP(H1286,#REF!,9,0)*I1286)/3600</f>
        <v>0</v>
      </c>
    </row>
    <row r="1287" spans="2:10" x14ac:dyDescent="0.3">
      <c r="B1287" s="121">
        <f t="shared" si="41"/>
        <v>0</v>
      </c>
      <c r="C1287" s="122">
        <f t="shared" si="42"/>
        <v>0</v>
      </c>
      <c r="D1287" s="123"/>
      <c r="E1287" s="125"/>
      <c r="F1287" s="125"/>
      <c r="G1287" s="125"/>
      <c r="H1287" s="126"/>
      <c r="I1287" s="127"/>
      <c r="J1287" s="118">
        <f>IF(ISERROR(VLOOKUP(H1287,#REF!,9,0)),0,VLOOKUP(H1287,#REF!,9,0)*I1287)/3600</f>
        <v>0</v>
      </c>
    </row>
    <row r="1288" spans="2:10" x14ac:dyDescent="0.3">
      <c r="B1288" s="121">
        <f t="shared" si="41"/>
        <v>0</v>
      </c>
      <c r="C1288" s="122">
        <f t="shared" si="42"/>
        <v>0</v>
      </c>
      <c r="D1288" s="123"/>
      <c r="E1288" s="124"/>
      <c r="F1288" s="125"/>
      <c r="G1288" s="125"/>
      <c r="H1288" s="126"/>
      <c r="I1288" s="127"/>
      <c r="J1288" s="118">
        <f>IF(ISERROR(VLOOKUP(H1288,#REF!,9,0)),0,VLOOKUP(H1288,#REF!,9,0)*I1288)/3600</f>
        <v>0</v>
      </c>
    </row>
    <row r="1289" spans="2:10" x14ac:dyDescent="0.3">
      <c r="B1289" s="121">
        <f t="shared" si="41"/>
        <v>0</v>
      </c>
      <c r="C1289" s="122">
        <f t="shared" si="42"/>
        <v>0</v>
      </c>
      <c r="D1289" s="123"/>
      <c r="E1289" s="125"/>
      <c r="F1289" s="125"/>
      <c r="G1289" s="125"/>
      <c r="H1289" s="126"/>
      <c r="I1289" s="127"/>
      <c r="J1289" s="118">
        <f>IF(ISERROR(VLOOKUP(H1289,#REF!,9,0)),0,VLOOKUP(H1289,#REF!,9,0)*I1289)/3600</f>
        <v>0</v>
      </c>
    </row>
    <row r="1290" spans="2:10" x14ac:dyDescent="0.3">
      <c r="B1290" s="121">
        <f t="shared" si="41"/>
        <v>0</v>
      </c>
      <c r="C1290" s="122">
        <f t="shared" si="42"/>
        <v>0</v>
      </c>
      <c r="D1290" s="123"/>
      <c r="E1290" s="124"/>
      <c r="F1290" s="125"/>
      <c r="G1290" s="125"/>
      <c r="H1290" s="126"/>
      <c r="I1290" s="127"/>
      <c r="J1290" s="118">
        <f>IF(ISERROR(VLOOKUP(H1290,#REF!,9,0)),0,VLOOKUP(H1290,#REF!,9,0)*I1290)/3600</f>
        <v>0</v>
      </c>
    </row>
    <row r="1291" spans="2:10" x14ac:dyDescent="0.3">
      <c r="B1291" s="121">
        <f t="shared" si="41"/>
        <v>0</v>
      </c>
      <c r="C1291" s="122">
        <f t="shared" si="42"/>
        <v>0</v>
      </c>
      <c r="D1291" s="123"/>
      <c r="E1291" s="125"/>
      <c r="F1291" s="125"/>
      <c r="G1291" s="125"/>
      <c r="H1291" s="126"/>
      <c r="I1291" s="127"/>
      <c r="J1291" s="118">
        <f>IF(ISERROR(VLOOKUP(H1291,#REF!,9,0)),0,VLOOKUP(H1291,#REF!,9,0)*I1291)/3600</f>
        <v>0</v>
      </c>
    </row>
    <row r="1292" spans="2:10" x14ac:dyDescent="0.3">
      <c r="B1292" s="121">
        <f t="shared" si="41"/>
        <v>0</v>
      </c>
      <c r="C1292" s="122">
        <f t="shared" si="42"/>
        <v>0</v>
      </c>
      <c r="D1292" s="123"/>
      <c r="E1292" s="124"/>
      <c r="F1292" s="125"/>
      <c r="G1292" s="125"/>
      <c r="H1292" s="126"/>
      <c r="I1292" s="127"/>
      <c r="J1292" s="118">
        <f>IF(ISERROR(VLOOKUP(H1292,#REF!,9,0)),0,VLOOKUP(H1292,#REF!,9,0)*I1292)/3600</f>
        <v>0</v>
      </c>
    </row>
    <row r="1293" spans="2:10" x14ac:dyDescent="0.3">
      <c r="B1293" s="121">
        <f t="shared" si="41"/>
        <v>0</v>
      </c>
      <c r="C1293" s="122">
        <f t="shared" si="42"/>
        <v>0</v>
      </c>
      <c r="D1293" s="123"/>
      <c r="E1293" s="125"/>
      <c r="F1293" s="125"/>
      <c r="G1293" s="125"/>
      <c r="H1293" s="126"/>
      <c r="I1293" s="127"/>
      <c r="J1293" s="118">
        <f>IF(ISERROR(VLOOKUP(H1293,#REF!,9,0)),0,VLOOKUP(H1293,#REF!,9,0)*I1293)/3600</f>
        <v>0</v>
      </c>
    </row>
    <row r="1294" spans="2:10" x14ac:dyDescent="0.3">
      <c r="B1294" s="121">
        <f t="shared" si="41"/>
        <v>0</v>
      </c>
      <c r="C1294" s="122">
        <f t="shared" si="42"/>
        <v>0</v>
      </c>
      <c r="D1294" s="123"/>
      <c r="E1294" s="124"/>
      <c r="F1294" s="125"/>
      <c r="G1294" s="125"/>
      <c r="H1294" s="126"/>
      <c r="I1294" s="127"/>
      <c r="J1294" s="118">
        <f>IF(ISERROR(VLOOKUP(H1294,#REF!,9,0)),0,VLOOKUP(H1294,#REF!,9,0)*I1294)/3600</f>
        <v>0</v>
      </c>
    </row>
    <row r="1295" spans="2:10" x14ac:dyDescent="0.3">
      <c r="B1295" s="121">
        <f t="shared" si="41"/>
        <v>0</v>
      </c>
      <c r="C1295" s="122">
        <f t="shared" si="42"/>
        <v>0</v>
      </c>
      <c r="D1295" s="123"/>
      <c r="E1295" s="125"/>
      <c r="F1295" s="125"/>
      <c r="G1295" s="125"/>
      <c r="H1295" s="126"/>
      <c r="I1295" s="127"/>
      <c r="J1295" s="118">
        <f>IF(ISERROR(VLOOKUP(H1295,#REF!,9,0)),0,VLOOKUP(H1295,#REF!,9,0)*I1295)/3600</f>
        <v>0</v>
      </c>
    </row>
    <row r="1296" spans="2:10" x14ac:dyDescent="0.3">
      <c r="B1296" s="121">
        <f t="shared" si="41"/>
        <v>0</v>
      </c>
      <c r="C1296" s="122">
        <f t="shared" si="42"/>
        <v>0</v>
      </c>
      <c r="D1296" s="123"/>
      <c r="E1296" s="124"/>
      <c r="F1296" s="125"/>
      <c r="G1296" s="125"/>
      <c r="H1296" s="126"/>
      <c r="I1296" s="127"/>
      <c r="J1296" s="118">
        <f>IF(ISERROR(VLOOKUP(H1296,#REF!,9,0)),0,VLOOKUP(H1296,#REF!,9,0)*I1296)/3600</f>
        <v>0</v>
      </c>
    </row>
    <row r="1297" spans="2:10" x14ac:dyDescent="0.3">
      <c r="B1297" s="121">
        <f t="shared" si="41"/>
        <v>0</v>
      </c>
      <c r="C1297" s="122">
        <f t="shared" si="42"/>
        <v>0</v>
      </c>
      <c r="D1297" s="123"/>
      <c r="E1297" s="125"/>
      <c r="F1297" s="125"/>
      <c r="G1297" s="125"/>
      <c r="H1297" s="126"/>
      <c r="I1297" s="127"/>
      <c r="J1297" s="118">
        <f>IF(ISERROR(VLOOKUP(H1297,#REF!,9,0)),0,VLOOKUP(H1297,#REF!,9,0)*I1297)/3600</f>
        <v>0</v>
      </c>
    </row>
    <row r="1298" spans="2:10" x14ac:dyDescent="0.3">
      <c r="B1298" s="121">
        <f t="shared" si="41"/>
        <v>0</v>
      </c>
      <c r="C1298" s="122">
        <f t="shared" si="42"/>
        <v>0</v>
      </c>
      <c r="D1298" s="123"/>
      <c r="E1298" s="124"/>
      <c r="F1298" s="125"/>
      <c r="G1298" s="125"/>
      <c r="H1298" s="126"/>
      <c r="I1298" s="127"/>
      <c r="J1298" s="118">
        <f>IF(ISERROR(VLOOKUP(H1298,#REF!,9,0)),0,VLOOKUP(H1298,#REF!,9,0)*I1298)/3600</f>
        <v>0</v>
      </c>
    </row>
    <row r="1299" spans="2:10" x14ac:dyDescent="0.3">
      <c r="B1299" s="121">
        <f t="shared" si="41"/>
        <v>0</v>
      </c>
      <c r="C1299" s="122">
        <f t="shared" si="42"/>
        <v>0</v>
      </c>
      <c r="D1299" s="123"/>
      <c r="E1299" s="125"/>
      <c r="F1299" s="125"/>
      <c r="G1299" s="125"/>
      <c r="H1299" s="126"/>
      <c r="I1299" s="127"/>
      <c r="J1299" s="118">
        <f>IF(ISERROR(VLOOKUP(H1299,#REF!,9,0)),0,VLOOKUP(H1299,#REF!,9,0)*I1299)/3600</f>
        <v>0</v>
      </c>
    </row>
    <row r="1300" spans="2:10" x14ac:dyDescent="0.3">
      <c r="B1300" s="121">
        <f t="shared" si="41"/>
        <v>0</v>
      </c>
      <c r="C1300" s="122">
        <f t="shared" si="42"/>
        <v>0</v>
      </c>
      <c r="D1300" s="123"/>
      <c r="E1300" s="124"/>
      <c r="F1300" s="125"/>
      <c r="G1300" s="125"/>
      <c r="H1300" s="126"/>
      <c r="I1300" s="127"/>
      <c r="J1300" s="118">
        <f>IF(ISERROR(VLOOKUP(H1300,#REF!,9,0)),0,VLOOKUP(H1300,#REF!,9,0)*I1300)/3600</f>
        <v>0</v>
      </c>
    </row>
    <row r="1301" spans="2:10" x14ac:dyDescent="0.3">
      <c r="B1301" s="121">
        <f t="shared" si="41"/>
        <v>0</v>
      </c>
      <c r="C1301" s="122">
        <f t="shared" si="42"/>
        <v>0</v>
      </c>
      <c r="D1301" s="123"/>
      <c r="E1301" s="125"/>
      <c r="F1301" s="125"/>
      <c r="G1301" s="125"/>
      <c r="H1301" s="126"/>
      <c r="I1301" s="127"/>
      <c r="J1301" s="118">
        <f>IF(ISERROR(VLOOKUP(H1301,#REF!,9,0)),0,VLOOKUP(H1301,#REF!,9,0)*I1301)/3600</f>
        <v>0</v>
      </c>
    </row>
    <row r="1302" spans="2:10" x14ac:dyDescent="0.3">
      <c r="B1302" s="121">
        <f t="shared" si="41"/>
        <v>0</v>
      </c>
      <c r="C1302" s="122">
        <f t="shared" si="42"/>
        <v>0</v>
      </c>
      <c r="D1302" s="123"/>
      <c r="E1302" s="124"/>
      <c r="F1302" s="125"/>
      <c r="G1302" s="125"/>
      <c r="H1302" s="126"/>
      <c r="I1302" s="127"/>
      <c r="J1302" s="118">
        <f>IF(ISERROR(VLOOKUP(H1302,#REF!,9,0)),0,VLOOKUP(H1302,#REF!,9,0)*I1302)/3600</f>
        <v>0</v>
      </c>
    </row>
    <row r="1303" spans="2:10" x14ac:dyDescent="0.3">
      <c r="B1303" s="121">
        <f t="shared" si="41"/>
        <v>0</v>
      </c>
      <c r="C1303" s="122">
        <f t="shared" si="42"/>
        <v>0</v>
      </c>
      <c r="D1303" s="123"/>
      <c r="E1303" s="125"/>
      <c r="F1303" s="125"/>
      <c r="G1303" s="125"/>
      <c r="H1303" s="126"/>
      <c r="I1303" s="127"/>
      <c r="J1303" s="118">
        <f>IF(ISERROR(VLOOKUP(H1303,#REF!,9,0)),0,VLOOKUP(H1303,#REF!,9,0)*I1303)/3600</f>
        <v>0</v>
      </c>
    </row>
    <row r="1304" spans="2:10" x14ac:dyDescent="0.3">
      <c r="B1304" s="121">
        <f t="shared" si="41"/>
        <v>0</v>
      </c>
      <c r="C1304" s="122">
        <f t="shared" si="42"/>
        <v>0</v>
      </c>
      <c r="D1304" s="123"/>
      <c r="E1304" s="124"/>
      <c r="F1304" s="125"/>
      <c r="G1304" s="125"/>
      <c r="H1304" s="126"/>
      <c r="I1304" s="127"/>
      <c r="J1304" s="118">
        <f>IF(ISERROR(VLOOKUP(H1304,#REF!,9,0)),0,VLOOKUP(H1304,#REF!,9,0)*I1304)/3600</f>
        <v>0</v>
      </c>
    </row>
    <row r="1305" spans="2:10" x14ac:dyDescent="0.3">
      <c r="B1305" s="121">
        <f t="shared" si="41"/>
        <v>0</v>
      </c>
      <c r="C1305" s="122">
        <f t="shared" si="42"/>
        <v>0</v>
      </c>
      <c r="D1305" s="123"/>
      <c r="E1305" s="125"/>
      <c r="F1305" s="125"/>
      <c r="G1305" s="125"/>
      <c r="H1305" s="126"/>
      <c r="I1305" s="127"/>
      <c r="J1305" s="118">
        <f>IF(ISERROR(VLOOKUP(H1305,#REF!,9,0)),0,VLOOKUP(H1305,#REF!,9,0)*I1305)/3600</f>
        <v>0</v>
      </c>
    </row>
    <row r="1306" spans="2:10" x14ac:dyDescent="0.3">
      <c r="B1306" s="121">
        <f t="shared" si="41"/>
        <v>0</v>
      </c>
      <c r="C1306" s="122">
        <f t="shared" si="42"/>
        <v>0</v>
      </c>
      <c r="D1306" s="123"/>
      <c r="E1306" s="124"/>
      <c r="F1306" s="125"/>
      <c r="G1306" s="125"/>
      <c r="H1306" s="126"/>
      <c r="I1306" s="127"/>
      <c r="J1306" s="118">
        <f>IF(ISERROR(VLOOKUP(H1306,#REF!,9,0)),0,VLOOKUP(H1306,#REF!,9,0)*I1306)/3600</f>
        <v>0</v>
      </c>
    </row>
    <row r="1307" spans="2:10" x14ac:dyDescent="0.3">
      <c r="B1307" s="121">
        <f t="shared" si="41"/>
        <v>0</v>
      </c>
      <c r="C1307" s="122">
        <f t="shared" si="42"/>
        <v>0</v>
      </c>
      <c r="D1307" s="123"/>
      <c r="E1307" s="125"/>
      <c r="F1307" s="125"/>
      <c r="G1307" s="125"/>
      <c r="H1307" s="126"/>
      <c r="I1307" s="127"/>
      <c r="J1307" s="118">
        <f>IF(ISERROR(VLOOKUP(H1307,#REF!,9,0)),0,VLOOKUP(H1307,#REF!,9,0)*I1307)/3600</f>
        <v>0</v>
      </c>
    </row>
    <row r="1308" spans="2:10" x14ac:dyDescent="0.3">
      <c r="B1308" s="121">
        <f t="shared" si="41"/>
        <v>0</v>
      </c>
      <c r="C1308" s="122">
        <f t="shared" si="42"/>
        <v>0</v>
      </c>
      <c r="D1308" s="123"/>
      <c r="E1308" s="124"/>
      <c r="F1308" s="125"/>
      <c r="G1308" s="125"/>
      <c r="H1308" s="126"/>
      <c r="I1308" s="127"/>
      <c r="J1308" s="118">
        <f>IF(ISERROR(VLOOKUP(H1308,#REF!,9,0)),0,VLOOKUP(H1308,#REF!,9,0)*I1308)/3600</f>
        <v>0</v>
      </c>
    </row>
    <row r="1309" spans="2:10" x14ac:dyDescent="0.3">
      <c r="B1309" s="121">
        <f t="shared" si="41"/>
        <v>0</v>
      </c>
      <c r="C1309" s="122">
        <f t="shared" si="42"/>
        <v>0</v>
      </c>
      <c r="D1309" s="123"/>
      <c r="E1309" s="125"/>
      <c r="F1309" s="125"/>
      <c r="G1309" s="125"/>
      <c r="H1309" s="126"/>
      <c r="I1309" s="127"/>
      <c r="J1309" s="118">
        <f>IF(ISERROR(VLOOKUP(H1309,#REF!,9,0)),0,VLOOKUP(H1309,#REF!,9,0)*I1309)/3600</f>
        <v>0</v>
      </c>
    </row>
    <row r="1310" spans="2:10" x14ac:dyDescent="0.3">
      <c r="B1310" s="121">
        <f t="shared" si="41"/>
        <v>0</v>
      </c>
      <c r="C1310" s="122">
        <f t="shared" si="42"/>
        <v>0</v>
      </c>
      <c r="D1310" s="123"/>
      <c r="E1310" s="124"/>
      <c r="F1310" s="125"/>
      <c r="G1310" s="125"/>
      <c r="H1310" s="126"/>
      <c r="I1310" s="127"/>
      <c r="J1310" s="118">
        <f>IF(ISERROR(VLOOKUP(H1310,#REF!,9,0)),0,VLOOKUP(H1310,#REF!,9,0)*I1310)/3600</f>
        <v>0</v>
      </c>
    </row>
    <row r="1311" spans="2:10" x14ac:dyDescent="0.3">
      <c r="B1311" s="121">
        <f t="shared" si="41"/>
        <v>0</v>
      </c>
      <c r="C1311" s="122">
        <f t="shared" si="42"/>
        <v>0</v>
      </c>
      <c r="D1311" s="123"/>
      <c r="E1311" s="125"/>
      <c r="F1311" s="125"/>
      <c r="G1311" s="125"/>
      <c r="H1311" s="126"/>
      <c r="I1311" s="127"/>
      <c r="J1311" s="118">
        <f>IF(ISERROR(VLOOKUP(H1311,#REF!,9,0)),0,VLOOKUP(H1311,#REF!,9,0)*I1311)/3600</f>
        <v>0</v>
      </c>
    </row>
    <row r="1312" spans="2:10" x14ac:dyDescent="0.3">
      <c r="B1312" s="121">
        <f t="shared" si="41"/>
        <v>0</v>
      </c>
      <c r="C1312" s="122">
        <f t="shared" si="42"/>
        <v>0</v>
      </c>
      <c r="D1312" s="123"/>
      <c r="E1312" s="124"/>
      <c r="F1312" s="125"/>
      <c r="G1312" s="125"/>
      <c r="H1312" s="126"/>
      <c r="I1312" s="127"/>
      <c r="J1312" s="118">
        <f>IF(ISERROR(VLOOKUP(H1312,#REF!,9,0)),0,VLOOKUP(H1312,#REF!,9,0)*I1312)/3600</f>
        <v>0</v>
      </c>
    </row>
    <row r="1313" spans="2:10" x14ac:dyDescent="0.3">
      <c r="B1313" s="121">
        <f t="shared" si="41"/>
        <v>0</v>
      </c>
      <c r="C1313" s="122">
        <f t="shared" si="42"/>
        <v>0</v>
      </c>
      <c r="D1313" s="123"/>
      <c r="E1313" s="125"/>
      <c r="F1313" s="125"/>
      <c r="G1313" s="125"/>
      <c r="H1313" s="126"/>
      <c r="I1313" s="127"/>
      <c r="J1313" s="118">
        <f>IF(ISERROR(VLOOKUP(H1313,#REF!,9,0)),0,VLOOKUP(H1313,#REF!,9,0)*I1313)/3600</f>
        <v>0</v>
      </c>
    </row>
    <row r="1314" spans="2:10" x14ac:dyDescent="0.3">
      <c r="B1314" s="121">
        <f t="shared" si="41"/>
        <v>0</v>
      </c>
      <c r="C1314" s="122">
        <f t="shared" si="42"/>
        <v>0</v>
      </c>
      <c r="D1314" s="123"/>
      <c r="E1314" s="124"/>
      <c r="F1314" s="125"/>
      <c r="G1314" s="125"/>
      <c r="H1314" s="126"/>
      <c r="I1314" s="127"/>
      <c r="J1314" s="118">
        <f>IF(ISERROR(VLOOKUP(H1314,#REF!,9,0)),0,VLOOKUP(H1314,#REF!,9,0)*I1314)/3600</f>
        <v>0</v>
      </c>
    </row>
    <row r="1315" spans="2:10" x14ac:dyDescent="0.3">
      <c r="B1315" s="121">
        <f t="shared" si="41"/>
        <v>0</v>
      </c>
      <c r="C1315" s="122">
        <f t="shared" si="42"/>
        <v>0</v>
      </c>
      <c r="D1315" s="123"/>
      <c r="E1315" s="125"/>
      <c r="F1315" s="125"/>
      <c r="G1315" s="125"/>
      <c r="H1315" s="126"/>
      <c r="I1315" s="127"/>
      <c r="J1315" s="118">
        <f>IF(ISERROR(VLOOKUP(H1315,#REF!,9,0)),0,VLOOKUP(H1315,#REF!,9,0)*I1315)/3600</f>
        <v>0</v>
      </c>
    </row>
    <row r="1316" spans="2:10" x14ac:dyDescent="0.3">
      <c r="B1316" s="121">
        <f t="shared" si="41"/>
        <v>0</v>
      </c>
      <c r="C1316" s="122">
        <f t="shared" si="42"/>
        <v>0</v>
      </c>
      <c r="D1316" s="123"/>
      <c r="E1316" s="124"/>
      <c r="F1316" s="125"/>
      <c r="G1316" s="125"/>
      <c r="H1316" s="126"/>
      <c r="I1316" s="127"/>
      <c r="J1316" s="118">
        <f>IF(ISERROR(VLOOKUP(H1316,#REF!,9,0)),0,VLOOKUP(H1316,#REF!,9,0)*I1316)/3600</f>
        <v>0</v>
      </c>
    </row>
    <row r="1317" spans="2:10" x14ac:dyDescent="0.3">
      <c r="B1317" s="121">
        <f t="shared" si="41"/>
        <v>0</v>
      </c>
      <c r="C1317" s="122">
        <f t="shared" si="42"/>
        <v>0</v>
      </c>
      <c r="D1317" s="123"/>
      <c r="E1317" s="125"/>
      <c r="F1317" s="125"/>
      <c r="G1317" s="125"/>
      <c r="H1317" s="126"/>
      <c r="I1317" s="127"/>
      <c r="J1317" s="118">
        <f>IF(ISERROR(VLOOKUP(H1317,#REF!,9,0)),0,VLOOKUP(H1317,#REF!,9,0)*I1317)/3600</f>
        <v>0</v>
      </c>
    </row>
    <row r="1318" spans="2:10" x14ac:dyDescent="0.3">
      <c r="B1318" s="121">
        <f t="shared" si="41"/>
        <v>0</v>
      </c>
      <c r="C1318" s="122">
        <f t="shared" si="42"/>
        <v>0</v>
      </c>
      <c r="D1318" s="123"/>
      <c r="E1318" s="124"/>
      <c r="F1318" s="125"/>
      <c r="G1318" s="125"/>
      <c r="H1318" s="126"/>
      <c r="I1318" s="127"/>
      <c r="J1318" s="118">
        <f>IF(ISERROR(VLOOKUP(H1318,#REF!,9,0)),0,VLOOKUP(H1318,#REF!,9,0)*I1318)/3600</f>
        <v>0</v>
      </c>
    </row>
    <row r="1319" spans="2:10" x14ac:dyDescent="0.3">
      <c r="B1319" s="121">
        <f t="shared" si="41"/>
        <v>0</v>
      </c>
      <c r="C1319" s="122">
        <f t="shared" si="42"/>
        <v>0</v>
      </c>
      <c r="D1319" s="123"/>
      <c r="E1319" s="125"/>
      <c r="F1319" s="125"/>
      <c r="G1319" s="125"/>
      <c r="H1319" s="126"/>
      <c r="I1319" s="127"/>
      <c r="J1319" s="118">
        <f>IF(ISERROR(VLOOKUP(H1319,#REF!,9,0)),0,VLOOKUP(H1319,#REF!,9,0)*I1319)/3600</f>
        <v>0</v>
      </c>
    </row>
    <row r="1320" spans="2:10" x14ac:dyDescent="0.3">
      <c r="B1320" s="121">
        <f t="shared" si="41"/>
        <v>0</v>
      </c>
      <c r="C1320" s="122">
        <f t="shared" si="42"/>
        <v>0</v>
      </c>
      <c r="D1320" s="123"/>
      <c r="E1320" s="124"/>
      <c r="F1320" s="125"/>
      <c r="G1320" s="125"/>
      <c r="H1320" s="126"/>
      <c r="I1320" s="127"/>
      <c r="J1320" s="118">
        <f>IF(ISERROR(VLOOKUP(H1320,#REF!,9,0)),0,VLOOKUP(H1320,#REF!,9,0)*I1320)/3600</f>
        <v>0</v>
      </c>
    </row>
    <row r="1321" spans="2:10" x14ac:dyDescent="0.3">
      <c r="B1321" s="121">
        <f t="shared" si="41"/>
        <v>0</v>
      </c>
      <c r="C1321" s="122">
        <f t="shared" si="42"/>
        <v>0</v>
      </c>
      <c r="D1321" s="123"/>
      <c r="E1321" s="125"/>
      <c r="F1321" s="125"/>
      <c r="G1321" s="125"/>
      <c r="H1321" s="126"/>
      <c r="I1321" s="127"/>
      <c r="J1321" s="118">
        <f>IF(ISERROR(VLOOKUP(H1321,#REF!,9,0)),0,VLOOKUP(H1321,#REF!,9,0)*I1321)/3600</f>
        <v>0</v>
      </c>
    </row>
    <row r="1322" spans="2:10" x14ac:dyDescent="0.3">
      <c r="B1322" s="121">
        <f t="shared" si="41"/>
        <v>0</v>
      </c>
      <c r="C1322" s="122">
        <f t="shared" si="42"/>
        <v>0</v>
      </c>
      <c r="D1322" s="123"/>
      <c r="E1322" s="124"/>
      <c r="F1322" s="125"/>
      <c r="G1322" s="125"/>
      <c r="H1322" s="126"/>
      <c r="I1322" s="127"/>
      <c r="J1322" s="118">
        <f>IF(ISERROR(VLOOKUP(H1322,#REF!,9,0)),0,VLOOKUP(H1322,#REF!,9,0)*I1322)/3600</f>
        <v>0</v>
      </c>
    </row>
    <row r="1323" spans="2:10" x14ac:dyDescent="0.3">
      <c r="B1323" s="121">
        <f t="shared" si="41"/>
        <v>0</v>
      </c>
      <c r="C1323" s="122">
        <f t="shared" si="42"/>
        <v>0</v>
      </c>
      <c r="D1323" s="123"/>
      <c r="E1323" s="125"/>
      <c r="F1323" s="125"/>
      <c r="G1323" s="125"/>
      <c r="H1323" s="126"/>
      <c r="I1323" s="127"/>
      <c r="J1323" s="118">
        <f>IF(ISERROR(VLOOKUP(H1323,#REF!,9,0)),0,VLOOKUP(H1323,#REF!,9,0)*I1323)/3600</f>
        <v>0</v>
      </c>
    </row>
    <row r="1324" spans="2:10" x14ac:dyDescent="0.3">
      <c r="B1324" s="121">
        <f t="shared" si="41"/>
        <v>0</v>
      </c>
      <c r="C1324" s="122">
        <f t="shared" si="42"/>
        <v>0</v>
      </c>
      <c r="D1324" s="123"/>
      <c r="E1324" s="124"/>
      <c r="F1324" s="125"/>
      <c r="G1324" s="125"/>
      <c r="H1324" s="126"/>
      <c r="I1324" s="127"/>
      <c r="J1324" s="118">
        <f>IF(ISERROR(VLOOKUP(H1324,#REF!,9,0)),0,VLOOKUP(H1324,#REF!,9,0)*I1324)/3600</f>
        <v>0</v>
      </c>
    </row>
    <row r="1325" spans="2:10" x14ac:dyDescent="0.3">
      <c r="B1325" s="121">
        <f t="shared" si="41"/>
        <v>0</v>
      </c>
      <c r="C1325" s="122">
        <f t="shared" si="42"/>
        <v>0</v>
      </c>
      <c r="D1325" s="123"/>
      <c r="E1325" s="125"/>
      <c r="F1325" s="125"/>
      <c r="G1325" s="125"/>
      <c r="H1325" s="126"/>
      <c r="I1325" s="127"/>
      <c r="J1325" s="118">
        <f>IF(ISERROR(VLOOKUP(H1325,#REF!,9,0)),0,VLOOKUP(H1325,#REF!,9,0)*I1325)/3600</f>
        <v>0</v>
      </c>
    </row>
  </sheetData>
  <sheetProtection autoFilter="0" pivotTables="0"/>
  <autoFilter ref="B4:J1048576" xr:uid="{00000000-0009-0000-0000-000004000000}"/>
  <phoneticPr fontId="21" type="noConversion"/>
  <conditionalFormatting sqref="B5:J1325">
    <cfRule type="cellIs" dxfId="1" priority="1" operator="greaterThan">
      <formula>0</formula>
    </cfRule>
  </conditionalFormatting>
  <conditionalFormatting sqref="G4">
    <cfRule type="cellIs" dxfId="0" priority="2494" operator="greaterThan">
      <formula>0</formula>
    </cfRule>
  </conditionalFormatting>
  <dataValidations count="2">
    <dataValidation type="whole" allowBlank="1" showInputMessage="1" showErrorMessage="1" sqref="F2:F1048576" xr:uid="{00000000-0002-0000-0400-000000000000}">
      <formula1>1</formula1>
      <formula2>8</formula2>
    </dataValidation>
    <dataValidation type="list" allowBlank="1" showInputMessage="1" showErrorMessage="1" sqref="G2:G1048576" xr:uid="{00000000-0002-0000-0400-000001000000}">
      <formula1>$R$1:$R$3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B563-467A-43D5-B0BF-DE7EFF5B30A2}">
  <dimension ref="B2:K14"/>
  <sheetViews>
    <sheetView workbookViewId="0">
      <selection activeCell="C25" sqref="C25"/>
    </sheetView>
  </sheetViews>
  <sheetFormatPr defaultRowHeight="15" x14ac:dyDescent="0.25"/>
  <cols>
    <col min="2" max="2" width="11.5703125" bestFit="1" customWidth="1"/>
    <col min="3" max="4" width="12.140625" style="1" customWidth="1"/>
  </cols>
  <sheetData>
    <row r="2" spans="2:11" x14ac:dyDescent="0.25">
      <c r="C2" s="1" t="s">
        <v>79</v>
      </c>
      <c r="D2" s="1" t="s">
        <v>80</v>
      </c>
    </row>
    <row r="3" spans="2:11" x14ac:dyDescent="0.25">
      <c r="B3" t="s">
        <v>5</v>
      </c>
      <c r="C3" s="1">
        <v>1709</v>
      </c>
      <c r="D3" s="161">
        <f>30*176/C3</f>
        <v>3.0895260386190753</v>
      </c>
      <c r="E3" s="119"/>
      <c r="H3">
        <f>H4*7</f>
        <v>1470</v>
      </c>
    </row>
    <row r="4" spans="2:11" x14ac:dyDescent="0.25">
      <c r="B4" t="s">
        <v>6</v>
      </c>
      <c r="C4" s="1">
        <v>1681</v>
      </c>
      <c r="D4" s="161">
        <f t="shared" ref="D4:D12" si="0">30*176/C4</f>
        <v>3.14098750743605</v>
      </c>
      <c r="E4" s="119"/>
      <c r="H4">
        <f>3600/12*0.7</f>
        <v>210</v>
      </c>
      <c r="I4">
        <f>H4*9</f>
        <v>1890</v>
      </c>
      <c r="K4">
        <f>1000/I4</f>
        <v>0.52910052910052907</v>
      </c>
    </row>
    <row r="5" spans="2:11" x14ac:dyDescent="0.25">
      <c r="B5" t="s">
        <v>7</v>
      </c>
      <c r="C5" s="1">
        <v>1805</v>
      </c>
      <c r="D5" s="161">
        <f t="shared" si="0"/>
        <v>2.925207756232687</v>
      </c>
      <c r="E5" s="119"/>
    </row>
    <row r="6" spans="2:11" x14ac:dyDescent="0.25">
      <c r="B6" t="s">
        <v>8</v>
      </c>
      <c r="C6" s="1">
        <v>1284</v>
      </c>
      <c r="D6" s="161">
        <f t="shared" si="0"/>
        <v>4.1121495327102799</v>
      </c>
      <c r="E6" s="119"/>
      <c r="H6">
        <f>700/8</f>
        <v>87.5</v>
      </c>
    </row>
    <row r="7" spans="2:11" x14ac:dyDescent="0.25">
      <c r="B7" t="s">
        <v>9</v>
      </c>
      <c r="C7" s="1">
        <v>2256</v>
      </c>
      <c r="D7" s="161">
        <f t="shared" si="0"/>
        <v>2.3404255319148937</v>
      </c>
      <c r="E7" s="119"/>
    </row>
    <row r="8" spans="2:11" x14ac:dyDescent="0.25">
      <c r="B8" t="s">
        <v>10</v>
      </c>
      <c r="C8" s="1">
        <v>2307</v>
      </c>
      <c r="D8" s="161">
        <f>30*176/C8</f>
        <v>2.2886866059817947</v>
      </c>
      <c r="E8" s="119"/>
      <c r="H8">
        <f>90*1.8</f>
        <v>162</v>
      </c>
      <c r="J8">
        <f>1000/H8</f>
        <v>6.1728395061728394</v>
      </c>
    </row>
    <row r="9" spans="2:11" x14ac:dyDescent="0.25">
      <c r="B9" t="s">
        <v>11</v>
      </c>
      <c r="C9" s="1">
        <v>1046</v>
      </c>
      <c r="D9" s="161">
        <f t="shared" si="0"/>
        <v>5.047801147227533</v>
      </c>
      <c r="E9" s="119"/>
    </row>
    <row r="10" spans="2:11" x14ac:dyDescent="0.25">
      <c r="B10" t="s">
        <v>12</v>
      </c>
      <c r="C10" s="1">
        <v>1137</v>
      </c>
      <c r="D10" s="161">
        <f t="shared" si="0"/>
        <v>4.6437994722955143</v>
      </c>
      <c r="E10" s="119"/>
    </row>
    <row r="11" spans="2:11" x14ac:dyDescent="0.25">
      <c r="B11" t="s">
        <v>13</v>
      </c>
      <c r="C11" s="1">
        <v>1769</v>
      </c>
      <c r="D11" s="161">
        <f t="shared" si="0"/>
        <v>2.9847371396269078</v>
      </c>
      <c r="E11" s="119"/>
    </row>
    <row r="12" spans="2:11" x14ac:dyDescent="0.25">
      <c r="B12" t="s">
        <v>14</v>
      </c>
      <c r="C12" s="1">
        <v>1466</v>
      </c>
      <c r="D12" s="161">
        <f t="shared" si="0"/>
        <v>3.6016371077762619</v>
      </c>
      <c r="E12" s="119"/>
    </row>
    <row r="13" spans="2:11" x14ac:dyDescent="0.25">
      <c r="B13" t="s">
        <v>15</v>
      </c>
      <c r="C13" s="1">
        <v>1781</v>
      </c>
      <c r="D13" s="161">
        <f>38*176/C13</f>
        <v>3.7551937113980909</v>
      </c>
      <c r="E13" s="119"/>
    </row>
    <row r="14" spans="2:11" x14ac:dyDescent="0.25">
      <c r="B14" t="s">
        <v>16</v>
      </c>
    </row>
  </sheetData>
  <phoneticPr fontId="21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8"/>
  <dimension ref="B1:O32"/>
  <sheetViews>
    <sheetView showGridLines="0" tabSelected="1" topLeftCell="A3" zoomScale="70" zoomScaleNormal="70" zoomScaleSheetLayoutView="70" workbookViewId="0">
      <selection activeCell="U19" sqref="U19"/>
    </sheetView>
  </sheetViews>
  <sheetFormatPr defaultColWidth="9.140625" defaultRowHeight="15" x14ac:dyDescent="0.25"/>
  <cols>
    <col min="1" max="1" width="3" customWidth="1"/>
    <col min="2" max="2" width="13.140625" customWidth="1"/>
    <col min="3" max="3" width="15.85546875" customWidth="1"/>
    <col min="4" max="4" width="2.5703125" customWidth="1"/>
    <col min="5" max="5" width="13.140625" customWidth="1"/>
    <col min="6" max="6" width="15.85546875" customWidth="1"/>
    <col min="7" max="7" width="2.42578125" customWidth="1"/>
    <col min="8" max="8" width="13.140625" customWidth="1"/>
    <col min="9" max="9" width="15.85546875" customWidth="1"/>
    <col min="10" max="10" width="2" customWidth="1"/>
    <col min="11" max="11" width="13.140625" customWidth="1"/>
    <col min="12" max="12" width="15.85546875" customWidth="1"/>
    <col min="13" max="13" width="2" customWidth="1"/>
    <col min="14" max="14" width="13.140625" customWidth="1"/>
    <col min="15" max="15" width="15.85546875" customWidth="1"/>
  </cols>
  <sheetData>
    <row r="1" spans="2:15" ht="15.75" thickBot="1" x14ac:dyDescent="0.3"/>
    <row r="2" spans="2:15" ht="23.25" customHeight="1" x14ac:dyDescent="0.25">
      <c r="B2" s="242"/>
      <c r="C2" s="243"/>
      <c r="D2" s="244"/>
      <c r="E2" s="236" t="s">
        <v>71</v>
      </c>
      <c r="F2" s="237"/>
      <c r="G2" s="237"/>
      <c r="H2" s="237"/>
      <c r="I2" s="237"/>
      <c r="J2" s="237"/>
      <c r="K2" s="237"/>
      <c r="L2" s="237"/>
      <c r="M2" s="59"/>
      <c r="N2" s="58"/>
      <c r="O2" s="59"/>
    </row>
    <row r="3" spans="2:15" ht="15" customHeight="1" x14ac:dyDescent="0.25">
      <c r="B3" s="245"/>
      <c r="C3" s="213"/>
      <c r="D3" s="230"/>
      <c r="E3" s="238"/>
      <c r="F3" s="239"/>
      <c r="G3" s="239"/>
      <c r="H3" s="239"/>
      <c r="I3" s="239"/>
      <c r="J3" s="239"/>
      <c r="K3" s="239"/>
      <c r="L3" s="239"/>
      <c r="M3" s="61"/>
      <c r="N3" s="60" t="s">
        <v>81</v>
      </c>
      <c r="O3" s="61"/>
    </row>
    <row r="4" spans="2:15" ht="24" customHeight="1" thickBot="1" x14ac:dyDescent="0.3">
      <c r="B4" s="246"/>
      <c r="C4" s="247"/>
      <c r="D4" s="248"/>
      <c r="E4" s="240"/>
      <c r="F4" s="241"/>
      <c r="G4" s="241"/>
      <c r="H4" s="241"/>
      <c r="I4" s="241"/>
      <c r="J4" s="241"/>
      <c r="K4" s="241"/>
      <c r="L4" s="241"/>
      <c r="M4" s="63"/>
      <c r="N4" s="62" t="s">
        <v>91</v>
      </c>
      <c r="O4" s="63"/>
    </row>
    <row r="5" spans="2:15" ht="10.5" customHeight="1" x14ac:dyDescent="0.25">
      <c r="B5" s="162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63"/>
    </row>
    <row r="6" spans="2:15" s="66" customFormat="1" ht="20.25" customHeight="1" x14ac:dyDescent="0.35">
      <c r="B6" s="249" t="s">
        <v>46</v>
      </c>
      <c r="C6" s="250"/>
      <c r="D6" s="194"/>
      <c r="E6" s="231" t="s">
        <v>47</v>
      </c>
      <c r="F6" s="250"/>
      <c r="G6" s="194"/>
      <c r="H6" s="231" t="s">
        <v>48</v>
      </c>
      <c r="I6" s="250"/>
      <c r="J6" s="194"/>
      <c r="K6" s="231" t="s">
        <v>49</v>
      </c>
      <c r="L6" s="250"/>
      <c r="M6" s="194"/>
      <c r="N6" s="231" t="s">
        <v>50</v>
      </c>
      <c r="O6" s="232"/>
    </row>
    <row r="7" spans="2:15" s="154" customFormat="1" ht="22.5" customHeight="1" x14ac:dyDescent="0.25">
      <c r="B7" s="164" t="s">
        <v>30</v>
      </c>
      <c r="C7" s="153"/>
      <c r="E7" s="152" t="s">
        <v>30</v>
      </c>
      <c r="F7" s="153"/>
      <c r="H7" s="152" t="s">
        <v>30</v>
      </c>
      <c r="I7" s="153"/>
      <c r="K7" s="190" t="s">
        <v>30</v>
      </c>
      <c r="L7" s="153"/>
      <c r="N7" s="152" t="s">
        <v>30</v>
      </c>
      <c r="O7" s="165"/>
    </row>
    <row r="8" spans="2:15" s="51" customFormat="1" ht="12.75" x14ac:dyDescent="0.2">
      <c r="B8" s="166" t="s">
        <v>32</v>
      </c>
      <c r="C8" s="53" t="s">
        <v>33</v>
      </c>
      <c r="E8" s="53" t="s">
        <v>32</v>
      </c>
      <c r="F8" s="53" t="s">
        <v>33</v>
      </c>
      <c r="H8" s="53" t="s">
        <v>32</v>
      </c>
      <c r="I8" s="53" t="s">
        <v>33</v>
      </c>
      <c r="K8" s="191" t="s">
        <v>32</v>
      </c>
      <c r="L8" s="53" t="s">
        <v>33</v>
      </c>
      <c r="N8" s="53" t="s">
        <v>32</v>
      </c>
      <c r="O8" s="167" t="s">
        <v>33</v>
      </c>
    </row>
    <row r="9" spans="2:15" ht="22.5" customHeight="1" x14ac:dyDescent="0.25">
      <c r="B9" s="168"/>
      <c r="C9" s="52"/>
      <c r="E9" s="52"/>
      <c r="F9" s="52"/>
      <c r="H9" s="52"/>
      <c r="I9" s="52"/>
      <c r="K9" s="191"/>
      <c r="L9" s="52"/>
      <c r="N9" s="52"/>
      <c r="O9" s="169"/>
    </row>
    <row r="10" spans="2:15" ht="22.5" customHeight="1" x14ac:dyDescent="0.25">
      <c r="B10" s="168"/>
      <c r="C10" s="52"/>
      <c r="E10" s="52"/>
      <c r="F10" s="52"/>
      <c r="H10" s="52"/>
      <c r="I10" s="52" t="s">
        <v>45</v>
      </c>
      <c r="K10" s="191"/>
      <c r="L10" s="52"/>
      <c r="N10" s="52"/>
      <c r="O10" s="169"/>
    </row>
    <row r="11" spans="2:15" ht="22.5" customHeight="1" x14ac:dyDescent="0.25">
      <c r="B11" s="168"/>
      <c r="C11" s="52"/>
      <c r="E11" s="52"/>
      <c r="F11" s="52"/>
      <c r="H11" s="52"/>
      <c r="I11" s="52"/>
      <c r="K11" s="191"/>
      <c r="L11" s="52"/>
      <c r="N11" s="52"/>
      <c r="O11" s="169"/>
    </row>
    <row r="12" spans="2:15" ht="22.5" customHeight="1" x14ac:dyDescent="0.25">
      <c r="B12" s="168"/>
      <c r="C12" s="52"/>
      <c r="E12" s="52"/>
      <c r="F12" s="52"/>
      <c r="H12" s="52"/>
      <c r="I12" s="52"/>
      <c r="K12" s="191"/>
      <c r="L12" s="52"/>
      <c r="N12" s="52"/>
      <c r="O12" s="169"/>
    </row>
    <row r="13" spans="2:15" ht="22.5" customHeight="1" x14ac:dyDescent="0.25">
      <c r="B13" s="168"/>
      <c r="C13" s="52"/>
      <c r="E13" s="52"/>
      <c r="F13" s="52"/>
      <c r="H13" s="52"/>
      <c r="I13" s="52"/>
      <c r="K13" s="191"/>
      <c r="L13" s="52"/>
      <c r="N13" s="52"/>
      <c r="O13" s="169"/>
    </row>
    <row r="14" spans="2:15" x14ac:dyDescent="0.25">
      <c r="B14" s="166" t="s">
        <v>32</v>
      </c>
      <c r="C14" s="53" t="s">
        <v>69</v>
      </c>
      <c r="E14" s="53" t="s">
        <v>32</v>
      </c>
      <c r="F14" s="53" t="s">
        <v>69</v>
      </c>
      <c r="H14" s="53" t="s">
        <v>32</v>
      </c>
      <c r="I14" s="53" t="s">
        <v>69</v>
      </c>
      <c r="K14" s="191" t="s">
        <v>32</v>
      </c>
      <c r="L14" s="53" t="s">
        <v>69</v>
      </c>
      <c r="N14" s="53" t="s">
        <v>32</v>
      </c>
      <c r="O14" s="167" t="s">
        <v>69</v>
      </c>
    </row>
    <row r="15" spans="2:15" ht="22.5" customHeight="1" x14ac:dyDescent="0.25">
      <c r="B15" s="168"/>
      <c r="C15" s="52"/>
      <c r="E15" s="52"/>
      <c r="F15" s="52"/>
      <c r="H15" s="52"/>
      <c r="I15" s="52"/>
      <c r="K15" s="191"/>
      <c r="L15" s="52"/>
      <c r="N15" s="52"/>
      <c r="O15" s="169"/>
    </row>
    <row r="16" spans="2:15" ht="22.5" customHeight="1" x14ac:dyDescent="0.25">
      <c r="B16" s="168"/>
      <c r="C16" s="52"/>
      <c r="E16" s="52"/>
      <c r="F16" s="52"/>
      <c r="H16" s="52"/>
      <c r="I16" s="52"/>
      <c r="K16" s="191"/>
      <c r="L16" s="52"/>
      <c r="N16" s="52"/>
      <c r="O16" s="169"/>
    </row>
    <row r="17" spans="2:15" ht="22.5" customHeight="1" x14ac:dyDescent="0.25">
      <c r="B17" s="168"/>
      <c r="C17" s="52"/>
      <c r="E17" s="52"/>
      <c r="F17" s="52"/>
      <c r="H17" s="52"/>
      <c r="I17" s="52"/>
      <c r="K17" s="191"/>
      <c r="L17" s="52"/>
      <c r="N17" s="52"/>
      <c r="O17" s="169"/>
    </row>
    <row r="18" spans="2:15" x14ac:dyDescent="0.25">
      <c r="B18" s="60"/>
      <c r="H18" s="213"/>
      <c r="I18" s="213"/>
      <c r="J18" s="213"/>
      <c r="K18" s="213"/>
      <c r="L18" s="213"/>
      <c r="M18" s="213"/>
      <c r="N18" s="213"/>
      <c r="O18" s="230"/>
    </row>
    <row r="19" spans="2:15" s="66" customFormat="1" ht="23.25" customHeight="1" x14ac:dyDescent="0.35">
      <c r="B19" s="233" t="s">
        <v>51</v>
      </c>
      <c r="C19" s="234"/>
      <c r="E19" s="227" t="s">
        <v>52</v>
      </c>
      <c r="F19" s="234"/>
      <c r="H19" s="227" t="s">
        <v>78</v>
      </c>
      <c r="I19" s="234"/>
      <c r="J19" s="195"/>
      <c r="K19" s="235" t="s">
        <v>89</v>
      </c>
      <c r="L19" s="235"/>
      <c r="M19" s="229"/>
      <c r="N19" s="227" t="s">
        <v>90</v>
      </c>
      <c r="O19" s="228"/>
    </row>
    <row r="20" spans="2:15" s="154" customFormat="1" ht="22.5" customHeight="1" x14ac:dyDescent="0.25">
      <c r="B20" s="164" t="s">
        <v>30</v>
      </c>
      <c r="C20" s="153"/>
      <c r="E20" s="152" t="s">
        <v>30</v>
      </c>
      <c r="F20" s="153"/>
      <c r="H20" s="152" t="s">
        <v>30</v>
      </c>
      <c r="I20" s="153"/>
      <c r="J20" s="196"/>
      <c r="K20" s="226" t="s">
        <v>30</v>
      </c>
      <c r="L20" s="226"/>
      <c r="M20" s="229"/>
      <c r="N20" s="152" t="s">
        <v>30</v>
      </c>
      <c r="O20" s="165"/>
    </row>
    <row r="21" spans="2:15" s="51" customFormat="1" x14ac:dyDescent="0.25">
      <c r="B21" s="166" t="s">
        <v>32</v>
      </c>
      <c r="C21" s="53" t="s">
        <v>33</v>
      </c>
      <c r="E21" s="53" t="s">
        <v>32</v>
      </c>
      <c r="F21" s="53" t="s">
        <v>33</v>
      </c>
      <c r="H21" s="53" t="s">
        <v>32</v>
      </c>
      <c r="I21" s="53" t="s">
        <v>33</v>
      </c>
      <c r="J21"/>
      <c r="K21" s="191" t="s">
        <v>32</v>
      </c>
      <c r="L21" s="53" t="s">
        <v>33</v>
      </c>
      <c r="M21" s="229"/>
      <c r="N21" s="53" t="s">
        <v>32</v>
      </c>
      <c r="O21" s="167" t="s">
        <v>33</v>
      </c>
    </row>
    <row r="22" spans="2:15" ht="22.5" customHeight="1" x14ac:dyDescent="0.25">
      <c r="B22" s="168"/>
      <c r="C22" s="52"/>
      <c r="E22" s="52"/>
      <c r="F22" s="52"/>
      <c r="H22" s="52"/>
      <c r="I22" s="52"/>
      <c r="K22" s="192"/>
      <c r="L22" s="189"/>
      <c r="M22" s="229"/>
      <c r="N22" s="52"/>
      <c r="O22" s="169"/>
    </row>
    <row r="23" spans="2:15" ht="22.5" customHeight="1" x14ac:dyDescent="0.25">
      <c r="B23" s="168"/>
      <c r="C23" s="52"/>
      <c r="E23" s="52"/>
      <c r="F23" s="52"/>
      <c r="H23" s="52"/>
      <c r="I23" s="52"/>
      <c r="K23" s="52"/>
      <c r="L23" s="189"/>
      <c r="M23" s="229"/>
      <c r="N23" s="52"/>
      <c r="O23" s="169"/>
    </row>
    <row r="24" spans="2:15" ht="22.5" customHeight="1" x14ac:dyDescent="0.25">
      <c r="B24" s="168"/>
      <c r="C24" s="52"/>
      <c r="E24" s="52"/>
      <c r="F24" s="52"/>
      <c r="H24" s="52"/>
      <c r="I24" s="52"/>
      <c r="K24" s="52"/>
      <c r="L24" s="189"/>
      <c r="M24" s="229"/>
      <c r="N24" s="52"/>
      <c r="O24" s="169"/>
    </row>
    <row r="25" spans="2:15" ht="22.5" customHeight="1" x14ac:dyDescent="0.25">
      <c r="B25" s="168"/>
      <c r="C25" s="52"/>
      <c r="E25" s="52"/>
      <c r="F25" s="52"/>
      <c r="H25" s="52"/>
      <c r="I25" s="52"/>
      <c r="K25" s="52"/>
      <c r="L25" s="189"/>
      <c r="M25" s="229"/>
      <c r="N25" s="52"/>
      <c r="O25" s="169"/>
    </row>
    <row r="26" spans="2:15" ht="22.5" customHeight="1" x14ac:dyDescent="0.25">
      <c r="B26" s="168"/>
      <c r="C26" s="52"/>
      <c r="E26" s="52"/>
      <c r="F26" s="52"/>
      <c r="H26" s="52"/>
      <c r="I26" s="52"/>
      <c r="K26" s="52"/>
      <c r="L26" s="189"/>
      <c r="M26" s="229"/>
      <c r="N26" s="52"/>
      <c r="O26" s="169"/>
    </row>
    <row r="27" spans="2:15" x14ac:dyDescent="0.25">
      <c r="B27" s="166" t="s">
        <v>32</v>
      </c>
      <c r="C27" s="53" t="s">
        <v>69</v>
      </c>
      <c r="E27" s="53" t="s">
        <v>32</v>
      </c>
      <c r="F27" s="53" t="s">
        <v>69</v>
      </c>
      <c r="H27" s="53" t="s">
        <v>32</v>
      </c>
      <c r="I27" s="53" t="s">
        <v>69</v>
      </c>
      <c r="K27" s="53" t="s">
        <v>32</v>
      </c>
      <c r="L27" s="53" t="s">
        <v>69</v>
      </c>
      <c r="M27" s="229"/>
      <c r="N27" s="53" t="s">
        <v>32</v>
      </c>
      <c r="O27" s="167" t="s">
        <v>69</v>
      </c>
    </row>
    <row r="28" spans="2:15" ht="22.5" customHeight="1" x14ac:dyDescent="0.25">
      <c r="B28" s="168"/>
      <c r="C28" s="52"/>
      <c r="E28" s="52"/>
      <c r="F28" s="52"/>
      <c r="H28" s="52"/>
      <c r="I28" s="52"/>
      <c r="K28" s="52"/>
      <c r="L28" s="189"/>
      <c r="M28" s="229"/>
      <c r="N28" s="52"/>
      <c r="O28" s="169"/>
    </row>
    <row r="29" spans="2:15" ht="22.5" customHeight="1" x14ac:dyDescent="0.25">
      <c r="B29" s="168"/>
      <c r="C29" s="52"/>
      <c r="E29" s="52"/>
      <c r="F29" s="52"/>
      <c r="H29" s="52"/>
      <c r="I29" s="52"/>
      <c r="K29" s="52"/>
      <c r="L29" s="189"/>
      <c r="M29" s="229"/>
      <c r="N29" s="52"/>
      <c r="O29" s="169"/>
    </row>
    <row r="30" spans="2:15" ht="22.5" customHeight="1" x14ac:dyDescent="0.25">
      <c r="B30" s="168"/>
      <c r="C30" s="52"/>
      <c r="E30" s="52"/>
      <c r="F30" s="52"/>
      <c r="H30" s="52"/>
      <c r="I30" s="52"/>
      <c r="K30" s="52"/>
      <c r="L30" s="189"/>
      <c r="M30" s="229"/>
      <c r="N30" s="52"/>
      <c r="O30" s="169"/>
    </row>
    <row r="31" spans="2:15" ht="27.75" customHeight="1" x14ac:dyDescent="0.25">
      <c r="B31" s="60"/>
      <c r="K31" s="64"/>
      <c r="L31" s="64"/>
      <c r="M31" s="64"/>
      <c r="N31" s="64"/>
      <c r="O31" s="61"/>
    </row>
    <row r="32" spans="2:15" ht="22.5" customHeight="1" thickBot="1" x14ac:dyDescent="0.3">
      <c r="B32" s="62"/>
      <c r="C32" s="170"/>
      <c r="D32" s="170"/>
      <c r="E32" s="170"/>
      <c r="F32" s="170"/>
      <c r="G32" s="170"/>
      <c r="H32" s="170"/>
      <c r="I32" s="170"/>
      <c r="J32" s="170"/>
      <c r="K32" s="170"/>
      <c r="L32" s="171" t="s">
        <v>76</v>
      </c>
      <c r="M32" s="170"/>
      <c r="N32" s="170"/>
      <c r="O32" s="63"/>
    </row>
  </sheetData>
  <mergeCells count="15">
    <mergeCell ref="B19:C19"/>
    <mergeCell ref="E19:F19"/>
    <mergeCell ref="H19:I19"/>
    <mergeCell ref="K19:L19"/>
    <mergeCell ref="E2:L4"/>
    <mergeCell ref="B2:D4"/>
    <mergeCell ref="B6:C6"/>
    <mergeCell ref="E6:F6"/>
    <mergeCell ref="H6:I6"/>
    <mergeCell ref="K6:L6"/>
    <mergeCell ref="K20:L20"/>
    <mergeCell ref="N19:O19"/>
    <mergeCell ref="M19:M30"/>
    <mergeCell ref="H18:O18"/>
    <mergeCell ref="N6:O6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90" orientation="landscape" r:id="rId1"/>
  <headerFooter>
    <oddFooter>&amp;RANEXO ITF-PRO-019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E9E35-C671-439A-A154-167494E0009A}">
  <dimension ref="B1:P29"/>
  <sheetViews>
    <sheetView showGridLines="0" zoomScale="70" zoomScaleNormal="70" zoomScaleSheetLayoutView="70" workbookViewId="0">
      <selection activeCell="Y13" sqref="Y13"/>
    </sheetView>
  </sheetViews>
  <sheetFormatPr defaultColWidth="9.140625" defaultRowHeight="15" x14ac:dyDescent="0.25"/>
  <cols>
    <col min="1" max="1" width="3" customWidth="1"/>
    <col min="2" max="2" width="14.28515625" customWidth="1"/>
    <col min="3" max="3" width="4" customWidth="1"/>
    <col min="4" max="4" width="3.42578125" customWidth="1"/>
    <col min="5" max="5" width="9.28515625" customWidth="1"/>
    <col min="6" max="6" width="15.42578125" customWidth="1"/>
    <col min="7" max="7" width="6" customWidth="1"/>
    <col min="8" max="8" width="8.7109375" customWidth="1"/>
    <col min="9" max="9" width="13.85546875" customWidth="1"/>
    <col min="10" max="10" width="2" customWidth="1"/>
    <col min="11" max="11" width="11.7109375" customWidth="1"/>
    <col min="12" max="12" width="16.7109375" customWidth="1"/>
    <col min="13" max="13" width="15.5703125" customWidth="1"/>
    <col min="14" max="14" width="19.5703125" customWidth="1"/>
    <col min="15" max="15" width="18.28515625" customWidth="1"/>
    <col min="16" max="16" width="3.28515625" hidden="1" customWidth="1"/>
  </cols>
  <sheetData>
    <row r="1" spans="2:16" ht="15.75" thickBot="1" x14ac:dyDescent="0.3"/>
    <row r="2" spans="2:16" ht="23.25" customHeight="1" x14ac:dyDescent="0.25">
      <c r="B2" s="242"/>
      <c r="C2" s="243"/>
      <c r="D2" s="244"/>
      <c r="E2" s="236" t="s">
        <v>70</v>
      </c>
      <c r="F2" s="254"/>
      <c r="G2" s="254"/>
      <c r="H2" s="254"/>
      <c r="I2" s="254"/>
      <c r="J2" s="254"/>
      <c r="K2" s="254"/>
      <c r="L2" s="254"/>
      <c r="M2" s="255"/>
      <c r="N2" s="285" t="s">
        <v>85</v>
      </c>
      <c r="O2" s="286"/>
      <c r="P2" s="175"/>
    </row>
    <row r="3" spans="2:16" ht="15" customHeight="1" x14ac:dyDescent="0.25">
      <c r="B3" s="245"/>
      <c r="C3" s="213"/>
      <c r="D3" s="230"/>
      <c r="E3" s="256"/>
      <c r="F3" s="257"/>
      <c r="G3" s="257"/>
      <c r="H3" s="257"/>
      <c r="I3" s="257"/>
      <c r="J3" s="257"/>
      <c r="K3" s="257"/>
      <c r="L3" s="257"/>
      <c r="M3" s="258"/>
      <c r="N3" s="187" t="s">
        <v>84</v>
      </c>
      <c r="O3" s="176"/>
      <c r="P3" s="176"/>
    </row>
    <row r="4" spans="2:16" ht="24" customHeight="1" thickBot="1" x14ac:dyDescent="0.3">
      <c r="B4" s="246"/>
      <c r="C4" s="247"/>
      <c r="D4" s="248"/>
      <c r="E4" s="259"/>
      <c r="F4" s="260"/>
      <c r="G4" s="260"/>
      <c r="H4" s="260"/>
      <c r="I4" s="260"/>
      <c r="J4" s="260"/>
      <c r="K4" s="260"/>
      <c r="L4" s="260"/>
      <c r="M4" s="261"/>
      <c r="N4" s="188" t="s">
        <v>86</v>
      </c>
      <c r="O4" s="177"/>
      <c r="P4" s="177"/>
    </row>
    <row r="5" spans="2:16" ht="14.25" customHeight="1" thickBot="1" x14ac:dyDescent="0.4">
      <c r="H5" s="65"/>
      <c r="I5" s="65"/>
      <c r="J5" s="65"/>
      <c r="K5" s="65"/>
      <c r="L5" s="65"/>
      <c r="M5" s="65"/>
      <c r="N5" s="65"/>
      <c r="O5" s="65"/>
      <c r="P5" s="65"/>
    </row>
    <row r="6" spans="2:16" ht="18.75" x14ac:dyDescent="0.3">
      <c r="B6" s="262" t="s">
        <v>72</v>
      </c>
      <c r="C6" s="263"/>
      <c r="D6" s="263"/>
      <c r="E6" s="263"/>
      <c r="F6" s="263"/>
      <c r="G6" s="263"/>
      <c r="H6" s="263"/>
      <c r="I6" s="263"/>
      <c r="J6" s="263"/>
      <c r="K6" s="264"/>
      <c r="L6" s="251" t="s">
        <v>87</v>
      </c>
      <c r="M6" s="252"/>
      <c r="N6" s="252"/>
      <c r="O6" s="253"/>
      <c r="P6" s="157"/>
    </row>
    <row r="7" spans="2:16" ht="37.5" customHeight="1" x14ac:dyDescent="0.25">
      <c r="B7" s="265" t="s">
        <v>2</v>
      </c>
      <c r="C7" s="266"/>
      <c r="D7" s="267" t="s">
        <v>20</v>
      </c>
      <c r="E7" s="267"/>
      <c r="F7" s="160" t="s">
        <v>19</v>
      </c>
      <c r="G7" s="267" t="s">
        <v>17</v>
      </c>
      <c r="H7" s="267"/>
      <c r="I7" s="160" t="s">
        <v>73</v>
      </c>
      <c r="J7" s="267" t="s">
        <v>74</v>
      </c>
      <c r="K7" s="268"/>
      <c r="L7" s="181" t="s">
        <v>88</v>
      </c>
      <c r="M7" s="160" t="s">
        <v>82</v>
      </c>
      <c r="N7" s="160" t="s">
        <v>92</v>
      </c>
      <c r="O7" s="172" t="s">
        <v>83</v>
      </c>
      <c r="P7" s="158"/>
    </row>
    <row r="8" spans="2:16" ht="21.75" customHeight="1" x14ac:dyDescent="0.25">
      <c r="B8" s="269"/>
      <c r="C8" s="270"/>
      <c r="D8" s="271"/>
      <c r="E8" s="271"/>
      <c r="F8" s="155"/>
      <c r="G8" s="271"/>
      <c r="H8" s="271"/>
      <c r="I8" s="155"/>
      <c r="J8" s="272"/>
      <c r="K8" s="273"/>
      <c r="L8" s="182"/>
      <c r="M8" s="174"/>
      <c r="N8" s="174"/>
      <c r="O8" s="183"/>
      <c r="P8" s="158"/>
    </row>
    <row r="9" spans="2:16" ht="21.75" customHeight="1" x14ac:dyDescent="0.25">
      <c r="B9" s="269"/>
      <c r="C9" s="270"/>
      <c r="D9" s="271"/>
      <c r="E9" s="271"/>
      <c r="F9" s="155"/>
      <c r="G9" s="271"/>
      <c r="H9" s="271"/>
      <c r="I9" s="155"/>
      <c r="J9" s="272"/>
      <c r="K9" s="273"/>
      <c r="L9" s="182"/>
      <c r="M9" s="174"/>
      <c r="N9" s="174"/>
      <c r="O9" s="183"/>
      <c r="P9" s="158"/>
    </row>
    <row r="10" spans="2:16" ht="21.75" customHeight="1" x14ac:dyDescent="0.25">
      <c r="B10" s="269"/>
      <c r="C10" s="270"/>
      <c r="D10" s="271"/>
      <c r="E10" s="271"/>
      <c r="F10" s="155"/>
      <c r="G10" s="271"/>
      <c r="H10" s="271"/>
      <c r="I10" s="155"/>
      <c r="J10" s="272"/>
      <c r="K10" s="273"/>
      <c r="L10" s="182"/>
      <c r="M10" s="174"/>
      <c r="N10" s="174"/>
      <c r="O10" s="183"/>
      <c r="P10" s="158"/>
    </row>
    <row r="11" spans="2:16" ht="21.75" customHeight="1" x14ac:dyDescent="0.25">
      <c r="B11" s="269"/>
      <c r="C11" s="270"/>
      <c r="D11" s="271"/>
      <c r="E11" s="271"/>
      <c r="F11" s="155"/>
      <c r="G11" s="271"/>
      <c r="H11" s="271"/>
      <c r="I11" s="155"/>
      <c r="J11" s="272"/>
      <c r="K11" s="273"/>
      <c r="L11" s="182"/>
      <c r="M11" s="174"/>
      <c r="N11" s="174"/>
      <c r="O11" s="183"/>
      <c r="P11" s="158"/>
    </row>
    <row r="12" spans="2:16" ht="21.75" customHeight="1" x14ac:dyDescent="0.25">
      <c r="B12" s="269"/>
      <c r="C12" s="270"/>
      <c r="D12" s="271"/>
      <c r="E12" s="271"/>
      <c r="F12" s="155"/>
      <c r="G12" s="271"/>
      <c r="H12" s="271"/>
      <c r="I12" s="155"/>
      <c r="J12" s="272"/>
      <c r="K12" s="273"/>
      <c r="L12" s="182"/>
      <c r="M12" s="174"/>
      <c r="N12" s="174"/>
      <c r="O12" s="183"/>
      <c r="P12" s="158"/>
    </row>
    <row r="13" spans="2:16" ht="21.75" customHeight="1" x14ac:dyDescent="0.25">
      <c r="B13" s="269"/>
      <c r="C13" s="270"/>
      <c r="D13" s="271"/>
      <c r="E13" s="271"/>
      <c r="F13" s="155"/>
      <c r="G13" s="271"/>
      <c r="H13" s="271"/>
      <c r="I13" s="155"/>
      <c r="J13" s="272"/>
      <c r="K13" s="273"/>
      <c r="L13" s="182"/>
      <c r="M13" s="174"/>
      <c r="N13" s="174"/>
      <c r="O13" s="183"/>
      <c r="P13" s="158"/>
    </row>
    <row r="14" spans="2:16" ht="21.75" customHeight="1" thickBot="1" x14ac:dyDescent="0.3">
      <c r="B14" s="274"/>
      <c r="C14" s="275"/>
      <c r="D14" s="276"/>
      <c r="E14" s="276"/>
      <c r="F14" s="159"/>
      <c r="G14" s="276"/>
      <c r="H14" s="276"/>
      <c r="I14" s="159"/>
      <c r="J14" s="277"/>
      <c r="K14" s="278"/>
      <c r="L14" s="184"/>
      <c r="M14" s="185"/>
      <c r="N14" s="185"/>
      <c r="O14" s="186"/>
      <c r="P14" s="158"/>
    </row>
    <row r="15" spans="2:16" ht="18.75" x14ac:dyDescent="0.3">
      <c r="B15" s="262" t="s">
        <v>77</v>
      </c>
      <c r="C15" s="263"/>
      <c r="D15" s="263"/>
      <c r="E15" s="263"/>
      <c r="F15" s="263"/>
      <c r="G15" s="263"/>
      <c r="H15" s="263"/>
      <c r="I15" s="263"/>
      <c r="J15" s="263"/>
      <c r="K15" s="279"/>
      <c r="L15" s="251" t="s">
        <v>87</v>
      </c>
      <c r="M15" s="252"/>
      <c r="N15" s="252"/>
      <c r="O15" s="253"/>
      <c r="P15" s="157"/>
    </row>
    <row r="16" spans="2:16" ht="37.5" customHeight="1" x14ac:dyDescent="0.25">
      <c r="B16" s="265" t="s">
        <v>2</v>
      </c>
      <c r="C16" s="266"/>
      <c r="D16" s="267" t="s">
        <v>20</v>
      </c>
      <c r="E16" s="267"/>
      <c r="F16" s="160" t="s">
        <v>19</v>
      </c>
      <c r="G16" s="267" t="s">
        <v>17</v>
      </c>
      <c r="H16" s="267"/>
      <c r="I16" s="160" t="s">
        <v>73</v>
      </c>
      <c r="J16" s="267" t="s">
        <v>74</v>
      </c>
      <c r="K16" s="280"/>
      <c r="L16" s="181" t="s">
        <v>88</v>
      </c>
      <c r="M16" s="160" t="s">
        <v>82</v>
      </c>
      <c r="N16" s="160" t="s">
        <v>92</v>
      </c>
      <c r="O16" s="172" t="s">
        <v>83</v>
      </c>
      <c r="P16" s="158"/>
    </row>
    <row r="17" spans="2:16" ht="21.75" customHeight="1" x14ac:dyDescent="0.25">
      <c r="B17" s="269"/>
      <c r="C17" s="270"/>
      <c r="D17" s="271"/>
      <c r="E17" s="271"/>
      <c r="F17" s="155"/>
      <c r="G17" s="271"/>
      <c r="H17" s="271"/>
      <c r="I17" s="155"/>
      <c r="J17" s="272"/>
      <c r="K17" s="281"/>
      <c r="L17" s="182"/>
      <c r="M17" s="174"/>
      <c r="N17" s="174"/>
      <c r="O17" s="183"/>
      <c r="P17" s="158"/>
    </row>
    <row r="18" spans="2:16" ht="21.75" customHeight="1" x14ac:dyDescent="0.25">
      <c r="B18" s="269"/>
      <c r="C18" s="270"/>
      <c r="D18" s="271"/>
      <c r="E18" s="271"/>
      <c r="F18" s="155"/>
      <c r="G18" s="271"/>
      <c r="H18" s="271"/>
      <c r="I18" s="155"/>
      <c r="J18" s="272"/>
      <c r="K18" s="281"/>
      <c r="L18" s="182"/>
      <c r="M18" s="174"/>
      <c r="N18" s="174"/>
      <c r="O18" s="183"/>
      <c r="P18" s="158"/>
    </row>
    <row r="19" spans="2:16" ht="21.75" customHeight="1" x14ac:dyDescent="0.25">
      <c r="B19" s="269"/>
      <c r="C19" s="270"/>
      <c r="D19" s="283"/>
      <c r="E19" s="270"/>
      <c r="F19" s="155"/>
      <c r="G19" s="283"/>
      <c r="H19" s="270"/>
      <c r="I19" s="155"/>
      <c r="J19" s="272"/>
      <c r="K19" s="281"/>
      <c r="L19" s="182"/>
      <c r="M19" s="174"/>
      <c r="N19" s="174"/>
      <c r="O19" s="183"/>
      <c r="P19" s="158"/>
    </row>
    <row r="20" spans="2:16" ht="21.75" customHeight="1" x14ac:dyDescent="0.25">
      <c r="B20" s="269"/>
      <c r="C20" s="270"/>
      <c r="D20" s="271"/>
      <c r="E20" s="271"/>
      <c r="F20" s="155"/>
      <c r="G20" s="271"/>
      <c r="H20" s="271"/>
      <c r="I20" s="155"/>
      <c r="J20" s="272"/>
      <c r="K20" s="281"/>
      <c r="L20" s="182"/>
      <c r="M20" s="174"/>
      <c r="N20" s="174"/>
      <c r="O20" s="183"/>
      <c r="P20" s="158"/>
    </row>
    <row r="21" spans="2:16" ht="21.75" customHeight="1" x14ac:dyDescent="0.25">
      <c r="B21" s="269"/>
      <c r="C21" s="270"/>
      <c r="D21" s="271"/>
      <c r="E21" s="271"/>
      <c r="F21" s="155"/>
      <c r="G21" s="271"/>
      <c r="H21" s="271"/>
      <c r="I21" s="155"/>
      <c r="J21" s="272"/>
      <c r="K21" s="281"/>
      <c r="L21" s="182"/>
      <c r="M21" s="174"/>
      <c r="N21" s="174"/>
      <c r="O21" s="183"/>
      <c r="P21" s="158"/>
    </row>
    <row r="22" spans="2:16" ht="21.75" customHeight="1" x14ac:dyDescent="0.25">
      <c r="B22" s="269"/>
      <c r="C22" s="270"/>
      <c r="D22" s="271"/>
      <c r="E22" s="271"/>
      <c r="F22" s="155"/>
      <c r="G22" s="271"/>
      <c r="H22" s="271"/>
      <c r="I22" s="155"/>
      <c r="J22" s="272"/>
      <c r="K22" s="281"/>
      <c r="L22" s="182"/>
      <c r="M22" s="174"/>
      <c r="N22" s="174"/>
      <c r="O22" s="183"/>
      <c r="P22" s="158"/>
    </row>
    <row r="23" spans="2:16" ht="21.75" customHeight="1" thickBot="1" x14ac:dyDescent="0.3">
      <c r="B23" s="287"/>
      <c r="C23" s="288"/>
      <c r="D23" s="289"/>
      <c r="E23" s="289"/>
      <c r="F23" s="156"/>
      <c r="G23" s="289"/>
      <c r="H23" s="289"/>
      <c r="I23" s="156"/>
      <c r="J23" s="290"/>
      <c r="K23" s="291"/>
      <c r="L23" s="184"/>
      <c r="M23" s="185"/>
      <c r="N23" s="185"/>
      <c r="O23" s="186"/>
      <c r="P23" s="158"/>
    </row>
    <row r="24" spans="2:16" ht="21.75" customHeight="1" x14ac:dyDescent="0.25">
      <c r="B24" s="282" t="s">
        <v>75</v>
      </c>
      <c r="C24" s="282"/>
      <c r="D24" s="282"/>
      <c r="E24" s="178"/>
      <c r="F24" s="179"/>
      <c r="G24" s="178"/>
      <c r="H24" s="178"/>
      <c r="I24" s="179"/>
      <c r="J24" s="173"/>
      <c r="K24" s="173"/>
      <c r="L24" s="173"/>
      <c r="M24" s="173"/>
      <c r="N24" s="173"/>
      <c r="O24" s="173"/>
      <c r="P24" s="158"/>
    </row>
    <row r="25" spans="2:16" ht="21.75" customHeight="1" x14ac:dyDescent="0.25">
      <c r="B25" s="178"/>
      <c r="C25" s="178"/>
      <c r="D25" s="178"/>
      <c r="E25" s="178"/>
      <c r="F25" s="179"/>
      <c r="G25" s="178"/>
      <c r="H25" s="178"/>
      <c r="I25" s="179"/>
      <c r="J25" s="173"/>
      <c r="K25" s="173"/>
      <c r="L25" s="173"/>
      <c r="M25" s="173"/>
      <c r="N25" s="173"/>
      <c r="O25" s="173"/>
      <c r="P25" s="158"/>
    </row>
    <row r="26" spans="2:16" ht="21.75" customHeight="1" x14ac:dyDescent="0.25">
      <c r="B26" s="178"/>
      <c r="C26" s="178"/>
      <c r="D26" s="178"/>
      <c r="E26" s="178"/>
      <c r="F26" s="179"/>
      <c r="G26" s="178"/>
      <c r="H26" s="178"/>
      <c r="I26" s="179"/>
      <c r="J26" s="173"/>
      <c r="K26" s="173"/>
      <c r="L26" s="173"/>
      <c r="M26" s="173"/>
      <c r="N26" s="173"/>
      <c r="O26" s="173"/>
      <c r="P26" s="158"/>
    </row>
    <row r="27" spans="2:16" ht="21" customHeight="1" x14ac:dyDescent="0.25">
      <c r="B27" s="180"/>
      <c r="C27" s="180"/>
      <c r="D27" s="180"/>
      <c r="E27" s="180"/>
      <c r="F27" s="180"/>
      <c r="G27" s="180"/>
      <c r="H27" s="180"/>
      <c r="I27" s="180"/>
      <c r="J27" s="180"/>
      <c r="K27" s="64"/>
      <c r="L27" s="64"/>
      <c r="M27" s="64"/>
      <c r="N27" s="64"/>
      <c r="O27" s="64"/>
      <c r="P27" s="64"/>
    </row>
    <row r="28" spans="2:16" ht="21" customHeight="1" x14ac:dyDescent="0.25">
      <c r="M28" s="180"/>
      <c r="N28" s="180"/>
      <c r="O28" s="180"/>
    </row>
    <row r="29" spans="2:16" ht="21" customHeight="1" x14ac:dyDescent="0.25">
      <c r="M29" s="284" t="s">
        <v>76</v>
      </c>
      <c r="N29" s="284"/>
      <c r="O29" s="284"/>
    </row>
  </sheetData>
  <mergeCells count="73">
    <mergeCell ref="M29:O29"/>
    <mergeCell ref="N2:O2"/>
    <mergeCell ref="B22:C22"/>
    <mergeCell ref="D22:E22"/>
    <mergeCell ref="G22:H22"/>
    <mergeCell ref="J22:K22"/>
    <mergeCell ref="B23:C23"/>
    <mergeCell ref="D23:E23"/>
    <mergeCell ref="G23:H23"/>
    <mergeCell ref="J23:K23"/>
    <mergeCell ref="B21:C21"/>
    <mergeCell ref="D21:E21"/>
    <mergeCell ref="G21:H21"/>
    <mergeCell ref="J21:K21"/>
    <mergeCell ref="B19:C19"/>
    <mergeCell ref="B20:C20"/>
    <mergeCell ref="D20:E20"/>
    <mergeCell ref="G20:H20"/>
    <mergeCell ref="J20:K20"/>
    <mergeCell ref="B24:D24"/>
    <mergeCell ref="B18:C18"/>
    <mergeCell ref="D18:E18"/>
    <mergeCell ref="G18:H18"/>
    <mergeCell ref="J18:K18"/>
    <mergeCell ref="D19:E19"/>
    <mergeCell ref="G19:H19"/>
    <mergeCell ref="J19:K19"/>
    <mergeCell ref="B16:C16"/>
    <mergeCell ref="D16:E16"/>
    <mergeCell ref="G16:H16"/>
    <mergeCell ref="J16:K16"/>
    <mergeCell ref="B17:C17"/>
    <mergeCell ref="D17:E17"/>
    <mergeCell ref="G17:H17"/>
    <mergeCell ref="J17:K17"/>
    <mergeCell ref="L15:O15"/>
    <mergeCell ref="B14:C14"/>
    <mergeCell ref="D14:E14"/>
    <mergeCell ref="G14:H14"/>
    <mergeCell ref="J14:K14"/>
    <mergeCell ref="B15:K15"/>
    <mergeCell ref="B12:C12"/>
    <mergeCell ref="D12:E12"/>
    <mergeCell ref="G12:H12"/>
    <mergeCell ref="J12:K12"/>
    <mergeCell ref="B13:C13"/>
    <mergeCell ref="D13:E13"/>
    <mergeCell ref="G13:H13"/>
    <mergeCell ref="J13:K13"/>
    <mergeCell ref="B10:C10"/>
    <mergeCell ref="D10:E10"/>
    <mergeCell ref="G10:H10"/>
    <mergeCell ref="J10:K10"/>
    <mergeCell ref="B11:C11"/>
    <mergeCell ref="D11:E11"/>
    <mergeCell ref="G11:H11"/>
    <mergeCell ref="J11:K11"/>
    <mergeCell ref="B8:C8"/>
    <mergeCell ref="D8:E8"/>
    <mergeCell ref="G8:H8"/>
    <mergeCell ref="J8:K8"/>
    <mergeCell ref="B9:C9"/>
    <mergeCell ref="D9:E9"/>
    <mergeCell ref="G9:H9"/>
    <mergeCell ref="J9:K9"/>
    <mergeCell ref="L6:O6"/>
    <mergeCell ref="B2:D4"/>
    <mergeCell ref="E2:M4"/>
    <mergeCell ref="B6:K6"/>
    <mergeCell ref="B7:C7"/>
    <mergeCell ref="D7:E7"/>
    <mergeCell ref="G7:H7"/>
    <mergeCell ref="J7:K7"/>
  </mergeCells>
  <pageMargins left="0.19685039370078741" right="0.19685039370078741" top="0.19685039370078741" bottom="0.19685039370078741" header="0.31496062992125984" footer="0.31496062992125984"/>
  <pageSetup paperSize="9" scale="90" orientation="landscape" r:id="rId1"/>
  <headerFooter>
    <oddFooter>&amp;RANEXO ITF-PRO-019</oddFooter>
  </headerFooter>
  <rowBreaks count="1" manualBreakCount="1">
    <brk id="1" min="1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2</vt:i4>
      </vt:variant>
    </vt:vector>
  </HeadingPairs>
  <TitlesOfParts>
    <vt:vector size="9" baseType="lpstr">
      <vt:lpstr>PRODUÇÃO</vt:lpstr>
      <vt:lpstr>HOMEM X HORA</vt:lpstr>
      <vt:lpstr>EFICIÊNIA DA PRODUÇÃO</vt:lpstr>
      <vt:lpstr>PRODUÇÃO LINHA 1</vt:lpstr>
      <vt:lpstr>Planilha2</vt:lpstr>
      <vt:lpstr>FORMULÁRIO - PRODUÇÃO </vt:lpstr>
      <vt:lpstr>FORMULÁRIO - PRODUÇÃO  (1)</vt:lpstr>
      <vt:lpstr>'FORMULÁRIO - PRODUÇÃO '!Area_de_impressao</vt:lpstr>
      <vt:lpstr>'FORMULÁRIO - PRODUÇÃO  (1)'!Area_de_impressao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george filipe</cp:lastModifiedBy>
  <cp:lastPrinted>2025-01-07T11:10:05Z</cp:lastPrinted>
  <dcterms:created xsi:type="dcterms:W3CDTF">2019-09-23T20:47:27Z</dcterms:created>
  <dcterms:modified xsi:type="dcterms:W3CDTF">2025-01-08T16:06:29Z</dcterms:modified>
</cp:coreProperties>
</file>